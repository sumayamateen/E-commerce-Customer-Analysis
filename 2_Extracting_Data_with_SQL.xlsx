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eta Data Analyst Course\2_Data_Analysis_with_Spreadsheets_and_SQL\"/>
    </mc:Choice>
  </mc:AlternateContent>
  <xr:revisionPtr revIDLastSave="0" documentId="13_ncr:1_{D141B5EF-1460-4B6C-BEC1-E523B19C63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 Data" sheetId="1" r:id="rId1"/>
    <sheet name="Queries" sheetId="2" r:id="rId2"/>
    <sheet name="Charts" sheetId="3" r:id="rId3"/>
  </sheets>
  <calcPr calcId="191029"/>
</workbook>
</file>

<file path=xl/calcChain.xml><?xml version="1.0" encoding="utf-8"?>
<calcChain xmlns="http://schemas.openxmlformats.org/spreadsheetml/2006/main">
  <c r="U2002" i="2" l="1"/>
  <c r="T2002" i="2"/>
  <c r="L2002" i="2"/>
  <c r="K2002" i="2"/>
  <c r="J2002" i="2"/>
  <c r="B2002" i="2"/>
  <c r="A2002" i="2"/>
  <c r="U2001" i="2"/>
  <c r="T2001" i="2"/>
  <c r="L2001" i="2"/>
  <c r="K2001" i="2"/>
  <c r="J2001" i="2"/>
  <c r="B2001" i="2"/>
  <c r="A2001" i="2"/>
  <c r="U2000" i="2"/>
  <c r="T2000" i="2"/>
  <c r="L2000" i="2"/>
  <c r="K2000" i="2"/>
  <c r="J2000" i="2"/>
  <c r="B2000" i="2"/>
  <c r="A2000" i="2"/>
  <c r="U1999" i="2"/>
  <c r="T1999" i="2"/>
  <c r="L1999" i="2"/>
  <c r="K1999" i="2"/>
  <c r="J1999" i="2"/>
  <c r="B1999" i="2"/>
  <c r="A1999" i="2"/>
  <c r="U1998" i="2"/>
  <c r="T1998" i="2"/>
  <c r="L1998" i="2"/>
  <c r="K1998" i="2"/>
  <c r="J1998" i="2"/>
  <c r="B1998" i="2"/>
  <c r="A1998" i="2"/>
  <c r="U1997" i="2"/>
  <c r="T1997" i="2"/>
  <c r="L1997" i="2"/>
  <c r="K1997" i="2"/>
  <c r="J1997" i="2"/>
  <c r="B1997" i="2"/>
  <c r="A1997" i="2"/>
  <c r="U1996" i="2"/>
  <c r="T1996" i="2"/>
  <c r="L1996" i="2"/>
  <c r="K1996" i="2"/>
  <c r="J1996" i="2"/>
  <c r="B1996" i="2"/>
  <c r="A1996" i="2"/>
  <c r="U1995" i="2"/>
  <c r="T1995" i="2"/>
  <c r="L1995" i="2"/>
  <c r="K1995" i="2"/>
  <c r="J1995" i="2"/>
  <c r="B1995" i="2"/>
  <c r="A1995" i="2"/>
  <c r="U1994" i="2"/>
  <c r="T1994" i="2"/>
  <c r="L1994" i="2"/>
  <c r="K1994" i="2"/>
  <c r="J1994" i="2"/>
  <c r="B1994" i="2"/>
  <c r="A1994" i="2"/>
  <c r="U1993" i="2"/>
  <c r="T1993" i="2"/>
  <c r="L1993" i="2"/>
  <c r="K1993" i="2"/>
  <c r="J1993" i="2"/>
  <c r="B1993" i="2"/>
  <c r="A1993" i="2"/>
  <c r="U1992" i="2"/>
  <c r="T1992" i="2"/>
  <c r="L1992" i="2"/>
  <c r="K1992" i="2"/>
  <c r="J1992" i="2"/>
  <c r="B1992" i="2"/>
  <c r="A1992" i="2"/>
  <c r="U1991" i="2"/>
  <c r="T1991" i="2"/>
  <c r="L1991" i="2"/>
  <c r="K1991" i="2"/>
  <c r="J1991" i="2"/>
  <c r="B1991" i="2"/>
  <c r="A1991" i="2"/>
  <c r="U1990" i="2"/>
  <c r="T1990" i="2"/>
  <c r="L1990" i="2"/>
  <c r="K1990" i="2"/>
  <c r="J1990" i="2"/>
  <c r="B1990" i="2"/>
  <c r="A1990" i="2"/>
  <c r="U1989" i="2"/>
  <c r="T1989" i="2"/>
  <c r="L1989" i="2"/>
  <c r="K1989" i="2"/>
  <c r="J1989" i="2"/>
  <c r="B1989" i="2"/>
  <c r="A1989" i="2"/>
  <c r="U1988" i="2"/>
  <c r="T1988" i="2"/>
  <c r="L1988" i="2"/>
  <c r="K1988" i="2"/>
  <c r="J1988" i="2"/>
  <c r="B1988" i="2"/>
  <c r="A1988" i="2"/>
  <c r="U1987" i="2"/>
  <c r="T1987" i="2"/>
  <c r="L1987" i="2"/>
  <c r="K1987" i="2"/>
  <c r="J1987" i="2"/>
  <c r="B1987" i="2"/>
  <c r="A1987" i="2"/>
  <c r="U1986" i="2"/>
  <c r="T1986" i="2"/>
  <c r="L1986" i="2"/>
  <c r="K1986" i="2"/>
  <c r="J1986" i="2"/>
  <c r="B1986" i="2"/>
  <c r="A1986" i="2"/>
  <c r="U1985" i="2"/>
  <c r="T1985" i="2"/>
  <c r="L1985" i="2"/>
  <c r="K1985" i="2"/>
  <c r="J1985" i="2"/>
  <c r="B1985" i="2"/>
  <c r="A1985" i="2"/>
  <c r="U1984" i="2"/>
  <c r="T1984" i="2"/>
  <c r="L1984" i="2"/>
  <c r="K1984" i="2"/>
  <c r="J1984" i="2"/>
  <c r="B1984" i="2"/>
  <c r="A1984" i="2"/>
  <c r="U1983" i="2"/>
  <c r="T1983" i="2"/>
  <c r="L1983" i="2"/>
  <c r="K1983" i="2"/>
  <c r="J1983" i="2"/>
  <c r="B1983" i="2"/>
  <c r="A1983" i="2"/>
  <c r="U1982" i="2"/>
  <c r="T1982" i="2"/>
  <c r="L1982" i="2"/>
  <c r="K1982" i="2"/>
  <c r="J1982" i="2"/>
  <c r="B1982" i="2"/>
  <c r="A1982" i="2"/>
  <c r="U1981" i="2"/>
  <c r="T1981" i="2"/>
  <c r="L1981" i="2"/>
  <c r="K1981" i="2"/>
  <c r="J1981" i="2"/>
  <c r="B1981" i="2"/>
  <c r="A1981" i="2"/>
  <c r="U1980" i="2"/>
  <c r="T1980" i="2"/>
  <c r="L1980" i="2"/>
  <c r="K1980" i="2"/>
  <c r="J1980" i="2"/>
  <c r="B1980" i="2"/>
  <c r="A1980" i="2"/>
  <c r="U1979" i="2"/>
  <c r="T1979" i="2"/>
  <c r="L1979" i="2"/>
  <c r="K1979" i="2"/>
  <c r="J1979" i="2"/>
  <c r="B1979" i="2"/>
  <c r="A1979" i="2"/>
  <c r="U1978" i="2"/>
  <c r="T1978" i="2"/>
  <c r="L1978" i="2"/>
  <c r="K1978" i="2"/>
  <c r="J1978" i="2"/>
  <c r="B1978" i="2"/>
  <c r="A1978" i="2"/>
  <c r="U1977" i="2"/>
  <c r="T1977" i="2"/>
  <c r="L1977" i="2"/>
  <c r="K1977" i="2"/>
  <c r="J1977" i="2"/>
  <c r="B1977" i="2"/>
  <c r="A1977" i="2"/>
  <c r="U1976" i="2"/>
  <c r="T1976" i="2"/>
  <c r="L1976" i="2"/>
  <c r="K1976" i="2"/>
  <c r="J1976" i="2"/>
  <c r="B1976" i="2"/>
  <c r="A1976" i="2"/>
  <c r="U1975" i="2"/>
  <c r="T1975" i="2"/>
  <c r="L1975" i="2"/>
  <c r="K1975" i="2"/>
  <c r="J1975" i="2"/>
  <c r="B1975" i="2"/>
  <c r="A1975" i="2"/>
  <c r="U1974" i="2"/>
  <c r="T1974" i="2"/>
  <c r="L1974" i="2"/>
  <c r="K1974" i="2"/>
  <c r="J1974" i="2"/>
  <c r="B1974" i="2"/>
  <c r="A1974" i="2"/>
  <c r="U1973" i="2"/>
  <c r="T1973" i="2"/>
  <c r="L1973" i="2"/>
  <c r="K1973" i="2"/>
  <c r="J1973" i="2"/>
  <c r="B1973" i="2"/>
  <c r="A1973" i="2"/>
  <c r="U1972" i="2"/>
  <c r="T1972" i="2"/>
  <c r="L1972" i="2"/>
  <c r="K1972" i="2"/>
  <c r="J1972" i="2"/>
  <c r="B1972" i="2"/>
  <c r="A1972" i="2"/>
  <c r="U1971" i="2"/>
  <c r="T1971" i="2"/>
  <c r="L1971" i="2"/>
  <c r="K1971" i="2"/>
  <c r="J1971" i="2"/>
  <c r="B1971" i="2"/>
  <c r="A1971" i="2"/>
  <c r="U1970" i="2"/>
  <c r="T1970" i="2"/>
  <c r="L1970" i="2"/>
  <c r="K1970" i="2"/>
  <c r="J1970" i="2"/>
  <c r="B1970" i="2"/>
  <c r="A1970" i="2"/>
  <c r="U1969" i="2"/>
  <c r="T1969" i="2"/>
  <c r="L1969" i="2"/>
  <c r="K1969" i="2"/>
  <c r="J1969" i="2"/>
  <c r="B1969" i="2"/>
  <c r="A1969" i="2"/>
  <c r="U1968" i="2"/>
  <c r="T1968" i="2"/>
  <c r="L1968" i="2"/>
  <c r="K1968" i="2"/>
  <c r="J1968" i="2"/>
  <c r="B1968" i="2"/>
  <c r="A1968" i="2"/>
  <c r="U1967" i="2"/>
  <c r="T1967" i="2"/>
  <c r="L1967" i="2"/>
  <c r="K1967" i="2"/>
  <c r="J1967" i="2"/>
  <c r="B1967" i="2"/>
  <c r="A1967" i="2"/>
  <c r="U1966" i="2"/>
  <c r="T1966" i="2"/>
  <c r="L1966" i="2"/>
  <c r="K1966" i="2"/>
  <c r="J1966" i="2"/>
  <c r="B1966" i="2"/>
  <c r="A1966" i="2"/>
  <c r="U1965" i="2"/>
  <c r="T1965" i="2"/>
  <c r="L1965" i="2"/>
  <c r="K1965" i="2"/>
  <c r="J1965" i="2"/>
  <c r="B1965" i="2"/>
  <c r="A1965" i="2"/>
  <c r="U1964" i="2"/>
  <c r="T1964" i="2"/>
  <c r="L1964" i="2"/>
  <c r="K1964" i="2"/>
  <c r="J1964" i="2"/>
  <c r="B1964" i="2"/>
  <c r="A1964" i="2"/>
  <c r="U1963" i="2"/>
  <c r="T1963" i="2"/>
  <c r="L1963" i="2"/>
  <c r="K1963" i="2"/>
  <c r="J1963" i="2"/>
  <c r="B1963" i="2"/>
  <c r="A1963" i="2"/>
  <c r="U1962" i="2"/>
  <c r="T1962" i="2"/>
  <c r="L1962" i="2"/>
  <c r="K1962" i="2"/>
  <c r="J1962" i="2"/>
  <c r="B1962" i="2"/>
  <c r="A1962" i="2"/>
  <c r="U1961" i="2"/>
  <c r="T1961" i="2"/>
  <c r="L1961" i="2"/>
  <c r="K1961" i="2"/>
  <c r="J1961" i="2"/>
  <c r="B1961" i="2"/>
  <c r="A1961" i="2"/>
  <c r="U1960" i="2"/>
  <c r="T1960" i="2"/>
  <c r="L1960" i="2"/>
  <c r="K1960" i="2"/>
  <c r="J1960" i="2"/>
  <c r="B1960" i="2"/>
  <c r="A1960" i="2"/>
  <c r="U1959" i="2"/>
  <c r="T1959" i="2"/>
  <c r="L1959" i="2"/>
  <c r="K1959" i="2"/>
  <c r="J1959" i="2"/>
  <c r="B1959" i="2"/>
  <c r="A1959" i="2"/>
  <c r="U1958" i="2"/>
  <c r="T1958" i="2"/>
  <c r="L1958" i="2"/>
  <c r="K1958" i="2"/>
  <c r="J1958" i="2"/>
  <c r="B1958" i="2"/>
  <c r="A1958" i="2"/>
  <c r="U1957" i="2"/>
  <c r="T1957" i="2"/>
  <c r="L1957" i="2"/>
  <c r="K1957" i="2"/>
  <c r="J1957" i="2"/>
  <c r="B1957" i="2"/>
  <c r="A1957" i="2"/>
  <c r="U1956" i="2"/>
  <c r="T1956" i="2"/>
  <c r="L1956" i="2"/>
  <c r="K1956" i="2"/>
  <c r="J1956" i="2"/>
  <c r="B1956" i="2"/>
  <c r="A1956" i="2"/>
  <c r="U1955" i="2"/>
  <c r="T1955" i="2"/>
  <c r="L1955" i="2"/>
  <c r="K1955" i="2"/>
  <c r="J1955" i="2"/>
  <c r="B1955" i="2"/>
  <c r="A1955" i="2"/>
  <c r="U1954" i="2"/>
  <c r="T1954" i="2"/>
  <c r="L1954" i="2"/>
  <c r="K1954" i="2"/>
  <c r="J1954" i="2"/>
  <c r="B1954" i="2"/>
  <c r="A1954" i="2"/>
  <c r="U1953" i="2"/>
  <c r="T1953" i="2"/>
  <c r="L1953" i="2"/>
  <c r="K1953" i="2"/>
  <c r="J1953" i="2"/>
  <c r="B1953" i="2"/>
  <c r="A1953" i="2"/>
  <c r="U1952" i="2"/>
  <c r="T1952" i="2"/>
  <c r="L1952" i="2"/>
  <c r="K1952" i="2"/>
  <c r="J1952" i="2"/>
  <c r="B1952" i="2"/>
  <c r="A1952" i="2"/>
  <c r="U1951" i="2"/>
  <c r="T1951" i="2"/>
  <c r="L1951" i="2"/>
  <c r="K1951" i="2"/>
  <c r="J1951" i="2"/>
  <c r="B1951" i="2"/>
  <c r="A1951" i="2"/>
  <c r="U1950" i="2"/>
  <c r="T1950" i="2"/>
  <c r="L1950" i="2"/>
  <c r="K1950" i="2"/>
  <c r="J1950" i="2"/>
  <c r="B1950" i="2"/>
  <c r="A1950" i="2"/>
  <c r="U1949" i="2"/>
  <c r="T1949" i="2"/>
  <c r="L1949" i="2"/>
  <c r="K1949" i="2"/>
  <c r="J1949" i="2"/>
  <c r="B1949" i="2"/>
  <c r="A1949" i="2"/>
  <c r="U1948" i="2"/>
  <c r="T1948" i="2"/>
  <c r="L1948" i="2"/>
  <c r="K1948" i="2"/>
  <c r="J1948" i="2"/>
  <c r="B1948" i="2"/>
  <c r="A1948" i="2"/>
  <c r="U1947" i="2"/>
  <c r="T1947" i="2"/>
  <c r="L1947" i="2"/>
  <c r="K1947" i="2"/>
  <c r="J1947" i="2"/>
  <c r="B1947" i="2"/>
  <c r="A1947" i="2"/>
  <c r="U1946" i="2"/>
  <c r="T1946" i="2"/>
  <c r="L1946" i="2"/>
  <c r="K1946" i="2"/>
  <c r="J1946" i="2"/>
  <c r="B1946" i="2"/>
  <c r="A1946" i="2"/>
  <c r="U1945" i="2"/>
  <c r="T1945" i="2"/>
  <c r="L1945" i="2"/>
  <c r="K1945" i="2"/>
  <c r="J1945" i="2"/>
  <c r="B1945" i="2"/>
  <c r="A1945" i="2"/>
  <c r="U1944" i="2"/>
  <c r="T1944" i="2"/>
  <c r="L1944" i="2"/>
  <c r="K1944" i="2"/>
  <c r="J1944" i="2"/>
  <c r="B1944" i="2"/>
  <c r="A1944" i="2"/>
  <c r="U1943" i="2"/>
  <c r="T1943" i="2"/>
  <c r="L1943" i="2"/>
  <c r="K1943" i="2"/>
  <c r="J1943" i="2"/>
  <c r="B1943" i="2"/>
  <c r="A1943" i="2"/>
  <c r="U1942" i="2"/>
  <c r="T1942" i="2"/>
  <c r="L1942" i="2"/>
  <c r="K1942" i="2"/>
  <c r="J1942" i="2"/>
  <c r="B1942" i="2"/>
  <c r="A1942" i="2"/>
  <c r="U1941" i="2"/>
  <c r="T1941" i="2"/>
  <c r="L1941" i="2"/>
  <c r="K1941" i="2"/>
  <c r="J1941" i="2"/>
  <c r="B1941" i="2"/>
  <c r="A1941" i="2"/>
  <c r="U1940" i="2"/>
  <c r="T1940" i="2"/>
  <c r="L1940" i="2"/>
  <c r="K1940" i="2"/>
  <c r="J1940" i="2"/>
  <c r="B1940" i="2"/>
  <c r="A1940" i="2"/>
  <c r="U1939" i="2"/>
  <c r="T1939" i="2"/>
  <c r="L1939" i="2"/>
  <c r="K1939" i="2"/>
  <c r="J1939" i="2"/>
  <c r="B1939" i="2"/>
  <c r="A1939" i="2"/>
  <c r="U1938" i="2"/>
  <c r="T1938" i="2"/>
  <c r="L1938" i="2"/>
  <c r="K1938" i="2"/>
  <c r="J1938" i="2"/>
  <c r="B1938" i="2"/>
  <c r="A1938" i="2"/>
  <c r="U1937" i="2"/>
  <c r="T1937" i="2"/>
  <c r="L1937" i="2"/>
  <c r="K1937" i="2"/>
  <c r="J1937" i="2"/>
  <c r="B1937" i="2"/>
  <c r="A1937" i="2"/>
  <c r="U1936" i="2"/>
  <c r="T1936" i="2"/>
  <c r="L1936" i="2"/>
  <c r="K1936" i="2"/>
  <c r="J1936" i="2"/>
  <c r="B1936" i="2"/>
  <c r="A1936" i="2"/>
  <c r="U1935" i="2"/>
  <c r="T1935" i="2"/>
  <c r="L1935" i="2"/>
  <c r="K1935" i="2"/>
  <c r="J1935" i="2"/>
  <c r="B1935" i="2"/>
  <c r="A1935" i="2"/>
  <c r="U1934" i="2"/>
  <c r="T1934" i="2"/>
  <c r="L1934" i="2"/>
  <c r="K1934" i="2"/>
  <c r="J1934" i="2"/>
  <c r="B1934" i="2"/>
  <c r="A1934" i="2"/>
  <c r="U1933" i="2"/>
  <c r="T1933" i="2"/>
  <c r="L1933" i="2"/>
  <c r="K1933" i="2"/>
  <c r="J1933" i="2"/>
  <c r="B1933" i="2"/>
  <c r="A1933" i="2"/>
  <c r="U1932" i="2"/>
  <c r="T1932" i="2"/>
  <c r="L1932" i="2"/>
  <c r="K1932" i="2"/>
  <c r="J1932" i="2"/>
  <c r="B1932" i="2"/>
  <c r="A1932" i="2"/>
  <c r="U1931" i="2"/>
  <c r="T1931" i="2"/>
  <c r="L1931" i="2"/>
  <c r="K1931" i="2"/>
  <c r="J1931" i="2"/>
  <c r="B1931" i="2"/>
  <c r="A1931" i="2"/>
  <c r="U1930" i="2"/>
  <c r="T1930" i="2"/>
  <c r="L1930" i="2"/>
  <c r="K1930" i="2"/>
  <c r="J1930" i="2"/>
  <c r="B1930" i="2"/>
  <c r="A1930" i="2"/>
  <c r="U1929" i="2"/>
  <c r="T1929" i="2"/>
  <c r="L1929" i="2"/>
  <c r="K1929" i="2"/>
  <c r="J1929" i="2"/>
  <c r="B1929" i="2"/>
  <c r="A1929" i="2"/>
  <c r="U1928" i="2"/>
  <c r="T1928" i="2"/>
  <c r="L1928" i="2"/>
  <c r="K1928" i="2"/>
  <c r="J1928" i="2"/>
  <c r="B1928" i="2"/>
  <c r="A1928" i="2"/>
  <c r="U1927" i="2"/>
  <c r="T1927" i="2"/>
  <c r="L1927" i="2"/>
  <c r="K1927" i="2"/>
  <c r="J1927" i="2"/>
  <c r="B1927" i="2"/>
  <c r="A1927" i="2"/>
  <c r="U1926" i="2"/>
  <c r="T1926" i="2"/>
  <c r="L1926" i="2"/>
  <c r="K1926" i="2"/>
  <c r="J1926" i="2"/>
  <c r="B1926" i="2"/>
  <c r="A1926" i="2"/>
  <c r="U1925" i="2"/>
  <c r="T1925" i="2"/>
  <c r="L1925" i="2"/>
  <c r="K1925" i="2"/>
  <c r="J1925" i="2"/>
  <c r="B1925" i="2"/>
  <c r="A1925" i="2"/>
  <c r="U1924" i="2"/>
  <c r="T1924" i="2"/>
  <c r="L1924" i="2"/>
  <c r="K1924" i="2"/>
  <c r="J1924" i="2"/>
  <c r="B1924" i="2"/>
  <c r="A1924" i="2"/>
  <c r="U1923" i="2"/>
  <c r="T1923" i="2"/>
  <c r="L1923" i="2"/>
  <c r="K1923" i="2"/>
  <c r="J1923" i="2"/>
  <c r="B1923" i="2"/>
  <c r="A1923" i="2"/>
  <c r="U1922" i="2"/>
  <c r="T1922" i="2"/>
  <c r="L1922" i="2"/>
  <c r="K1922" i="2"/>
  <c r="J1922" i="2"/>
  <c r="B1922" i="2"/>
  <c r="A1922" i="2"/>
  <c r="U1921" i="2"/>
  <c r="T1921" i="2"/>
  <c r="L1921" i="2"/>
  <c r="K1921" i="2"/>
  <c r="J1921" i="2"/>
  <c r="B1921" i="2"/>
  <c r="A1921" i="2"/>
  <c r="U1920" i="2"/>
  <c r="T1920" i="2"/>
  <c r="L1920" i="2"/>
  <c r="K1920" i="2"/>
  <c r="J1920" i="2"/>
  <c r="B1920" i="2"/>
  <c r="A1920" i="2"/>
  <c r="U1919" i="2"/>
  <c r="T1919" i="2"/>
  <c r="L1919" i="2"/>
  <c r="K1919" i="2"/>
  <c r="J1919" i="2"/>
  <c r="B1919" i="2"/>
  <c r="A1919" i="2"/>
  <c r="U1918" i="2"/>
  <c r="T1918" i="2"/>
  <c r="L1918" i="2"/>
  <c r="K1918" i="2"/>
  <c r="J1918" i="2"/>
  <c r="B1918" i="2"/>
  <c r="A1918" i="2"/>
  <c r="U1917" i="2"/>
  <c r="T1917" i="2"/>
  <c r="L1917" i="2"/>
  <c r="K1917" i="2"/>
  <c r="J1917" i="2"/>
  <c r="B1917" i="2"/>
  <c r="A1917" i="2"/>
  <c r="U1916" i="2"/>
  <c r="T1916" i="2"/>
  <c r="L1916" i="2"/>
  <c r="K1916" i="2"/>
  <c r="J1916" i="2"/>
  <c r="B1916" i="2"/>
  <c r="A1916" i="2"/>
  <c r="U1915" i="2"/>
  <c r="T1915" i="2"/>
  <c r="L1915" i="2"/>
  <c r="K1915" i="2"/>
  <c r="J1915" i="2"/>
  <c r="B1915" i="2"/>
  <c r="A1915" i="2"/>
  <c r="U1914" i="2"/>
  <c r="T1914" i="2"/>
  <c r="L1914" i="2"/>
  <c r="K1914" i="2"/>
  <c r="J1914" i="2"/>
  <c r="B1914" i="2"/>
  <c r="A1914" i="2"/>
  <c r="U1913" i="2"/>
  <c r="T1913" i="2"/>
  <c r="L1913" i="2"/>
  <c r="K1913" i="2"/>
  <c r="J1913" i="2"/>
  <c r="B1913" i="2"/>
  <c r="A1913" i="2"/>
  <c r="U1912" i="2"/>
  <c r="T1912" i="2"/>
  <c r="L1912" i="2"/>
  <c r="K1912" i="2"/>
  <c r="J1912" i="2"/>
  <c r="B1912" i="2"/>
  <c r="A1912" i="2"/>
  <c r="U1911" i="2"/>
  <c r="T1911" i="2"/>
  <c r="L1911" i="2"/>
  <c r="K1911" i="2"/>
  <c r="J1911" i="2"/>
  <c r="B1911" i="2"/>
  <c r="A1911" i="2"/>
  <c r="U1910" i="2"/>
  <c r="T1910" i="2"/>
  <c r="L1910" i="2"/>
  <c r="K1910" i="2"/>
  <c r="J1910" i="2"/>
  <c r="B1910" i="2"/>
  <c r="A1910" i="2"/>
  <c r="U1909" i="2"/>
  <c r="T1909" i="2"/>
  <c r="L1909" i="2"/>
  <c r="K1909" i="2"/>
  <c r="J1909" i="2"/>
  <c r="B1909" i="2"/>
  <c r="A1909" i="2"/>
  <c r="U1908" i="2"/>
  <c r="T1908" i="2"/>
  <c r="L1908" i="2"/>
  <c r="K1908" i="2"/>
  <c r="J1908" i="2"/>
  <c r="B1908" i="2"/>
  <c r="A1908" i="2"/>
  <c r="U1907" i="2"/>
  <c r="T1907" i="2"/>
  <c r="L1907" i="2"/>
  <c r="K1907" i="2"/>
  <c r="J1907" i="2"/>
  <c r="B1907" i="2"/>
  <c r="A1907" i="2"/>
  <c r="U1906" i="2"/>
  <c r="T1906" i="2"/>
  <c r="L1906" i="2"/>
  <c r="K1906" i="2"/>
  <c r="J1906" i="2"/>
  <c r="B1906" i="2"/>
  <c r="A1906" i="2"/>
  <c r="U1905" i="2"/>
  <c r="T1905" i="2"/>
  <c r="L1905" i="2"/>
  <c r="K1905" i="2"/>
  <c r="J1905" i="2"/>
  <c r="B1905" i="2"/>
  <c r="A1905" i="2"/>
  <c r="U1904" i="2"/>
  <c r="T1904" i="2"/>
  <c r="L1904" i="2"/>
  <c r="K1904" i="2"/>
  <c r="J1904" i="2"/>
  <c r="B1904" i="2"/>
  <c r="A1904" i="2"/>
  <c r="U1903" i="2"/>
  <c r="T1903" i="2"/>
  <c r="L1903" i="2"/>
  <c r="K1903" i="2"/>
  <c r="J1903" i="2"/>
  <c r="B1903" i="2"/>
  <c r="A1903" i="2"/>
  <c r="U1902" i="2"/>
  <c r="T1902" i="2"/>
  <c r="L1902" i="2"/>
  <c r="K1902" i="2"/>
  <c r="J1902" i="2"/>
  <c r="B1902" i="2"/>
  <c r="A1902" i="2"/>
  <c r="U1901" i="2"/>
  <c r="T1901" i="2"/>
  <c r="L1901" i="2"/>
  <c r="K1901" i="2"/>
  <c r="J1901" i="2"/>
  <c r="B1901" i="2"/>
  <c r="A1901" i="2"/>
  <c r="U1900" i="2"/>
  <c r="T1900" i="2"/>
  <c r="L1900" i="2"/>
  <c r="K1900" i="2"/>
  <c r="J1900" i="2"/>
  <c r="B1900" i="2"/>
  <c r="A1900" i="2"/>
  <c r="U1899" i="2"/>
  <c r="T1899" i="2"/>
  <c r="L1899" i="2"/>
  <c r="K1899" i="2"/>
  <c r="J1899" i="2"/>
  <c r="B1899" i="2"/>
  <c r="A1899" i="2"/>
  <c r="U1898" i="2"/>
  <c r="T1898" i="2"/>
  <c r="L1898" i="2"/>
  <c r="K1898" i="2"/>
  <c r="J1898" i="2"/>
  <c r="B1898" i="2"/>
  <c r="A1898" i="2"/>
  <c r="U1897" i="2"/>
  <c r="T1897" i="2"/>
  <c r="L1897" i="2"/>
  <c r="K1897" i="2"/>
  <c r="J1897" i="2"/>
  <c r="B1897" i="2"/>
  <c r="A1897" i="2"/>
  <c r="U1896" i="2"/>
  <c r="T1896" i="2"/>
  <c r="L1896" i="2"/>
  <c r="K1896" i="2"/>
  <c r="J1896" i="2"/>
  <c r="B1896" i="2"/>
  <c r="A1896" i="2"/>
  <c r="U1895" i="2"/>
  <c r="T1895" i="2"/>
  <c r="L1895" i="2"/>
  <c r="K1895" i="2"/>
  <c r="J1895" i="2"/>
  <c r="B1895" i="2"/>
  <c r="A1895" i="2"/>
  <c r="U1894" i="2"/>
  <c r="T1894" i="2"/>
  <c r="L1894" i="2"/>
  <c r="K1894" i="2"/>
  <c r="J1894" i="2"/>
  <c r="B1894" i="2"/>
  <c r="A1894" i="2"/>
  <c r="U1893" i="2"/>
  <c r="T1893" i="2"/>
  <c r="L1893" i="2"/>
  <c r="K1893" i="2"/>
  <c r="J1893" i="2"/>
  <c r="B1893" i="2"/>
  <c r="A1893" i="2"/>
  <c r="U1892" i="2"/>
  <c r="T1892" i="2"/>
  <c r="L1892" i="2"/>
  <c r="K1892" i="2"/>
  <c r="J1892" i="2"/>
  <c r="B1892" i="2"/>
  <c r="A1892" i="2"/>
  <c r="U1891" i="2"/>
  <c r="T1891" i="2"/>
  <c r="L1891" i="2"/>
  <c r="K1891" i="2"/>
  <c r="J1891" i="2"/>
  <c r="B1891" i="2"/>
  <c r="A1891" i="2"/>
  <c r="U1890" i="2"/>
  <c r="T1890" i="2"/>
  <c r="L1890" i="2"/>
  <c r="K1890" i="2"/>
  <c r="J1890" i="2"/>
  <c r="B1890" i="2"/>
  <c r="A1890" i="2"/>
  <c r="U1889" i="2"/>
  <c r="T1889" i="2"/>
  <c r="L1889" i="2"/>
  <c r="K1889" i="2"/>
  <c r="J1889" i="2"/>
  <c r="B1889" i="2"/>
  <c r="A1889" i="2"/>
  <c r="U1888" i="2"/>
  <c r="T1888" i="2"/>
  <c r="L1888" i="2"/>
  <c r="K1888" i="2"/>
  <c r="J1888" i="2"/>
  <c r="B1888" i="2"/>
  <c r="A1888" i="2"/>
  <c r="U1887" i="2"/>
  <c r="T1887" i="2"/>
  <c r="L1887" i="2"/>
  <c r="K1887" i="2"/>
  <c r="J1887" i="2"/>
  <c r="B1887" i="2"/>
  <c r="A1887" i="2"/>
  <c r="U1886" i="2"/>
  <c r="T1886" i="2"/>
  <c r="L1886" i="2"/>
  <c r="K1886" i="2"/>
  <c r="J1886" i="2"/>
  <c r="B1886" i="2"/>
  <c r="A1886" i="2"/>
  <c r="U1885" i="2"/>
  <c r="T1885" i="2"/>
  <c r="L1885" i="2"/>
  <c r="K1885" i="2"/>
  <c r="J1885" i="2"/>
  <c r="B1885" i="2"/>
  <c r="A1885" i="2"/>
  <c r="U1884" i="2"/>
  <c r="T1884" i="2"/>
  <c r="L1884" i="2"/>
  <c r="K1884" i="2"/>
  <c r="J1884" i="2"/>
  <c r="B1884" i="2"/>
  <c r="A1884" i="2"/>
  <c r="U1883" i="2"/>
  <c r="T1883" i="2"/>
  <c r="L1883" i="2"/>
  <c r="K1883" i="2"/>
  <c r="J1883" i="2"/>
  <c r="B1883" i="2"/>
  <c r="A1883" i="2"/>
  <c r="U1882" i="2"/>
  <c r="T1882" i="2"/>
  <c r="L1882" i="2"/>
  <c r="K1882" i="2"/>
  <c r="J1882" i="2"/>
  <c r="B1882" i="2"/>
  <c r="A1882" i="2"/>
  <c r="U1881" i="2"/>
  <c r="T1881" i="2"/>
  <c r="L1881" i="2"/>
  <c r="K1881" i="2"/>
  <c r="J1881" i="2"/>
  <c r="B1881" i="2"/>
  <c r="A1881" i="2"/>
  <c r="U1880" i="2"/>
  <c r="L1880" i="2"/>
  <c r="K1880" i="2"/>
  <c r="J1880" i="2"/>
  <c r="B1880" i="2"/>
  <c r="A1880" i="2"/>
  <c r="U1879" i="2"/>
  <c r="L1879" i="2"/>
  <c r="K1879" i="2"/>
  <c r="J1879" i="2"/>
  <c r="B1879" i="2"/>
  <c r="A1879" i="2"/>
  <c r="U1878" i="2"/>
  <c r="T1878" i="2"/>
  <c r="L1878" i="2"/>
  <c r="K1878" i="2"/>
  <c r="J1878" i="2"/>
  <c r="B1878" i="2"/>
  <c r="A1878" i="2"/>
  <c r="U1877" i="2"/>
  <c r="T1877" i="2"/>
  <c r="L1877" i="2"/>
  <c r="K1877" i="2"/>
  <c r="J1877" i="2"/>
  <c r="B1877" i="2"/>
  <c r="A1877" i="2"/>
  <c r="U1876" i="2"/>
  <c r="T1876" i="2"/>
  <c r="L1876" i="2"/>
  <c r="K1876" i="2"/>
  <c r="J1876" i="2"/>
  <c r="B1876" i="2"/>
  <c r="A1876" i="2"/>
  <c r="U1875" i="2"/>
  <c r="T1875" i="2"/>
  <c r="L1875" i="2"/>
  <c r="K1875" i="2"/>
  <c r="J1875" i="2"/>
  <c r="B1875" i="2"/>
  <c r="A1875" i="2"/>
  <c r="U1874" i="2"/>
  <c r="T1874" i="2"/>
  <c r="L1874" i="2"/>
  <c r="K1874" i="2"/>
  <c r="J1874" i="2"/>
  <c r="B1874" i="2"/>
  <c r="A1874" i="2"/>
  <c r="U1873" i="2"/>
  <c r="T1873" i="2"/>
  <c r="L1873" i="2"/>
  <c r="K1873" i="2"/>
  <c r="J1873" i="2"/>
  <c r="B1873" i="2"/>
  <c r="A1873" i="2"/>
  <c r="U1872" i="2"/>
  <c r="T1872" i="2"/>
  <c r="L1872" i="2"/>
  <c r="K1872" i="2"/>
  <c r="J1872" i="2"/>
  <c r="B1872" i="2"/>
  <c r="A1872" i="2"/>
  <c r="U1871" i="2"/>
  <c r="T1871" i="2"/>
  <c r="L1871" i="2"/>
  <c r="K1871" i="2"/>
  <c r="J1871" i="2"/>
  <c r="B1871" i="2"/>
  <c r="A1871" i="2"/>
  <c r="U1870" i="2"/>
  <c r="T1870" i="2"/>
  <c r="L1870" i="2"/>
  <c r="K1870" i="2"/>
  <c r="J1870" i="2"/>
  <c r="B1870" i="2"/>
  <c r="A1870" i="2"/>
  <c r="U1869" i="2"/>
  <c r="T1869" i="2"/>
  <c r="L1869" i="2"/>
  <c r="K1869" i="2"/>
  <c r="J1869" i="2"/>
  <c r="B1869" i="2"/>
  <c r="A1869" i="2"/>
  <c r="U1868" i="2"/>
  <c r="T1868" i="2"/>
  <c r="L1868" i="2"/>
  <c r="K1868" i="2"/>
  <c r="J1868" i="2"/>
  <c r="B1868" i="2"/>
  <c r="A1868" i="2"/>
  <c r="U1867" i="2"/>
  <c r="T1867" i="2"/>
  <c r="L1867" i="2"/>
  <c r="K1867" i="2"/>
  <c r="J1867" i="2"/>
  <c r="B1867" i="2"/>
  <c r="A1867" i="2"/>
  <c r="U1866" i="2"/>
  <c r="T1866" i="2"/>
  <c r="L1866" i="2"/>
  <c r="K1866" i="2"/>
  <c r="J1866" i="2"/>
  <c r="B1866" i="2"/>
  <c r="A1866" i="2"/>
  <c r="U1865" i="2"/>
  <c r="T1865" i="2"/>
  <c r="L1865" i="2"/>
  <c r="K1865" i="2"/>
  <c r="J1865" i="2"/>
  <c r="B1865" i="2"/>
  <c r="A1865" i="2"/>
  <c r="U1864" i="2"/>
  <c r="T1864" i="2"/>
  <c r="L1864" i="2"/>
  <c r="K1864" i="2"/>
  <c r="J1864" i="2"/>
  <c r="B1864" i="2"/>
  <c r="A1864" i="2"/>
  <c r="U1863" i="2"/>
  <c r="T1863" i="2"/>
  <c r="L1863" i="2"/>
  <c r="K1863" i="2"/>
  <c r="J1863" i="2"/>
  <c r="B1863" i="2"/>
  <c r="A1863" i="2"/>
  <c r="U1862" i="2"/>
  <c r="T1862" i="2"/>
  <c r="L1862" i="2"/>
  <c r="K1862" i="2"/>
  <c r="J1862" i="2"/>
  <c r="B1862" i="2"/>
  <c r="A1862" i="2"/>
  <c r="U1861" i="2"/>
  <c r="T1861" i="2"/>
  <c r="L1861" i="2"/>
  <c r="K1861" i="2"/>
  <c r="J1861" i="2"/>
  <c r="B1861" i="2"/>
  <c r="A1861" i="2"/>
  <c r="U1860" i="2"/>
  <c r="T1860" i="2"/>
  <c r="L1860" i="2"/>
  <c r="K1860" i="2"/>
  <c r="J1860" i="2"/>
  <c r="B1860" i="2"/>
  <c r="A1860" i="2"/>
  <c r="U1859" i="2"/>
  <c r="T1859" i="2"/>
  <c r="L1859" i="2"/>
  <c r="K1859" i="2"/>
  <c r="J1859" i="2"/>
  <c r="B1859" i="2"/>
  <c r="A1859" i="2"/>
  <c r="U1858" i="2"/>
  <c r="T1858" i="2"/>
  <c r="L1858" i="2"/>
  <c r="K1858" i="2"/>
  <c r="J1858" i="2"/>
  <c r="B1858" i="2"/>
  <c r="A1858" i="2"/>
  <c r="U1857" i="2"/>
  <c r="T1857" i="2"/>
  <c r="L1857" i="2"/>
  <c r="K1857" i="2"/>
  <c r="J1857" i="2"/>
  <c r="B1857" i="2"/>
  <c r="A1857" i="2"/>
  <c r="U1856" i="2"/>
  <c r="T1856" i="2"/>
  <c r="L1856" i="2"/>
  <c r="K1856" i="2"/>
  <c r="J1856" i="2"/>
  <c r="B1856" i="2"/>
  <c r="A1856" i="2"/>
  <c r="U1855" i="2"/>
  <c r="T1855" i="2"/>
  <c r="L1855" i="2"/>
  <c r="K1855" i="2"/>
  <c r="J1855" i="2"/>
  <c r="B1855" i="2"/>
  <c r="A1855" i="2"/>
  <c r="U1854" i="2"/>
  <c r="T1854" i="2"/>
  <c r="L1854" i="2"/>
  <c r="K1854" i="2"/>
  <c r="J1854" i="2"/>
  <c r="B1854" i="2"/>
  <c r="A1854" i="2"/>
  <c r="U1853" i="2"/>
  <c r="T1853" i="2"/>
  <c r="L1853" i="2"/>
  <c r="K1853" i="2"/>
  <c r="J1853" i="2"/>
  <c r="B1853" i="2"/>
  <c r="A1853" i="2"/>
  <c r="U1852" i="2"/>
  <c r="T1852" i="2"/>
  <c r="L1852" i="2"/>
  <c r="K1852" i="2"/>
  <c r="J1852" i="2"/>
  <c r="B1852" i="2"/>
  <c r="A1852" i="2"/>
  <c r="U1851" i="2"/>
  <c r="T1851" i="2"/>
  <c r="L1851" i="2"/>
  <c r="K1851" i="2"/>
  <c r="J1851" i="2"/>
  <c r="B1851" i="2"/>
  <c r="A1851" i="2"/>
  <c r="U1850" i="2"/>
  <c r="T1850" i="2"/>
  <c r="L1850" i="2"/>
  <c r="K1850" i="2"/>
  <c r="J1850" i="2"/>
  <c r="B1850" i="2"/>
  <c r="A1850" i="2"/>
  <c r="U1849" i="2"/>
  <c r="T1849" i="2"/>
  <c r="L1849" i="2"/>
  <c r="K1849" i="2"/>
  <c r="J1849" i="2"/>
  <c r="B1849" i="2"/>
  <c r="A1849" i="2"/>
  <c r="U1848" i="2"/>
  <c r="T1848" i="2"/>
  <c r="L1848" i="2"/>
  <c r="K1848" i="2"/>
  <c r="J1848" i="2"/>
  <c r="B1848" i="2"/>
  <c r="A1848" i="2"/>
  <c r="U1847" i="2"/>
  <c r="T1847" i="2"/>
  <c r="L1847" i="2"/>
  <c r="K1847" i="2"/>
  <c r="J1847" i="2"/>
  <c r="B1847" i="2"/>
  <c r="A1847" i="2"/>
  <c r="U1846" i="2"/>
  <c r="T1846" i="2"/>
  <c r="L1846" i="2"/>
  <c r="K1846" i="2"/>
  <c r="J1846" i="2"/>
  <c r="B1846" i="2"/>
  <c r="A1846" i="2"/>
  <c r="U1845" i="2"/>
  <c r="T1845" i="2"/>
  <c r="L1845" i="2"/>
  <c r="K1845" i="2"/>
  <c r="J1845" i="2"/>
  <c r="B1845" i="2"/>
  <c r="A1845" i="2"/>
  <c r="U1844" i="2"/>
  <c r="T1844" i="2"/>
  <c r="L1844" i="2"/>
  <c r="K1844" i="2"/>
  <c r="J1844" i="2"/>
  <c r="B1844" i="2"/>
  <c r="A1844" i="2"/>
  <c r="U1843" i="2"/>
  <c r="T1843" i="2"/>
  <c r="L1843" i="2"/>
  <c r="K1843" i="2"/>
  <c r="J1843" i="2"/>
  <c r="B1843" i="2"/>
  <c r="A1843" i="2"/>
  <c r="U1842" i="2"/>
  <c r="T1842" i="2"/>
  <c r="L1842" i="2"/>
  <c r="K1842" i="2"/>
  <c r="J1842" i="2"/>
  <c r="B1842" i="2"/>
  <c r="A1842" i="2"/>
  <c r="U1841" i="2"/>
  <c r="T1841" i="2"/>
  <c r="L1841" i="2"/>
  <c r="K1841" i="2"/>
  <c r="J1841" i="2"/>
  <c r="B1841" i="2"/>
  <c r="A1841" i="2"/>
  <c r="U1840" i="2"/>
  <c r="T1840" i="2"/>
  <c r="L1840" i="2"/>
  <c r="K1840" i="2"/>
  <c r="J1840" i="2"/>
  <c r="B1840" i="2"/>
  <c r="A1840" i="2"/>
  <c r="U1839" i="2"/>
  <c r="T1839" i="2"/>
  <c r="L1839" i="2"/>
  <c r="K1839" i="2"/>
  <c r="J1839" i="2"/>
  <c r="B1839" i="2"/>
  <c r="A1839" i="2"/>
  <c r="U1838" i="2"/>
  <c r="T1838" i="2"/>
  <c r="L1838" i="2"/>
  <c r="K1838" i="2"/>
  <c r="J1838" i="2"/>
  <c r="B1838" i="2"/>
  <c r="A1838" i="2"/>
  <c r="U1837" i="2"/>
  <c r="T1837" i="2"/>
  <c r="L1837" i="2"/>
  <c r="K1837" i="2"/>
  <c r="J1837" i="2"/>
  <c r="B1837" i="2"/>
  <c r="A1837" i="2"/>
  <c r="U1836" i="2"/>
  <c r="T1836" i="2"/>
  <c r="L1836" i="2"/>
  <c r="K1836" i="2"/>
  <c r="J1836" i="2"/>
  <c r="B1836" i="2"/>
  <c r="A1836" i="2"/>
  <c r="U1835" i="2"/>
  <c r="T1835" i="2"/>
  <c r="L1835" i="2"/>
  <c r="K1835" i="2"/>
  <c r="J1835" i="2"/>
  <c r="B1835" i="2"/>
  <c r="A1835" i="2"/>
  <c r="U1834" i="2"/>
  <c r="T1834" i="2"/>
  <c r="L1834" i="2"/>
  <c r="K1834" i="2"/>
  <c r="J1834" i="2"/>
  <c r="B1834" i="2"/>
  <c r="A1834" i="2"/>
  <c r="U1833" i="2"/>
  <c r="T1833" i="2"/>
  <c r="L1833" i="2"/>
  <c r="K1833" i="2"/>
  <c r="J1833" i="2"/>
  <c r="B1833" i="2"/>
  <c r="A1833" i="2"/>
  <c r="U1832" i="2"/>
  <c r="T1832" i="2"/>
  <c r="L1832" i="2"/>
  <c r="K1832" i="2"/>
  <c r="J1832" i="2"/>
  <c r="B1832" i="2"/>
  <c r="A1832" i="2"/>
  <c r="U1831" i="2"/>
  <c r="T1831" i="2"/>
  <c r="L1831" i="2"/>
  <c r="K1831" i="2"/>
  <c r="J1831" i="2"/>
  <c r="B1831" i="2"/>
  <c r="A1831" i="2"/>
  <c r="U1830" i="2"/>
  <c r="T1830" i="2"/>
  <c r="L1830" i="2"/>
  <c r="K1830" i="2"/>
  <c r="J1830" i="2"/>
  <c r="B1830" i="2"/>
  <c r="A1830" i="2"/>
  <c r="U1829" i="2"/>
  <c r="T1829" i="2"/>
  <c r="L1829" i="2"/>
  <c r="K1829" i="2"/>
  <c r="J1829" i="2"/>
  <c r="B1829" i="2"/>
  <c r="A1829" i="2"/>
  <c r="U1828" i="2"/>
  <c r="T1828" i="2"/>
  <c r="L1828" i="2"/>
  <c r="K1828" i="2"/>
  <c r="J1828" i="2"/>
  <c r="B1828" i="2"/>
  <c r="A1828" i="2"/>
  <c r="U1827" i="2"/>
  <c r="T1827" i="2"/>
  <c r="L1827" i="2"/>
  <c r="K1827" i="2"/>
  <c r="J1827" i="2"/>
  <c r="B1827" i="2"/>
  <c r="A1827" i="2"/>
  <c r="U1826" i="2"/>
  <c r="T1826" i="2"/>
  <c r="L1826" i="2"/>
  <c r="K1826" i="2"/>
  <c r="J1826" i="2"/>
  <c r="B1826" i="2"/>
  <c r="A1826" i="2"/>
  <c r="U1825" i="2"/>
  <c r="T1825" i="2"/>
  <c r="L1825" i="2"/>
  <c r="K1825" i="2"/>
  <c r="J1825" i="2"/>
  <c r="B1825" i="2"/>
  <c r="A1825" i="2"/>
  <c r="U1824" i="2"/>
  <c r="T1824" i="2"/>
  <c r="L1824" i="2"/>
  <c r="K1824" i="2"/>
  <c r="J1824" i="2"/>
  <c r="B1824" i="2"/>
  <c r="A1824" i="2"/>
  <c r="U1823" i="2"/>
  <c r="T1823" i="2"/>
  <c r="L1823" i="2"/>
  <c r="K1823" i="2"/>
  <c r="J1823" i="2"/>
  <c r="B1823" i="2"/>
  <c r="A1823" i="2"/>
  <c r="U1822" i="2"/>
  <c r="T1822" i="2"/>
  <c r="L1822" i="2"/>
  <c r="K1822" i="2"/>
  <c r="J1822" i="2"/>
  <c r="B1822" i="2"/>
  <c r="A1822" i="2"/>
  <c r="U1821" i="2"/>
  <c r="T1821" i="2"/>
  <c r="L1821" i="2"/>
  <c r="K1821" i="2"/>
  <c r="J1821" i="2"/>
  <c r="B1821" i="2"/>
  <c r="A1821" i="2"/>
  <c r="U1820" i="2"/>
  <c r="T1820" i="2"/>
  <c r="L1820" i="2"/>
  <c r="K1820" i="2"/>
  <c r="J1820" i="2"/>
  <c r="B1820" i="2"/>
  <c r="A1820" i="2"/>
  <c r="U1819" i="2"/>
  <c r="T1819" i="2"/>
  <c r="L1819" i="2"/>
  <c r="K1819" i="2"/>
  <c r="J1819" i="2"/>
  <c r="B1819" i="2"/>
  <c r="A1819" i="2"/>
  <c r="U1818" i="2"/>
  <c r="T1818" i="2"/>
  <c r="L1818" i="2"/>
  <c r="K1818" i="2"/>
  <c r="J1818" i="2"/>
  <c r="B1818" i="2"/>
  <c r="A1818" i="2"/>
  <c r="U1817" i="2"/>
  <c r="T1817" i="2"/>
  <c r="L1817" i="2"/>
  <c r="K1817" i="2"/>
  <c r="J1817" i="2"/>
  <c r="B1817" i="2"/>
  <c r="A1817" i="2"/>
  <c r="U1816" i="2"/>
  <c r="T1816" i="2"/>
  <c r="L1816" i="2"/>
  <c r="K1816" i="2"/>
  <c r="J1816" i="2"/>
  <c r="B1816" i="2"/>
  <c r="A1816" i="2"/>
  <c r="U1815" i="2"/>
  <c r="T1815" i="2"/>
  <c r="L1815" i="2"/>
  <c r="K1815" i="2"/>
  <c r="J1815" i="2"/>
  <c r="B1815" i="2"/>
  <c r="A1815" i="2"/>
  <c r="U1814" i="2"/>
  <c r="T1814" i="2"/>
  <c r="L1814" i="2"/>
  <c r="K1814" i="2"/>
  <c r="J1814" i="2"/>
  <c r="B1814" i="2"/>
  <c r="A1814" i="2"/>
  <c r="U1813" i="2"/>
  <c r="T1813" i="2"/>
  <c r="L1813" i="2"/>
  <c r="K1813" i="2"/>
  <c r="J1813" i="2"/>
  <c r="B1813" i="2"/>
  <c r="A1813" i="2"/>
  <c r="U1812" i="2"/>
  <c r="T1812" i="2"/>
  <c r="L1812" i="2"/>
  <c r="K1812" i="2"/>
  <c r="J1812" i="2"/>
  <c r="B1812" i="2"/>
  <c r="A1812" i="2"/>
  <c r="U1811" i="2"/>
  <c r="T1811" i="2"/>
  <c r="L1811" i="2"/>
  <c r="K1811" i="2"/>
  <c r="J1811" i="2"/>
  <c r="B1811" i="2"/>
  <c r="A1811" i="2"/>
  <c r="U1810" i="2"/>
  <c r="T1810" i="2"/>
  <c r="L1810" i="2"/>
  <c r="K1810" i="2"/>
  <c r="J1810" i="2"/>
  <c r="B1810" i="2"/>
  <c r="A1810" i="2"/>
  <c r="U1809" i="2"/>
  <c r="T1809" i="2"/>
  <c r="L1809" i="2"/>
  <c r="K1809" i="2"/>
  <c r="J1809" i="2"/>
  <c r="B1809" i="2"/>
  <c r="A1809" i="2"/>
  <c r="U1808" i="2"/>
  <c r="T1808" i="2"/>
  <c r="L1808" i="2"/>
  <c r="K1808" i="2"/>
  <c r="J1808" i="2"/>
  <c r="B1808" i="2"/>
  <c r="A1808" i="2"/>
  <c r="U1807" i="2"/>
  <c r="T1807" i="2"/>
  <c r="L1807" i="2"/>
  <c r="K1807" i="2"/>
  <c r="J1807" i="2"/>
  <c r="B1807" i="2"/>
  <c r="A1807" i="2"/>
  <c r="U1806" i="2"/>
  <c r="T1806" i="2"/>
  <c r="L1806" i="2"/>
  <c r="K1806" i="2"/>
  <c r="J1806" i="2"/>
  <c r="B1806" i="2"/>
  <c r="A1806" i="2"/>
  <c r="U1805" i="2"/>
  <c r="T1805" i="2"/>
  <c r="L1805" i="2"/>
  <c r="K1805" i="2"/>
  <c r="J1805" i="2"/>
  <c r="B1805" i="2"/>
  <c r="A1805" i="2"/>
  <c r="U1804" i="2"/>
  <c r="T1804" i="2"/>
  <c r="L1804" i="2"/>
  <c r="K1804" i="2"/>
  <c r="J1804" i="2"/>
  <c r="B1804" i="2"/>
  <c r="A1804" i="2"/>
  <c r="U1803" i="2"/>
  <c r="T1803" i="2"/>
  <c r="L1803" i="2"/>
  <c r="K1803" i="2"/>
  <c r="J1803" i="2"/>
  <c r="B1803" i="2"/>
  <c r="A1803" i="2"/>
  <c r="U1802" i="2"/>
  <c r="T1802" i="2"/>
  <c r="L1802" i="2"/>
  <c r="K1802" i="2"/>
  <c r="J1802" i="2"/>
  <c r="B1802" i="2"/>
  <c r="A1802" i="2"/>
  <c r="U1801" i="2"/>
  <c r="T1801" i="2"/>
  <c r="L1801" i="2"/>
  <c r="K1801" i="2"/>
  <c r="J1801" i="2"/>
  <c r="B1801" i="2"/>
  <c r="A1801" i="2"/>
  <c r="U1800" i="2"/>
  <c r="T1800" i="2"/>
  <c r="L1800" i="2"/>
  <c r="K1800" i="2"/>
  <c r="J1800" i="2"/>
  <c r="B1800" i="2"/>
  <c r="A1800" i="2"/>
  <c r="U1799" i="2"/>
  <c r="T1799" i="2"/>
  <c r="L1799" i="2"/>
  <c r="K1799" i="2"/>
  <c r="J1799" i="2"/>
  <c r="B1799" i="2"/>
  <c r="A1799" i="2"/>
  <c r="U1798" i="2"/>
  <c r="T1798" i="2"/>
  <c r="L1798" i="2"/>
  <c r="K1798" i="2"/>
  <c r="J1798" i="2"/>
  <c r="B1798" i="2"/>
  <c r="A1798" i="2"/>
  <c r="U1797" i="2"/>
  <c r="L1797" i="2"/>
  <c r="K1797" i="2"/>
  <c r="J1797" i="2"/>
  <c r="B1797" i="2"/>
  <c r="A1797" i="2"/>
  <c r="U1796" i="2"/>
  <c r="T1796" i="2"/>
  <c r="L1796" i="2"/>
  <c r="K1796" i="2"/>
  <c r="J1796" i="2"/>
  <c r="B1796" i="2"/>
  <c r="A1796" i="2"/>
  <c r="U1795" i="2"/>
  <c r="T1795" i="2"/>
  <c r="L1795" i="2"/>
  <c r="K1795" i="2"/>
  <c r="J1795" i="2"/>
  <c r="B1795" i="2"/>
  <c r="A1795" i="2"/>
  <c r="U1794" i="2"/>
  <c r="T1794" i="2"/>
  <c r="L1794" i="2"/>
  <c r="K1794" i="2"/>
  <c r="J1794" i="2"/>
  <c r="B1794" i="2"/>
  <c r="A1794" i="2"/>
  <c r="U1793" i="2"/>
  <c r="T1793" i="2"/>
  <c r="L1793" i="2"/>
  <c r="K1793" i="2"/>
  <c r="J1793" i="2"/>
  <c r="B1793" i="2"/>
  <c r="A1793" i="2"/>
  <c r="U1792" i="2"/>
  <c r="T1792" i="2"/>
  <c r="L1792" i="2"/>
  <c r="K1792" i="2"/>
  <c r="J1792" i="2"/>
  <c r="B1792" i="2"/>
  <c r="A1792" i="2"/>
  <c r="U1791" i="2"/>
  <c r="T1791" i="2"/>
  <c r="L1791" i="2"/>
  <c r="K1791" i="2"/>
  <c r="J1791" i="2"/>
  <c r="B1791" i="2"/>
  <c r="A1791" i="2"/>
  <c r="U1790" i="2"/>
  <c r="T1790" i="2"/>
  <c r="L1790" i="2"/>
  <c r="K1790" i="2"/>
  <c r="J1790" i="2"/>
  <c r="B1790" i="2"/>
  <c r="A1790" i="2"/>
  <c r="U1789" i="2"/>
  <c r="T1789" i="2"/>
  <c r="L1789" i="2"/>
  <c r="K1789" i="2"/>
  <c r="J1789" i="2"/>
  <c r="B1789" i="2"/>
  <c r="A1789" i="2"/>
  <c r="U1788" i="2"/>
  <c r="T1788" i="2"/>
  <c r="L1788" i="2"/>
  <c r="K1788" i="2"/>
  <c r="J1788" i="2"/>
  <c r="B1788" i="2"/>
  <c r="A1788" i="2"/>
  <c r="U1787" i="2"/>
  <c r="T1787" i="2"/>
  <c r="L1787" i="2"/>
  <c r="K1787" i="2"/>
  <c r="J1787" i="2"/>
  <c r="B1787" i="2"/>
  <c r="A1787" i="2"/>
  <c r="U1786" i="2"/>
  <c r="T1786" i="2"/>
  <c r="L1786" i="2"/>
  <c r="K1786" i="2"/>
  <c r="J1786" i="2"/>
  <c r="B1786" i="2"/>
  <c r="A1786" i="2"/>
  <c r="U1785" i="2"/>
  <c r="T1785" i="2"/>
  <c r="L1785" i="2"/>
  <c r="K1785" i="2"/>
  <c r="J1785" i="2"/>
  <c r="B1785" i="2"/>
  <c r="A1785" i="2"/>
  <c r="U1784" i="2"/>
  <c r="T1784" i="2"/>
  <c r="L1784" i="2"/>
  <c r="K1784" i="2"/>
  <c r="J1784" i="2"/>
  <c r="B1784" i="2"/>
  <c r="A1784" i="2"/>
  <c r="U1783" i="2"/>
  <c r="T1783" i="2"/>
  <c r="L1783" i="2"/>
  <c r="K1783" i="2"/>
  <c r="J1783" i="2"/>
  <c r="B1783" i="2"/>
  <c r="A1783" i="2"/>
  <c r="U1782" i="2"/>
  <c r="T1782" i="2"/>
  <c r="L1782" i="2"/>
  <c r="K1782" i="2"/>
  <c r="J1782" i="2"/>
  <c r="B1782" i="2"/>
  <c r="A1782" i="2"/>
  <c r="U1781" i="2"/>
  <c r="T1781" i="2"/>
  <c r="L1781" i="2"/>
  <c r="K1781" i="2"/>
  <c r="J1781" i="2"/>
  <c r="B1781" i="2"/>
  <c r="A1781" i="2"/>
  <c r="U1780" i="2"/>
  <c r="T1780" i="2"/>
  <c r="L1780" i="2"/>
  <c r="K1780" i="2"/>
  <c r="J1780" i="2"/>
  <c r="B1780" i="2"/>
  <c r="A1780" i="2"/>
  <c r="U1779" i="2"/>
  <c r="T1779" i="2"/>
  <c r="L1779" i="2"/>
  <c r="K1779" i="2"/>
  <c r="J1779" i="2"/>
  <c r="B1779" i="2"/>
  <c r="A1779" i="2"/>
  <c r="U1778" i="2"/>
  <c r="T1778" i="2"/>
  <c r="L1778" i="2"/>
  <c r="K1778" i="2"/>
  <c r="J1778" i="2"/>
  <c r="B1778" i="2"/>
  <c r="A1778" i="2"/>
  <c r="U1777" i="2"/>
  <c r="T1777" i="2"/>
  <c r="L1777" i="2"/>
  <c r="K1777" i="2"/>
  <c r="J1777" i="2"/>
  <c r="B1777" i="2"/>
  <c r="A1777" i="2"/>
  <c r="U1776" i="2"/>
  <c r="T1776" i="2"/>
  <c r="L1776" i="2"/>
  <c r="K1776" i="2"/>
  <c r="J1776" i="2"/>
  <c r="B1776" i="2"/>
  <c r="A1776" i="2"/>
  <c r="U1775" i="2"/>
  <c r="T1775" i="2"/>
  <c r="L1775" i="2"/>
  <c r="K1775" i="2"/>
  <c r="J1775" i="2"/>
  <c r="B1775" i="2"/>
  <c r="A1775" i="2"/>
  <c r="U1774" i="2"/>
  <c r="T1774" i="2"/>
  <c r="L1774" i="2"/>
  <c r="K1774" i="2"/>
  <c r="J1774" i="2"/>
  <c r="B1774" i="2"/>
  <c r="A1774" i="2"/>
  <c r="U1773" i="2"/>
  <c r="T1773" i="2"/>
  <c r="L1773" i="2"/>
  <c r="K1773" i="2"/>
  <c r="J1773" i="2"/>
  <c r="B1773" i="2"/>
  <c r="A1773" i="2"/>
  <c r="U1772" i="2"/>
  <c r="T1772" i="2"/>
  <c r="L1772" i="2"/>
  <c r="K1772" i="2"/>
  <c r="J1772" i="2"/>
  <c r="B1772" i="2"/>
  <c r="A1772" i="2"/>
  <c r="U1771" i="2"/>
  <c r="T1771" i="2"/>
  <c r="L1771" i="2"/>
  <c r="K1771" i="2"/>
  <c r="J1771" i="2"/>
  <c r="B1771" i="2"/>
  <c r="A1771" i="2"/>
  <c r="U1770" i="2"/>
  <c r="T1770" i="2"/>
  <c r="L1770" i="2"/>
  <c r="K1770" i="2"/>
  <c r="J1770" i="2"/>
  <c r="B1770" i="2"/>
  <c r="A1770" i="2"/>
  <c r="U1769" i="2"/>
  <c r="L1769" i="2"/>
  <c r="K1769" i="2"/>
  <c r="J1769" i="2"/>
  <c r="B1769" i="2"/>
  <c r="A1769" i="2"/>
  <c r="U1768" i="2"/>
  <c r="L1768" i="2"/>
  <c r="K1768" i="2"/>
  <c r="J1768" i="2"/>
  <c r="B1768" i="2"/>
  <c r="A1768" i="2"/>
  <c r="U1767" i="2"/>
  <c r="L1767" i="2"/>
  <c r="K1767" i="2"/>
  <c r="J1767" i="2"/>
  <c r="B1767" i="2"/>
  <c r="A1767" i="2"/>
  <c r="U1766" i="2"/>
  <c r="L1766" i="2"/>
  <c r="K1766" i="2"/>
  <c r="J1766" i="2"/>
  <c r="B1766" i="2"/>
  <c r="A1766" i="2"/>
  <c r="U1765" i="2"/>
  <c r="L1765" i="2"/>
  <c r="K1765" i="2"/>
  <c r="J1765" i="2"/>
  <c r="B1765" i="2"/>
  <c r="A1765" i="2"/>
  <c r="U1764" i="2"/>
  <c r="L1764" i="2"/>
  <c r="K1764" i="2"/>
  <c r="J1764" i="2"/>
  <c r="B1764" i="2"/>
  <c r="A1764" i="2"/>
  <c r="U1763" i="2"/>
  <c r="T1763" i="2"/>
  <c r="L1763" i="2"/>
  <c r="K1763" i="2"/>
  <c r="J1763" i="2"/>
  <c r="B1763" i="2"/>
  <c r="A1763" i="2"/>
  <c r="U1762" i="2"/>
  <c r="T1762" i="2"/>
  <c r="L1762" i="2"/>
  <c r="K1762" i="2"/>
  <c r="J1762" i="2"/>
  <c r="B1762" i="2"/>
  <c r="A1762" i="2"/>
  <c r="U1761" i="2"/>
  <c r="T1761" i="2"/>
  <c r="L1761" i="2"/>
  <c r="K1761" i="2"/>
  <c r="J1761" i="2"/>
  <c r="B1761" i="2"/>
  <c r="A1761" i="2"/>
  <c r="U1760" i="2"/>
  <c r="T1760" i="2"/>
  <c r="L1760" i="2"/>
  <c r="K1760" i="2"/>
  <c r="J1760" i="2"/>
  <c r="B1760" i="2"/>
  <c r="A1760" i="2"/>
  <c r="U1759" i="2"/>
  <c r="T1759" i="2"/>
  <c r="L1759" i="2"/>
  <c r="K1759" i="2"/>
  <c r="J1759" i="2"/>
  <c r="B1759" i="2"/>
  <c r="A1759" i="2"/>
  <c r="U1758" i="2"/>
  <c r="T1758" i="2"/>
  <c r="L1758" i="2"/>
  <c r="K1758" i="2"/>
  <c r="J1758" i="2"/>
  <c r="B1758" i="2"/>
  <c r="A1758" i="2"/>
  <c r="U1757" i="2"/>
  <c r="T1757" i="2"/>
  <c r="L1757" i="2"/>
  <c r="K1757" i="2"/>
  <c r="J1757" i="2"/>
  <c r="B1757" i="2"/>
  <c r="A1757" i="2"/>
  <c r="U1756" i="2"/>
  <c r="T1756" i="2"/>
  <c r="L1756" i="2"/>
  <c r="K1756" i="2"/>
  <c r="J1756" i="2"/>
  <c r="B1756" i="2"/>
  <c r="A1756" i="2"/>
  <c r="U1755" i="2"/>
  <c r="T1755" i="2"/>
  <c r="L1755" i="2"/>
  <c r="K1755" i="2"/>
  <c r="J1755" i="2"/>
  <c r="B1755" i="2"/>
  <c r="A1755" i="2"/>
  <c r="U1754" i="2"/>
  <c r="T1754" i="2"/>
  <c r="L1754" i="2"/>
  <c r="K1754" i="2"/>
  <c r="J1754" i="2"/>
  <c r="B1754" i="2"/>
  <c r="A1754" i="2"/>
  <c r="U1753" i="2"/>
  <c r="T1753" i="2"/>
  <c r="L1753" i="2"/>
  <c r="K1753" i="2"/>
  <c r="J1753" i="2"/>
  <c r="B1753" i="2"/>
  <c r="A1753" i="2"/>
  <c r="U1752" i="2"/>
  <c r="L1752" i="2"/>
  <c r="K1752" i="2"/>
  <c r="J1752" i="2"/>
  <c r="B1752" i="2"/>
  <c r="A1752" i="2"/>
  <c r="U1751" i="2"/>
  <c r="L1751" i="2"/>
  <c r="K1751" i="2"/>
  <c r="J1751" i="2"/>
  <c r="B1751" i="2"/>
  <c r="A1751" i="2"/>
  <c r="U1750" i="2"/>
  <c r="L1750" i="2"/>
  <c r="K1750" i="2"/>
  <c r="J1750" i="2"/>
  <c r="B1750" i="2"/>
  <c r="A1750" i="2"/>
  <c r="U1749" i="2"/>
  <c r="L1749" i="2"/>
  <c r="K1749" i="2"/>
  <c r="J1749" i="2"/>
  <c r="B1749" i="2"/>
  <c r="A1749" i="2"/>
  <c r="U1748" i="2"/>
  <c r="T1748" i="2"/>
  <c r="L1748" i="2"/>
  <c r="K1748" i="2"/>
  <c r="J1748" i="2"/>
  <c r="B1748" i="2"/>
  <c r="A1748" i="2"/>
  <c r="U1747" i="2"/>
  <c r="T1747" i="2"/>
  <c r="L1747" i="2"/>
  <c r="K1747" i="2"/>
  <c r="J1747" i="2"/>
  <c r="B1747" i="2"/>
  <c r="A1747" i="2"/>
  <c r="U1746" i="2"/>
  <c r="T1746" i="2"/>
  <c r="L1746" i="2"/>
  <c r="K1746" i="2"/>
  <c r="J1746" i="2"/>
  <c r="B1746" i="2"/>
  <c r="A1746" i="2"/>
  <c r="U1745" i="2"/>
  <c r="T1745" i="2"/>
  <c r="L1745" i="2"/>
  <c r="K1745" i="2"/>
  <c r="J1745" i="2"/>
  <c r="B1745" i="2"/>
  <c r="A1745" i="2"/>
  <c r="U1744" i="2"/>
  <c r="T1744" i="2"/>
  <c r="L1744" i="2"/>
  <c r="K1744" i="2"/>
  <c r="J1744" i="2"/>
  <c r="B1744" i="2"/>
  <c r="A1744" i="2"/>
  <c r="U1743" i="2"/>
  <c r="T1743" i="2"/>
  <c r="L1743" i="2"/>
  <c r="K1743" i="2"/>
  <c r="J1743" i="2"/>
  <c r="B1743" i="2"/>
  <c r="A1743" i="2"/>
  <c r="U1742" i="2"/>
  <c r="T1742" i="2"/>
  <c r="L1742" i="2"/>
  <c r="K1742" i="2"/>
  <c r="J1742" i="2"/>
  <c r="B1742" i="2"/>
  <c r="A1742" i="2"/>
  <c r="U1741" i="2"/>
  <c r="T1741" i="2"/>
  <c r="L1741" i="2"/>
  <c r="K1741" i="2"/>
  <c r="J1741" i="2"/>
  <c r="B1741" i="2"/>
  <c r="A1741" i="2"/>
  <c r="U1740" i="2"/>
  <c r="T1740" i="2"/>
  <c r="L1740" i="2"/>
  <c r="K1740" i="2"/>
  <c r="J1740" i="2"/>
  <c r="B1740" i="2"/>
  <c r="A1740" i="2"/>
  <c r="U1739" i="2"/>
  <c r="T1739" i="2"/>
  <c r="L1739" i="2"/>
  <c r="K1739" i="2"/>
  <c r="J1739" i="2"/>
  <c r="B1739" i="2"/>
  <c r="A1739" i="2"/>
  <c r="U1738" i="2"/>
  <c r="T1738" i="2"/>
  <c r="L1738" i="2"/>
  <c r="K1738" i="2"/>
  <c r="J1738" i="2"/>
  <c r="B1738" i="2"/>
  <c r="A1738" i="2"/>
  <c r="U1737" i="2"/>
  <c r="T1737" i="2"/>
  <c r="L1737" i="2"/>
  <c r="K1737" i="2"/>
  <c r="J1737" i="2"/>
  <c r="B1737" i="2"/>
  <c r="A1737" i="2"/>
  <c r="U1736" i="2"/>
  <c r="T1736" i="2"/>
  <c r="L1736" i="2"/>
  <c r="K1736" i="2"/>
  <c r="J1736" i="2"/>
  <c r="B1736" i="2"/>
  <c r="A1736" i="2"/>
  <c r="U1735" i="2"/>
  <c r="T1735" i="2"/>
  <c r="L1735" i="2"/>
  <c r="K1735" i="2"/>
  <c r="J1735" i="2"/>
  <c r="B1735" i="2"/>
  <c r="A1735" i="2"/>
  <c r="U1734" i="2"/>
  <c r="T1734" i="2"/>
  <c r="L1734" i="2"/>
  <c r="K1734" i="2"/>
  <c r="J1734" i="2"/>
  <c r="B1734" i="2"/>
  <c r="A1734" i="2"/>
  <c r="U1733" i="2"/>
  <c r="T1733" i="2"/>
  <c r="L1733" i="2"/>
  <c r="K1733" i="2"/>
  <c r="J1733" i="2"/>
  <c r="B1733" i="2"/>
  <c r="A1733" i="2"/>
  <c r="U1732" i="2"/>
  <c r="T1732" i="2"/>
  <c r="L1732" i="2"/>
  <c r="K1732" i="2"/>
  <c r="J1732" i="2"/>
  <c r="B1732" i="2"/>
  <c r="A1732" i="2"/>
  <c r="U1731" i="2"/>
  <c r="T1731" i="2"/>
  <c r="L1731" i="2"/>
  <c r="K1731" i="2"/>
  <c r="J1731" i="2"/>
  <c r="B1731" i="2"/>
  <c r="A1731" i="2"/>
  <c r="U1730" i="2"/>
  <c r="T1730" i="2"/>
  <c r="L1730" i="2"/>
  <c r="K1730" i="2"/>
  <c r="J1730" i="2"/>
  <c r="B1730" i="2"/>
  <c r="A1730" i="2"/>
  <c r="U1729" i="2"/>
  <c r="T1729" i="2"/>
  <c r="L1729" i="2"/>
  <c r="K1729" i="2"/>
  <c r="J1729" i="2"/>
  <c r="B1729" i="2"/>
  <c r="A1729" i="2"/>
  <c r="U1728" i="2"/>
  <c r="T1728" i="2"/>
  <c r="L1728" i="2"/>
  <c r="K1728" i="2"/>
  <c r="J1728" i="2"/>
  <c r="B1728" i="2"/>
  <c r="A1728" i="2"/>
  <c r="U1727" i="2"/>
  <c r="T1727" i="2"/>
  <c r="L1727" i="2"/>
  <c r="K1727" i="2"/>
  <c r="J1727" i="2"/>
  <c r="B1727" i="2"/>
  <c r="A1727" i="2"/>
  <c r="U1726" i="2"/>
  <c r="T1726" i="2"/>
  <c r="L1726" i="2"/>
  <c r="K1726" i="2"/>
  <c r="J1726" i="2"/>
  <c r="B1726" i="2"/>
  <c r="A1726" i="2"/>
  <c r="U1725" i="2"/>
  <c r="T1725" i="2"/>
  <c r="L1725" i="2"/>
  <c r="K1725" i="2"/>
  <c r="J1725" i="2"/>
  <c r="B1725" i="2"/>
  <c r="A1725" i="2"/>
  <c r="U1724" i="2"/>
  <c r="T1724" i="2"/>
  <c r="L1724" i="2"/>
  <c r="K1724" i="2"/>
  <c r="J1724" i="2"/>
  <c r="B1724" i="2"/>
  <c r="A1724" i="2"/>
  <c r="U1723" i="2"/>
  <c r="T1723" i="2"/>
  <c r="L1723" i="2"/>
  <c r="K1723" i="2"/>
  <c r="J1723" i="2"/>
  <c r="B1723" i="2"/>
  <c r="A1723" i="2"/>
  <c r="U1722" i="2"/>
  <c r="T1722" i="2"/>
  <c r="L1722" i="2"/>
  <c r="K1722" i="2"/>
  <c r="J1722" i="2"/>
  <c r="B1722" i="2"/>
  <c r="A1722" i="2"/>
  <c r="U1721" i="2"/>
  <c r="T1721" i="2"/>
  <c r="L1721" i="2"/>
  <c r="K1721" i="2"/>
  <c r="J1721" i="2"/>
  <c r="B1721" i="2"/>
  <c r="A1721" i="2"/>
  <c r="U1720" i="2"/>
  <c r="T1720" i="2"/>
  <c r="L1720" i="2"/>
  <c r="K1720" i="2"/>
  <c r="J1720" i="2"/>
  <c r="B1720" i="2"/>
  <c r="A1720" i="2"/>
  <c r="U1719" i="2"/>
  <c r="T1719" i="2"/>
  <c r="L1719" i="2"/>
  <c r="K1719" i="2"/>
  <c r="J1719" i="2"/>
  <c r="B1719" i="2"/>
  <c r="A1719" i="2"/>
  <c r="U1718" i="2"/>
  <c r="T1718" i="2"/>
  <c r="L1718" i="2"/>
  <c r="K1718" i="2"/>
  <c r="J1718" i="2"/>
  <c r="B1718" i="2"/>
  <c r="A1718" i="2"/>
  <c r="U1717" i="2"/>
  <c r="T1717" i="2"/>
  <c r="L1717" i="2"/>
  <c r="K1717" i="2"/>
  <c r="J1717" i="2"/>
  <c r="B1717" i="2"/>
  <c r="A1717" i="2"/>
  <c r="U1716" i="2"/>
  <c r="T1716" i="2"/>
  <c r="L1716" i="2"/>
  <c r="K1716" i="2"/>
  <c r="J1716" i="2"/>
  <c r="B1716" i="2"/>
  <c r="A1716" i="2"/>
  <c r="U1715" i="2"/>
  <c r="T1715" i="2"/>
  <c r="L1715" i="2"/>
  <c r="K1715" i="2"/>
  <c r="J1715" i="2"/>
  <c r="B1715" i="2"/>
  <c r="A1715" i="2"/>
  <c r="U1714" i="2"/>
  <c r="T1714" i="2"/>
  <c r="L1714" i="2"/>
  <c r="K1714" i="2"/>
  <c r="J1714" i="2"/>
  <c r="B1714" i="2"/>
  <c r="A1714" i="2"/>
  <c r="U1713" i="2"/>
  <c r="T1713" i="2"/>
  <c r="L1713" i="2"/>
  <c r="K1713" i="2"/>
  <c r="J1713" i="2"/>
  <c r="B1713" i="2"/>
  <c r="A1713" i="2"/>
  <c r="U1712" i="2"/>
  <c r="T1712" i="2"/>
  <c r="L1712" i="2"/>
  <c r="K1712" i="2"/>
  <c r="J1712" i="2"/>
  <c r="B1712" i="2"/>
  <c r="A1712" i="2"/>
  <c r="U1711" i="2"/>
  <c r="T1711" i="2"/>
  <c r="L1711" i="2"/>
  <c r="K1711" i="2"/>
  <c r="J1711" i="2"/>
  <c r="B1711" i="2"/>
  <c r="A1711" i="2"/>
  <c r="U1710" i="2"/>
  <c r="T1710" i="2"/>
  <c r="L1710" i="2"/>
  <c r="K1710" i="2"/>
  <c r="J1710" i="2"/>
  <c r="B1710" i="2"/>
  <c r="A1710" i="2"/>
  <c r="U1709" i="2"/>
  <c r="T1709" i="2"/>
  <c r="L1709" i="2"/>
  <c r="K1709" i="2"/>
  <c r="J1709" i="2"/>
  <c r="B1709" i="2"/>
  <c r="A1709" i="2"/>
  <c r="U1708" i="2"/>
  <c r="T1708" i="2"/>
  <c r="L1708" i="2"/>
  <c r="K1708" i="2"/>
  <c r="J1708" i="2"/>
  <c r="B1708" i="2"/>
  <c r="A1708" i="2"/>
  <c r="U1707" i="2"/>
  <c r="T1707" i="2"/>
  <c r="L1707" i="2"/>
  <c r="K1707" i="2"/>
  <c r="J1707" i="2"/>
  <c r="B1707" i="2"/>
  <c r="A1707" i="2"/>
  <c r="U1706" i="2"/>
  <c r="T1706" i="2"/>
  <c r="L1706" i="2"/>
  <c r="K1706" i="2"/>
  <c r="J1706" i="2"/>
  <c r="B1706" i="2"/>
  <c r="A1706" i="2"/>
  <c r="U1705" i="2"/>
  <c r="T1705" i="2"/>
  <c r="L1705" i="2"/>
  <c r="K1705" i="2"/>
  <c r="J1705" i="2"/>
  <c r="B1705" i="2"/>
  <c r="A1705" i="2"/>
  <c r="U1704" i="2"/>
  <c r="T1704" i="2"/>
  <c r="L1704" i="2"/>
  <c r="K1704" i="2"/>
  <c r="J1704" i="2"/>
  <c r="B1704" i="2"/>
  <c r="A1704" i="2"/>
  <c r="U1703" i="2"/>
  <c r="T1703" i="2"/>
  <c r="L1703" i="2"/>
  <c r="K1703" i="2"/>
  <c r="J1703" i="2"/>
  <c r="B1703" i="2"/>
  <c r="A1703" i="2"/>
  <c r="U1702" i="2"/>
  <c r="T1702" i="2"/>
  <c r="L1702" i="2"/>
  <c r="K1702" i="2"/>
  <c r="J1702" i="2"/>
  <c r="B1702" i="2"/>
  <c r="A1702" i="2"/>
  <c r="U1701" i="2"/>
  <c r="T1701" i="2"/>
  <c r="L1701" i="2"/>
  <c r="K1701" i="2"/>
  <c r="J1701" i="2"/>
  <c r="B1701" i="2"/>
  <c r="A1701" i="2"/>
  <c r="U1700" i="2"/>
  <c r="T1700" i="2"/>
  <c r="L1700" i="2"/>
  <c r="K1700" i="2"/>
  <c r="J1700" i="2"/>
  <c r="B1700" i="2"/>
  <c r="A1700" i="2"/>
  <c r="U1699" i="2"/>
  <c r="T1699" i="2"/>
  <c r="L1699" i="2"/>
  <c r="K1699" i="2"/>
  <c r="J1699" i="2"/>
  <c r="B1699" i="2"/>
  <c r="A1699" i="2"/>
  <c r="U1698" i="2"/>
  <c r="T1698" i="2"/>
  <c r="L1698" i="2"/>
  <c r="K1698" i="2"/>
  <c r="J1698" i="2"/>
  <c r="B1698" i="2"/>
  <c r="A1698" i="2"/>
  <c r="U1697" i="2"/>
  <c r="T1697" i="2"/>
  <c r="L1697" i="2"/>
  <c r="K1697" i="2"/>
  <c r="J1697" i="2"/>
  <c r="B1697" i="2"/>
  <c r="A1697" i="2"/>
  <c r="U1696" i="2"/>
  <c r="T1696" i="2"/>
  <c r="L1696" i="2"/>
  <c r="K1696" i="2"/>
  <c r="J1696" i="2"/>
  <c r="B1696" i="2"/>
  <c r="A1696" i="2"/>
  <c r="U1695" i="2"/>
  <c r="T1695" i="2"/>
  <c r="L1695" i="2"/>
  <c r="K1695" i="2"/>
  <c r="J1695" i="2"/>
  <c r="B1695" i="2"/>
  <c r="A1695" i="2"/>
  <c r="U1694" i="2"/>
  <c r="T1694" i="2"/>
  <c r="L1694" i="2"/>
  <c r="K1694" i="2"/>
  <c r="J1694" i="2"/>
  <c r="B1694" i="2"/>
  <c r="A1694" i="2"/>
  <c r="U1693" i="2"/>
  <c r="T1693" i="2"/>
  <c r="L1693" i="2"/>
  <c r="K1693" i="2"/>
  <c r="J1693" i="2"/>
  <c r="B1693" i="2"/>
  <c r="A1693" i="2"/>
  <c r="U1692" i="2"/>
  <c r="T1692" i="2"/>
  <c r="L1692" i="2"/>
  <c r="K1692" i="2"/>
  <c r="J1692" i="2"/>
  <c r="B1692" i="2"/>
  <c r="A1692" i="2"/>
  <c r="U1691" i="2"/>
  <c r="T1691" i="2"/>
  <c r="L1691" i="2"/>
  <c r="K1691" i="2"/>
  <c r="J1691" i="2"/>
  <c r="B1691" i="2"/>
  <c r="A1691" i="2"/>
  <c r="U1690" i="2"/>
  <c r="T1690" i="2"/>
  <c r="L1690" i="2"/>
  <c r="K1690" i="2"/>
  <c r="J1690" i="2"/>
  <c r="B1690" i="2"/>
  <c r="A1690" i="2"/>
  <c r="U1689" i="2"/>
  <c r="T1689" i="2"/>
  <c r="L1689" i="2"/>
  <c r="K1689" i="2"/>
  <c r="J1689" i="2"/>
  <c r="B1689" i="2"/>
  <c r="A1689" i="2"/>
  <c r="U1688" i="2"/>
  <c r="T1688" i="2"/>
  <c r="L1688" i="2"/>
  <c r="K1688" i="2"/>
  <c r="J1688" i="2"/>
  <c r="B1688" i="2"/>
  <c r="A1688" i="2"/>
  <c r="U1687" i="2"/>
  <c r="L1687" i="2"/>
  <c r="K1687" i="2"/>
  <c r="J1687" i="2"/>
  <c r="B1687" i="2"/>
  <c r="A1687" i="2"/>
  <c r="U1686" i="2"/>
  <c r="L1686" i="2"/>
  <c r="K1686" i="2"/>
  <c r="J1686" i="2"/>
  <c r="B1686" i="2"/>
  <c r="A1686" i="2"/>
  <c r="U1685" i="2"/>
  <c r="L1685" i="2"/>
  <c r="K1685" i="2"/>
  <c r="J1685" i="2"/>
  <c r="B1685" i="2"/>
  <c r="A1685" i="2"/>
  <c r="U1684" i="2"/>
  <c r="L1684" i="2"/>
  <c r="K1684" i="2"/>
  <c r="J1684" i="2"/>
  <c r="B1684" i="2"/>
  <c r="A1684" i="2"/>
  <c r="U1683" i="2"/>
  <c r="T1683" i="2"/>
  <c r="L1683" i="2"/>
  <c r="K1683" i="2"/>
  <c r="J1683" i="2"/>
  <c r="B1683" i="2"/>
  <c r="A1683" i="2"/>
  <c r="U1682" i="2"/>
  <c r="T1682" i="2"/>
  <c r="L1682" i="2"/>
  <c r="K1682" i="2"/>
  <c r="J1682" i="2"/>
  <c r="B1682" i="2"/>
  <c r="A1682" i="2"/>
  <c r="U1681" i="2"/>
  <c r="T1681" i="2"/>
  <c r="L1681" i="2"/>
  <c r="K1681" i="2"/>
  <c r="J1681" i="2"/>
  <c r="B1681" i="2"/>
  <c r="A1681" i="2"/>
  <c r="U1680" i="2"/>
  <c r="T1680" i="2"/>
  <c r="L1680" i="2"/>
  <c r="K1680" i="2"/>
  <c r="J1680" i="2"/>
  <c r="B1680" i="2"/>
  <c r="A1680" i="2"/>
  <c r="U1679" i="2"/>
  <c r="T1679" i="2"/>
  <c r="L1679" i="2"/>
  <c r="K1679" i="2"/>
  <c r="J1679" i="2"/>
  <c r="B1679" i="2"/>
  <c r="A1679" i="2"/>
  <c r="U1678" i="2"/>
  <c r="T1678" i="2"/>
  <c r="L1678" i="2"/>
  <c r="K1678" i="2"/>
  <c r="J1678" i="2"/>
  <c r="B1678" i="2"/>
  <c r="A1678" i="2"/>
  <c r="U1677" i="2"/>
  <c r="T1677" i="2"/>
  <c r="L1677" i="2"/>
  <c r="K1677" i="2"/>
  <c r="J1677" i="2"/>
  <c r="B1677" i="2"/>
  <c r="A1677" i="2"/>
  <c r="U1676" i="2"/>
  <c r="T1676" i="2"/>
  <c r="L1676" i="2"/>
  <c r="K1676" i="2"/>
  <c r="J1676" i="2"/>
  <c r="B1676" i="2"/>
  <c r="A1676" i="2"/>
  <c r="U1675" i="2"/>
  <c r="T1675" i="2"/>
  <c r="L1675" i="2"/>
  <c r="K1675" i="2"/>
  <c r="J1675" i="2"/>
  <c r="B1675" i="2"/>
  <c r="A1675" i="2"/>
  <c r="U1674" i="2"/>
  <c r="T1674" i="2"/>
  <c r="L1674" i="2"/>
  <c r="K1674" i="2"/>
  <c r="J1674" i="2"/>
  <c r="B1674" i="2"/>
  <c r="A1674" i="2"/>
  <c r="U1673" i="2"/>
  <c r="T1673" i="2"/>
  <c r="L1673" i="2"/>
  <c r="K1673" i="2"/>
  <c r="J1673" i="2"/>
  <c r="B1673" i="2"/>
  <c r="A1673" i="2"/>
  <c r="U1672" i="2"/>
  <c r="T1672" i="2"/>
  <c r="L1672" i="2"/>
  <c r="K1672" i="2"/>
  <c r="J1672" i="2"/>
  <c r="B1672" i="2"/>
  <c r="A1672" i="2"/>
  <c r="U1671" i="2"/>
  <c r="T1671" i="2"/>
  <c r="L1671" i="2"/>
  <c r="K1671" i="2"/>
  <c r="J1671" i="2"/>
  <c r="B1671" i="2"/>
  <c r="A1671" i="2"/>
  <c r="U1670" i="2"/>
  <c r="T1670" i="2"/>
  <c r="L1670" i="2"/>
  <c r="K1670" i="2"/>
  <c r="J1670" i="2"/>
  <c r="B1670" i="2"/>
  <c r="A1670" i="2"/>
  <c r="U1669" i="2"/>
  <c r="T1669" i="2"/>
  <c r="L1669" i="2"/>
  <c r="K1669" i="2"/>
  <c r="J1669" i="2"/>
  <c r="B1669" i="2"/>
  <c r="A1669" i="2"/>
  <c r="U1668" i="2"/>
  <c r="T1668" i="2"/>
  <c r="L1668" i="2"/>
  <c r="K1668" i="2"/>
  <c r="J1668" i="2"/>
  <c r="B1668" i="2"/>
  <c r="A1668" i="2"/>
  <c r="U1667" i="2"/>
  <c r="T1667" i="2"/>
  <c r="L1667" i="2"/>
  <c r="K1667" i="2"/>
  <c r="J1667" i="2"/>
  <c r="B1667" i="2"/>
  <c r="A1667" i="2"/>
  <c r="U1666" i="2"/>
  <c r="T1666" i="2"/>
  <c r="L1666" i="2"/>
  <c r="K1666" i="2"/>
  <c r="J1666" i="2"/>
  <c r="B1666" i="2"/>
  <c r="A1666" i="2"/>
  <c r="U1665" i="2"/>
  <c r="T1665" i="2"/>
  <c r="L1665" i="2"/>
  <c r="K1665" i="2"/>
  <c r="J1665" i="2"/>
  <c r="B1665" i="2"/>
  <c r="A1665" i="2"/>
  <c r="U1664" i="2"/>
  <c r="T1664" i="2"/>
  <c r="L1664" i="2"/>
  <c r="K1664" i="2"/>
  <c r="J1664" i="2"/>
  <c r="B1664" i="2"/>
  <c r="A1664" i="2"/>
  <c r="U1663" i="2"/>
  <c r="T1663" i="2"/>
  <c r="L1663" i="2"/>
  <c r="K1663" i="2"/>
  <c r="J1663" i="2"/>
  <c r="B1663" i="2"/>
  <c r="A1663" i="2"/>
  <c r="U1662" i="2"/>
  <c r="T1662" i="2"/>
  <c r="L1662" i="2"/>
  <c r="K1662" i="2"/>
  <c r="J1662" i="2"/>
  <c r="B1662" i="2"/>
  <c r="A1662" i="2"/>
  <c r="U1661" i="2"/>
  <c r="T1661" i="2"/>
  <c r="L1661" i="2"/>
  <c r="K1661" i="2"/>
  <c r="J1661" i="2"/>
  <c r="B1661" i="2"/>
  <c r="A1661" i="2"/>
  <c r="U1660" i="2"/>
  <c r="T1660" i="2"/>
  <c r="L1660" i="2"/>
  <c r="K1660" i="2"/>
  <c r="J1660" i="2"/>
  <c r="B1660" i="2"/>
  <c r="A1660" i="2"/>
  <c r="U1659" i="2"/>
  <c r="T1659" i="2"/>
  <c r="L1659" i="2"/>
  <c r="K1659" i="2"/>
  <c r="J1659" i="2"/>
  <c r="B1659" i="2"/>
  <c r="A1659" i="2"/>
  <c r="U1658" i="2"/>
  <c r="T1658" i="2"/>
  <c r="L1658" i="2"/>
  <c r="K1658" i="2"/>
  <c r="J1658" i="2"/>
  <c r="B1658" i="2"/>
  <c r="A1658" i="2"/>
  <c r="U1657" i="2"/>
  <c r="T1657" i="2"/>
  <c r="L1657" i="2"/>
  <c r="K1657" i="2"/>
  <c r="J1657" i="2"/>
  <c r="B1657" i="2"/>
  <c r="A1657" i="2"/>
  <c r="U1656" i="2"/>
  <c r="T1656" i="2"/>
  <c r="L1656" i="2"/>
  <c r="K1656" i="2"/>
  <c r="J1656" i="2"/>
  <c r="B1656" i="2"/>
  <c r="A1656" i="2"/>
  <c r="U1655" i="2"/>
  <c r="T1655" i="2"/>
  <c r="L1655" i="2"/>
  <c r="K1655" i="2"/>
  <c r="J1655" i="2"/>
  <c r="B1655" i="2"/>
  <c r="A1655" i="2"/>
  <c r="U1654" i="2"/>
  <c r="T1654" i="2"/>
  <c r="L1654" i="2"/>
  <c r="K1654" i="2"/>
  <c r="J1654" i="2"/>
  <c r="B1654" i="2"/>
  <c r="A1654" i="2"/>
  <c r="U1653" i="2"/>
  <c r="T1653" i="2"/>
  <c r="L1653" i="2"/>
  <c r="K1653" i="2"/>
  <c r="J1653" i="2"/>
  <c r="B1653" i="2"/>
  <c r="A1653" i="2"/>
  <c r="U1652" i="2"/>
  <c r="T1652" i="2"/>
  <c r="L1652" i="2"/>
  <c r="K1652" i="2"/>
  <c r="J1652" i="2"/>
  <c r="B1652" i="2"/>
  <c r="A1652" i="2"/>
  <c r="U1651" i="2"/>
  <c r="T1651" i="2"/>
  <c r="L1651" i="2"/>
  <c r="K1651" i="2"/>
  <c r="J1651" i="2"/>
  <c r="B1651" i="2"/>
  <c r="A1651" i="2"/>
  <c r="U1650" i="2"/>
  <c r="T1650" i="2"/>
  <c r="L1650" i="2"/>
  <c r="K1650" i="2"/>
  <c r="J1650" i="2"/>
  <c r="B1650" i="2"/>
  <c r="A1650" i="2"/>
  <c r="U1649" i="2"/>
  <c r="T1649" i="2"/>
  <c r="L1649" i="2"/>
  <c r="K1649" i="2"/>
  <c r="J1649" i="2"/>
  <c r="B1649" i="2"/>
  <c r="A1649" i="2"/>
  <c r="U1648" i="2"/>
  <c r="T1648" i="2"/>
  <c r="L1648" i="2"/>
  <c r="K1648" i="2"/>
  <c r="J1648" i="2"/>
  <c r="B1648" i="2"/>
  <c r="A1648" i="2"/>
  <c r="U1647" i="2"/>
  <c r="T1647" i="2"/>
  <c r="L1647" i="2"/>
  <c r="K1647" i="2"/>
  <c r="J1647" i="2"/>
  <c r="B1647" i="2"/>
  <c r="A1647" i="2"/>
  <c r="U1646" i="2"/>
  <c r="T1646" i="2"/>
  <c r="L1646" i="2"/>
  <c r="K1646" i="2"/>
  <c r="J1646" i="2"/>
  <c r="B1646" i="2"/>
  <c r="A1646" i="2"/>
  <c r="U1645" i="2"/>
  <c r="T1645" i="2"/>
  <c r="L1645" i="2"/>
  <c r="K1645" i="2"/>
  <c r="J1645" i="2"/>
  <c r="B1645" i="2"/>
  <c r="A1645" i="2"/>
  <c r="U1644" i="2"/>
  <c r="T1644" i="2"/>
  <c r="L1644" i="2"/>
  <c r="K1644" i="2"/>
  <c r="J1644" i="2"/>
  <c r="B1644" i="2"/>
  <c r="A1644" i="2"/>
  <c r="U1643" i="2"/>
  <c r="T1643" i="2"/>
  <c r="L1643" i="2"/>
  <c r="K1643" i="2"/>
  <c r="J1643" i="2"/>
  <c r="B1643" i="2"/>
  <c r="A1643" i="2"/>
  <c r="U1642" i="2"/>
  <c r="T1642" i="2"/>
  <c r="L1642" i="2"/>
  <c r="K1642" i="2"/>
  <c r="J1642" i="2"/>
  <c r="B1642" i="2"/>
  <c r="A1642" i="2"/>
  <c r="U1641" i="2"/>
  <c r="T1641" i="2"/>
  <c r="L1641" i="2"/>
  <c r="K1641" i="2"/>
  <c r="J1641" i="2"/>
  <c r="B1641" i="2"/>
  <c r="A1641" i="2"/>
  <c r="U1640" i="2"/>
  <c r="T1640" i="2"/>
  <c r="L1640" i="2"/>
  <c r="K1640" i="2"/>
  <c r="J1640" i="2"/>
  <c r="B1640" i="2"/>
  <c r="A1640" i="2"/>
  <c r="U1639" i="2"/>
  <c r="T1639" i="2"/>
  <c r="L1639" i="2"/>
  <c r="K1639" i="2"/>
  <c r="J1639" i="2"/>
  <c r="B1639" i="2"/>
  <c r="A1639" i="2"/>
  <c r="U1638" i="2"/>
  <c r="T1638" i="2"/>
  <c r="L1638" i="2"/>
  <c r="K1638" i="2"/>
  <c r="J1638" i="2"/>
  <c r="B1638" i="2"/>
  <c r="A1638" i="2"/>
  <c r="U1637" i="2"/>
  <c r="T1637" i="2"/>
  <c r="L1637" i="2"/>
  <c r="K1637" i="2"/>
  <c r="J1637" i="2"/>
  <c r="B1637" i="2"/>
  <c r="A1637" i="2"/>
  <c r="U1636" i="2"/>
  <c r="T1636" i="2"/>
  <c r="L1636" i="2"/>
  <c r="K1636" i="2"/>
  <c r="J1636" i="2"/>
  <c r="B1636" i="2"/>
  <c r="A1636" i="2"/>
  <c r="U1635" i="2"/>
  <c r="T1635" i="2"/>
  <c r="L1635" i="2"/>
  <c r="K1635" i="2"/>
  <c r="J1635" i="2"/>
  <c r="B1635" i="2"/>
  <c r="A1635" i="2"/>
  <c r="U1634" i="2"/>
  <c r="T1634" i="2"/>
  <c r="L1634" i="2"/>
  <c r="K1634" i="2"/>
  <c r="J1634" i="2"/>
  <c r="B1634" i="2"/>
  <c r="A1634" i="2"/>
  <c r="U1633" i="2"/>
  <c r="T1633" i="2"/>
  <c r="L1633" i="2"/>
  <c r="K1633" i="2"/>
  <c r="J1633" i="2"/>
  <c r="B1633" i="2"/>
  <c r="A1633" i="2"/>
  <c r="U1632" i="2"/>
  <c r="T1632" i="2"/>
  <c r="L1632" i="2"/>
  <c r="K1632" i="2"/>
  <c r="J1632" i="2"/>
  <c r="B1632" i="2"/>
  <c r="A1632" i="2"/>
  <c r="U1631" i="2"/>
  <c r="T1631" i="2"/>
  <c r="L1631" i="2"/>
  <c r="K1631" i="2"/>
  <c r="J1631" i="2"/>
  <c r="B1631" i="2"/>
  <c r="A1631" i="2"/>
  <c r="U1630" i="2"/>
  <c r="T1630" i="2"/>
  <c r="L1630" i="2"/>
  <c r="K1630" i="2"/>
  <c r="J1630" i="2"/>
  <c r="B1630" i="2"/>
  <c r="A1630" i="2"/>
  <c r="U1629" i="2"/>
  <c r="T1629" i="2"/>
  <c r="L1629" i="2"/>
  <c r="K1629" i="2"/>
  <c r="J1629" i="2"/>
  <c r="B1629" i="2"/>
  <c r="A1629" i="2"/>
  <c r="U1628" i="2"/>
  <c r="T1628" i="2"/>
  <c r="L1628" i="2"/>
  <c r="K1628" i="2"/>
  <c r="J1628" i="2"/>
  <c r="B1628" i="2"/>
  <c r="A1628" i="2"/>
  <c r="U1627" i="2"/>
  <c r="T1627" i="2"/>
  <c r="L1627" i="2"/>
  <c r="K1627" i="2"/>
  <c r="J1627" i="2"/>
  <c r="B1627" i="2"/>
  <c r="A1627" i="2"/>
  <c r="U1626" i="2"/>
  <c r="T1626" i="2"/>
  <c r="L1626" i="2"/>
  <c r="K1626" i="2"/>
  <c r="J1626" i="2"/>
  <c r="B1626" i="2"/>
  <c r="A1626" i="2"/>
  <c r="U1625" i="2"/>
  <c r="T1625" i="2"/>
  <c r="L1625" i="2"/>
  <c r="K1625" i="2"/>
  <c r="J1625" i="2"/>
  <c r="B1625" i="2"/>
  <c r="A1625" i="2"/>
  <c r="U1624" i="2"/>
  <c r="T1624" i="2"/>
  <c r="L1624" i="2"/>
  <c r="K1624" i="2"/>
  <c r="J1624" i="2"/>
  <c r="B1624" i="2"/>
  <c r="A1624" i="2"/>
  <c r="U1623" i="2"/>
  <c r="T1623" i="2"/>
  <c r="L1623" i="2"/>
  <c r="K1623" i="2"/>
  <c r="J1623" i="2"/>
  <c r="B1623" i="2"/>
  <c r="A1623" i="2"/>
  <c r="U1622" i="2"/>
  <c r="T1622" i="2"/>
  <c r="L1622" i="2"/>
  <c r="K1622" i="2"/>
  <c r="J1622" i="2"/>
  <c r="B1622" i="2"/>
  <c r="A1622" i="2"/>
  <c r="U1621" i="2"/>
  <c r="T1621" i="2"/>
  <c r="L1621" i="2"/>
  <c r="K1621" i="2"/>
  <c r="J1621" i="2"/>
  <c r="B1621" i="2"/>
  <c r="A1621" i="2"/>
  <c r="U1620" i="2"/>
  <c r="T1620" i="2"/>
  <c r="L1620" i="2"/>
  <c r="K1620" i="2"/>
  <c r="J1620" i="2"/>
  <c r="B1620" i="2"/>
  <c r="A1620" i="2"/>
  <c r="U1619" i="2"/>
  <c r="T1619" i="2"/>
  <c r="L1619" i="2"/>
  <c r="K1619" i="2"/>
  <c r="J1619" i="2"/>
  <c r="B1619" i="2"/>
  <c r="A1619" i="2"/>
  <c r="U1618" i="2"/>
  <c r="T1618" i="2"/>
  <c r="L1618" i="2"/>
  <c r="K1618" i="2"/>
  <c r="J1618" i="2"/>
  <c r="B1618" i="2"/>
  <c r="A1618" i="2"/>
  <c r="U1617" i="2"/>
  <c r="T1617" i="2"/>
  <c r="L1617" i="2"/>
  <c r="K1617" i="2"/>
  <c r="J1617" i="2"/>
  <c r="B1617" i="2"/>
  <c r="A1617" i="2"/>
  <c r="U1616" i="2"/>
  <c r="T1616" i="2"/>
  <c r="L1616" i="2"/>
  <c r="K1616" i="2"/>
  <c r="J1616" i="2"/>
  <c r="B1616" i="2"/>
  <c r="A1616" i="2"/>
  <c r="U1615" i="2"/>
  <c r="T1615" i="2"/>
  <c r="L1615" i="2"/>
  <c r="K1615" i="2"/>
  <c r="J1615" i="2"/>
  <c r="B1615" i="2"/>
  <c r="A1615" i="2"/>
  <c r="U1614" i="2"/>
  <c r="T1614" i="2"/>
  <c r="L1614" i="2"/>
  <c r="K1614" i="2"/>
  <c r="J1614" i="2"/>
  <c r="B1614" i="2"/>
  <c r="A1614" i="2"/>
  <c r="U1613" i="2"/>
  <c r="T1613" i="2"/>
  <c r="L1613" i="2"/>
  <c r="K1613" i="2"/>
  <c r="J1613" i="2"/>
  <c r="B1613" i="2"/>
  <c r="A1613" i="2"/>
  <c r="U1612" i="2"/>
  <c r="T1612" i="2"/>
  <c r="L1612" i="2"/>
  <c r="K1612" i="2"/>
  <c r="J1612" i="2"/>
  <c r="B1612" i="2"/>
  <c r="A1612" i="2"/>
  <c r="U1611" i="2"/>
  <c r="T1611" i="2"/>
  <c r="L1611" i="2"/>
  <c r="K1611" i="2"/>
  <c r="J1611" i="2"/>
  <c r="B1611" i="2"/>
  <c r="A1611" i="2"/>
  <c r="U1610" i="2"/>
  <c r="T1610" i="2"/>
  <c r="L1610" i="2"/>
  <c r="K1610" i="2"/>
  <c r="J1610" i="2"/>
  <c r="B1610" i="2"/>
  <c r="A1610" i="2"/>
  <c r="U1609" i="2"/>
  <c r="T1609" i="2"/>
  <c r="L1609" i="2"/>
  <c r="K1609" i="2"/>
  <c r="J1609" i="2"/>
  <c r="B1609" i="2"/>
  <c r="A1609" i="2"/>
  <c r="U1608" i="2"/>
  <c r="T1608" i="2"/>
  <c r="L1608" i="2"/>
  <c r="K1608" i="2"/>
  <c r="J1608" i="2"/>
  <c r="B1608" i="2"/>
  <c r="A1608" i="2"/>
  <c r="U1607" i="2"/>
  <c r="T1607" i="2"/>
  <c r="L1607" i="2"/>
  <c r="K1607" i="2"/>
  <c r="J1607" i="2"/>
  <c r="B1607" i="2"/>
  <c r="A1607" i="2"/>
  <c r="U1606" i="2"/>
  <c r="T1606" i="2"/>
  <c r="L1606" i="2"/>
  <c r="K1606" i="2"/>
  <c r="J1606" i="2"/>
  <c r="B1606" i="2"/>
  <c r="A1606" i="2"/>
  <c r="U1605" i="2"/>
  <c r="T1605" i="2"/>
  <c r="L1605" i="2"/>
  <c r="K1605" i="2"/>
  <c r="J1605" i="2"/>
  <c r="B1605" i="2"/>
  <c r="A1605" i="2"/>
  <c r="U1604" i="2"/>
  <c r="T1604" i="2"/>
  <c r="L1604" i="2"/>
  <c r="K1604" i="2"/>
  <c r="J1604" i="2"/>
  <c r="B1604" i="2"/>
  <c r="A1604" i="2"/>
  <c r="U1603" i="2"/>
  <c r="T1603" i="2"/>
  <c r="L1603" i="2"/>
  <c r="K1603" i="2"/>
  <c r="J1603" i="2"/>
  <c r="B1603" i="2"/>
  <c r="A1603" i="2"/>
  <c r="U1602" i="2"/>
  <c r="T1602" i="2"/>
  <c r="L1602" i="2"/>
  <c r="K1602" i="2"/>
  <c r="J1602" i="2"/>
  <c r="B1602" i="2"/>
  <c r="A1602" i="2"/>
  <c r="U1601" i="2"/>
  <c r="T1601" i="2"/>
  <c r="L1601" i="2"/>
  <c r="K1601" i="2"/>
  <c r="J1601" i="2"/>
  <c r="B1601" i="2"/>
  <c r="A1601" i="2"/>
  <c r="U1600" i="2"/>
  <c r="T1600" i="2"/>
  <c r="L1600" i="2"/>
  <c r="K1600" i="2"/>
  <c r="J1600" i="2"/>
  <c r="B1600" i="2"/>
  <c r="A1600" i="2"/>
  <c r="U1599" i="2"/>
  <c r="T1599" i="2"/>
  <c r="L1599" i="2"/>
  <c r="K1599" i="2"/>
  <c r="J1599" i="2"/>
  <c r="B1599" i="2"/>
  <c r="A1599" i="2"/>
  <c r="U1598" i="2"/>
  <c r="T1598" i="2"/>
  <c r="L1598" i="2"/>
  <c r="K1598" i="2"/>
  <c r="J1598" i="2"/>
  <c r="B1598" i="2"/>
  <c r="A1598" i="2"/>
  <c r="U1597" i="2"/>
  <c r="T1597" i="2"/>
  <c r="L1597" i="2"/>
  <c r="K1597" i="2"/>
  <c r="J1597" i="2"/>
  <c r="B1597" i="2"/>
  <c r="A1597" i="2"/>
  <c r="U1596" i="2"/>
  <c r="T1596" i="2"/>
  <c r="L1596" i="2"/>
  <c r="K1596" i="2"/>
  <c r="J1596" i="2"/>
  <c r="B1596" i="2"/>
  <c r="A1596" i="2"/>
  <c r="U1595" i="2"/>
  <c r="T1595" i="2"/>
  <c r="L1595" i="2"/>
  <c r="K1595" i="2"/>
  <c r="J1595" i="2"/>
  <c r="B1595" i="2"/>
  <c r="A1595" i="2"/>
  <c r="U1594" i="2"/>
  <c r="T1594" i="2"/>
  <c r="L1594" i="2"/>
  <c r="K1594" i="2"/>
  <c r="J1594" i="2"/>
  <c r="B1594" i="2"/>
  <c r="A1594" i="2"/>
  <c r="U1593" i="2"/>
  <c r="T1593" i="2"/>
  <c r="L1593" i="2"/>
  <c r="K1593" i="2"/>
  <c r="J1593" i="2"/>
  <c r="B1593" i="2"/>
  <c r="A1593" i="2"/>
  <c r="U1592" i="2"/>
  <c r="T1592" i="2"/>
  <c r="L1592" i="2"/>
  <c r="K1592" i="2"/>
  <c r="J1592" i="2"/>
  <c r="B1592" i="2"/>
  <c r="A1592" i="2"/>
  <c r="U1591" i="2"/>
  <c r="T1591" i="2"/>
  <c r="L1591" i="2"/>
  <c r="K1591" i="2"/>
  <c r="J1591" i="2"/>
  <c r="B1591" i="2"/>
  <c r="A1591" i="2"/>
  <c r="U1590" i="2"/>
  <c r="T1590" i="2"/>
  <c r="L1590" i="2"/>
  <c r="K1590" i="2"/>
  <c r="J1590" i="2"/>
  <c r="B1590" i="2"/>
  <c r="A1590" i="2"/>
  <c r="U1589" i="2"/>
  <c r="T1589" i="2"/>
  <c r="L1589" i="2"/>
  <c r="K1589" i="2"/>
  <c r="J1589" i="2"/>
  <c r="B1589" i="2"/>
  <c r="A1589" i="2"/>
  <c r="U1588" i="2"/>
  <c r="T1588" i="2"/>
  <c r="L1588" i="2"/>
  <c r="K1588" i="2"/>
  <c r="J1588" i="2"/>
  <c r="B1588" i="2"/>
  <c r="A1588" i="2"/>
  <c r="U1587" i="2"/>
  <c r="T1587" i="2"/>
  <c r="L1587" i="2"/>
  <c r="K1587" i="2"/>
  <c r="J1587" i="2"/>
  <c r="B1587" i="2"/>
  <c r="A1587" i="2"/>
  <c r="U1586" i="2"/>
  <c r="T1586" i="2"/>
  <c r="L1586" i="2"/>
  <c r="K1586" i="2"/>
  <c r="J1586" i="2"/>
  <c r="B1586" i="2"/>
  <c r="A1586" i="2"/>
  <c r="U1585" i="2"/>
  <c r="T1585" i="2"/>
  <c r="L1585" i="2"/>
  <c r="K1585" i="2"/>
  <c r="J1585" i="2"/>
  <c r="B1585" i="2"/>
  <c r="A1585" i="2"/>
  <c r="U1584" i="2"/>
  <c r="T1584" i="2"/>
  <c r="L1584" i="2"/>
  <c r="K1584" i="2"/>
  <c r="J1584" i="2"/>
  <c r="B1584" i="2"/>
  <c r="A1584" i="2"/>
  <c r="U1583" i="2"/>
  <c r="T1583" i="2"/>
  <c r="L1583" i="2"/>
  <c r="K1583" i="2"/>
  <c r="J1583" i="2"/>
  <c r="B1583" i="2"/>
  <c r="A1583" i="2"/>
  <c r="U1582" i="2"/>
  <c r="T1582" i="2"/>
  <c r="L1582" i="2"/>
  <c r="K1582" i="2"/>
  <c r="J1582" i="2"/>
  <c r="B1582" i="2"/>
  <c r="A1582" i="2"/>
  <c r="U1581" i="2"/>
  <c r="T1581" i="2"/>
  <c r="L1581" i="2"/>
  <c r="K1581" i="2"/>
  <c r="J1581" i="2"/>
  <c r="B1581" i="2"/>
  <c r="A1581" i="2"/>
  <c r="U1580" i="2"/>
  <c r="T1580" i="2"/>
  <c r="L1580" i="2"/>
  <c r="K1580" i="2"/>
  <c r="J1580" i="2"/>
  <c r="B1580" i="2"/>
  <c r="A1580" i="2"/>
  <c r="U1579" i="2"/>
  <c r="T1579" i="2"/>
  <c r="L1579" i="2"/>
  <c r="K1579" i="2"/>
  <c r="J1579" i="2"/>
  <c r="B1579" i="2"/>
  <c r="A1579" i="2"/>
  <c r="U1578" i="2"/>
  <c r="T1578" i="2"/>
  <c r="L1578" i="2"/>
  <c r="K1578" i="2"/>
  <c r="J1578" i="2"/>
  <c r="B1578" i="2"/>
  <c r="A1578" i="2"/>
  <c r="U1577" i="2"/>
  <c r="T1577" i="2"/>
  <c r="L1577" i="2"/>
  <c r="K1577" i="2"/>
  <c r="J1577" i="2"/>
  <c r="B1577" i="2"/>
  <c r="A1577" i="2"/>
  <c r="U1576" i="2"/>
  <c r="T1576" i="2"/>
  <c r="L1576" i="2"/>
  <c r="K1576" i="2"/>
  <c r="J1576" i="2"/>
  <c r="B1576" i="2"/>
  <c r="A1576" i="2"/>
  <c r="U1575" i="2"/>
  <c r="T1575" i="2"/>
  <c r="L1575" i="2"/>
  <c r="K1575" i="2"/>
  <c r="J1575" i="2"/>
  <c r="B1575" i="2"/>
  <c r="A1575" i="2"/>
  <c r="U1574" i="2"/>
  <c r="T1574" i="2"/>
  <c r="L1574" i="2"/>
  <c r="K1574" i="2"/>
  <c r="J1574" i="2"/>
  <c r="B1574" i="2"/>
  <c r="A1574" i="2"/>
  <c r="U1573" i="2"/>
  <c r="T1573" i="2"/>
  <c r="L1573" i="2"/>
  <c r="K1573" i="2"/>
  <c r="J1573" i="2"/>
  <c r="B1573" i="2"/>
  <c r="A1573" i="2"/>
  <c r="U1572" i="2"/>
  <c r="T1572" i="2"/>
  <c r="L1572" i="2"/>
  <c r="K1572" i="2"/>
  <c r="J1572" i="2"/>
  <c r="B1572" i="2"/>
  <c r="A1572" i="2"/>
  <c r="U1571" i="2"/>
  <c r="T1571" i="2"/>
  <c r="L1571" i="2"/>
  <c r="K1571" i="2"/>
  <c r="J1571" i="2"/>
  <c r="B1571" i="2"/>
  <c r="A1571" i="2"/>
  <c r="U1570" i="2"/>
  <c r="T1570" i="2"/>
  <c r="L1570" i="2"/>
  <c r="K1570" i="2"/>
  <c r="J1570" i="2"/>
  <c r="B1570" i="2"/>
  <c r="A1570" i="2"/>
  <c r="U1569" i="2"/>
  <c r="T1569" i="2"/>
  <c r="L1569" i="2"/>
  <c r="K1569" i="2"/>
  <c r="J1569" i="2"/>
  <c r="B1569" i="2"/>
  <c r="A1569" i="2"/>
  <c r="U1568" i="2"/>
  <c r="T1568" i="2"/>
  <c r="L1568" i="2"/>
  <c r="K1568" i="2"/>
  <c r="J1568" i="2"/>
  <c r="B1568" i="2"/>
  <c r="A1568" i="2"/>
  <c r="U1567" i="2"/>
  <c r="T1567" i="2"/>
  <c r="L1567" i="2"/>
  <c r="K1567" i="2"/>
  <c r="J1567" i="2"/>
  <c r="B1567" i="2"/>
  <c r="A1567" i="2"/>
  <c r="U1566" i="2"/>
  <c r="T1566" i="2"/>
  <c r="L1566" i="2"/>
  <c r="K1566" i="2"/>
  <c r="J1566" i="2"/>
  <c r="B1566" i="2"/>
  <c r="A1566" i="2"/>
  <c r="U1565" i="2"/>
  <c r="T1565" i="2"/>
  <c r="L1565" i="2"/>
  <c r="K1565" i="2"/>
  <c r="J1565" i="2"/>
  <c r="B1565" i="2"/>
  <c r="A1565" i="2"/>
  <c r="U1564" i="2"/>
  <c r="T1564" i="2"/>
  <c r="L1564" i="2"/>
  <c r="K1564" i="2"/>
  <c r="J1564" i="2"/>
  <c r="B1564" i="2"/>
  <c r="A1564" i="2"/>
  <c r="U1563" i="2"/>
  <c r="T1563" i="2"/>
  <c r="L1563" i="2"/>
  <c r="K1563" i="2"/>
  <c r="J1563" i="2"/>
  <c r="B1563" i="2"/>
  <c r="A1563" i="2"/>
  <c r="U1562" i="2"/>
  <c r="T1562" i="2"/>
  <c r="L1562" i="2"/>
  <c r="K1562" i="2"/>
  <c r="J1562" i="2"/>
  <c r="B1562" i="2"/>
  <c r="A1562" i="2"/>
  <c r="U1561" i="2"/>
  <c r="T1561" i="2"/>
  <c r="L1561" i="2"/>
  <c r="K1561" i="2"/>
  <c r="J1561" i="2"/>
  <c r="B1561" i="2"/>
  <c r="A1561" i="2"/>
  <c r="U1560" i="2"/>
  <c r="T1560" i="2"/>
  <c r="L1560" i="2"/>
  <c r="K1560" i="2"/>
  <c r="J1560" i="2"/>
  <c r="B1560" i="2"/>
  <c r="A1560" i="2"/>
  <c r="U1559" i="2"/>
  <c r="T1559" i="2"/>
  <c r="L1559" i="2"/>
  <c r="K1559" i="2"/>
  <c r="J1559" i="2"/>
  <c r="B1559" i="2"/>
  <c r="A1559" i="2"/>
  <c r="U1558" i="2"/>
  <c r="T1558" i="2"/>
  <c r="L1558" i="2"/>
  <c r="K1558" i="2"/>
  <c r="J1558" i="2"/>
  <c r="B1558" i="2"/>
  <c r="A1558" i="2"/>
  <c r="U1557" i="2"/>
  <c r="T1557" i="2"/>
  <c r="L1557" i="2"/>
  <c r="K1557" i="2"/>
  <c r="J1557" i="2"/>
  <c r="B1557" i="2"/>
  <c r="A1557" i="2"/>
  <c r="U1556" i="2"/>
  <c r="T1556" i="2"/>
  <c r="L1556" i="2"/>
  <c r="K1556" i="2"/>
  <c r="J1556" i="2"/>
  <c r="B1556" i="2"/>
  <c r="A1556" i="2"/>
  <c r="U1555" i="2"/>
  <c r="T1555" i="2"/>
  <c r="L1555" i="2"/>
  <c r="K1555" i="2"/>
  <c r="J1555" i="2"/>
  <c r="B1555" i="2"/>
  <c r="A1555" i="2"/>
  <c r="U1554" i="2"/>
  <c r="T1554" i="2"/>
  <c r="L1554" i="2"/>
  <c r="K1554" i="2"/>
  <c r="J1554" i="2"/>
  <c r="B1554" i="2"/>
  <c r="A1554" i="2"/>
  <c r="U1553" i="2"/>
  <c r="T1553" i="2"/>
  <c r="L1553" i="2"/>
  <c r="K1553" i="2"/>
  <c r="J1553" i="2"/>
  <c r="B1553" i="2"/>
  <c r="A1553" i="2"/>
  <c r="U1552" i="2"/>
  <c r="T1552" i="2"/>
  <c r="L1552" i="2"/>
  <c r="K1552" i="2"/>
  <c r="J1552" i="2"/>
  <c r="B1552" i="2"/>
  <c r="A1552" i="2"/>
  <c r="U1551" i="2"/>
  <c r="T1551" i="2"/>
  <c r="L1551" i="2"/>
  <c r="K1551" i="2"/>
  <c r="J1551" i="2"/>
  <c r="B1551" i="2"/>
  <c r="A1551" i="2"/>
  <c r="U1550" i="2"/>
  <c r="T1550" i="2"/>
  <c r="L1550" i="2"/>
  <c r="K1550" i="2"/>
  <c r="J1550" i="2"/>
  <c r="B1550" i="2"/>
  <c r="A1550" i="2"/>
  <c r="U1549" i="2"/>
  <c r="T1549" i="2"/>
  <c r="L1549" i="2"/>
  <c r="K1549" i="2"/>
  <c r="J1549" i="2"/>
  <c r="B1549" i="2"/>
  <c r="A1549" i="2"/>
  <c r="U1548" i="2"/>
  <c r="T1548" i="2"/>
  <c r="L1548" i="2"/>
  <c r="K1548" i="2"/>
  <c r="J1548" i="2"/>
  <c r="B1548" i="2"/>
  <c r="A1548" i="2"/>
  <c r="U1547" i="2"/>
  <c r="T1547" i="2"/>
  <c r="L1547" i="2"/>
  <c r="K1547" i="2"/>
  <c r="J1547" i="2"/>
  <c r="B1547" i="2"/>
  <c r="A1547" i="2"/>
  <c r="U1546" i="2"/>
  <c r="T1546" i="2"/>
  <c r="L1546" i="2"/>
  <c r="K1546" i="2"/>
  <c r="J1546" i="2"/>
  <c r="B1546" i="2"/>
  <c r="A1546" i="2"/>
  <c r="U1545" i="2"/>
  <c r="T1545" i="2"/>
  <c r="L1545" i="2"/>
  <c r="K1545" i="2"/>
  <c r="J1545" i="2"/>
  <c r="B1545" i="2"/>
  <c r="A1545" i="2"/>
  <c r="U1544" i="2"/>
  <c r="T1544" i="2"/>
  <c r="L1544" i="2"/>
  <c r="K1544" i="2"/>
  <c r="J1544" i="2"/>
  <c r="B1544" i="2"/>
  <c r="A1544" i="2"/>
  <c r="U1543" i="2"/>
  <c r="T1543" i="2"/>
  <c r="L1543" i="2"/>
  <c r="K1543" i="2"/>
  <c r="J1543" i="2"/>
  <c r="B1543" i="2"/>
  <c r="A1543" i="2"/>
  <c r="U1542" i="2"/>
  <c r="T1542" i="2"/>
  <c r="L1542" i="2"/>
  <c r="K1542" i="2"/>
  <c r="J1542" i="2"/>
  <c r="B1542" i="2"/>
  <c r="A1542" i="2"/>
  <c r="U1541" i="2"/>
  <c r="T1541" i="2"/>
  <c r="L1541" i="2"/>
  <c r="K1541" i="2"/>
  <c r="J1541" i="2"/>
  <c r="B1541" i="2"/>
  <c r="A1541" i="2"/>
  <c r="U1540" i="2"/>
  <c r="T1540" i="2"/>
  <c r="L1540" i="2"/>
  <c r="K1540" i="2"/>
  <c r="J1540" i="2"/>
  <c r="B1540" i="2"/>
  <c r="A1540" i="2"/>
  <c r="U1539" i="2"/>
  <c r="T1539" i="2"/>
  <c r="L1539" i="2"/>
  <c r="K1539" i="2"/>
  <c r="J1539" i="2"/>
  <c r="B1539" i="2"/>
  <c r="A1539" i="2"/>
  <c r="U1538" i="2"/>
  <c r="T1538" i="2"/>
  <c r="L1538" i="2"/>
  <c r="K1538" i="2"/>
  <c r="J1538" i="2"/>
  <c r="B1538" i="2"/>
  <c r="A1538" i="2"/>
  <c r="U1537" i="2"/>
  <c r="T1537" i="2"/>
  <c r="L1537" i="2"/>
  <c r="K1537" i="2"/>
  <c r="J1537" i="2"/>
  <c r="B1537" i="2"/>
  <c r="A1537" i="2"/>
  <c r="U1536" i="2"/>
  <c r="T1536" i="2"/>
  <c r="L1536" i="2"/>
  <c r="K1536" i="2"/>
  <c r="J1536" i="2"/>
  <c r="B1536" i="2"/>
  <c r="A1536" i="2"/>
  <c r="U1535" i="2"/>
  <c r="T1535" i="2"/>
  <c r="L1535" i="2"/>
  <c r="K1535" i="2"/>
  <c r="J1535" i="2"/>
  <c r="B1535" i="2"/>
  <c r="A1535" i="2"/>
  <c r="U1534" i="2"/>
  <c r="T1534" i="2"/>
  <c r="L1534" i="2"/>
  <c r="K1534" i="2"/>
  <c r="J1534" i="2"/>
  <c r="B1534" i="2"/>
  <c r="A1534" i="2"/>
  <c r="U1533" i="2"/>
  <c r="T1533" i="2"/>
  <c r="L1533" i="2"/>
  <c r="K1533" i="2"/>
  <c r="J1533" i="2"/>
  <c r="B1533" i="2"/>
  <c r="A1533" i="2"/>
  <c r="U1532" i="2"/>
  <c r="T1532" i="2"/>
  <c r="L1532" i="2"/>
  <c r="K1532" i="2"/>
  <c r="J1532" i="2"/>
  <c r="B1532" i="2"/>
  <c r="A1532" i="2"/>
  <c r="U1531" i="2"/>
  <c r="T1531" i="2"/>
  <c r="L1531" i="2"/>
  <c r="K1531" i="2"/>
  <c r="J1531" i="2"/>
  <c r="B1531" i="2"/>
  <c r="A1531" i="2"/>
  <c r="U1530" i="2"/>
  <c r="T1530" i="2"/>
  <c r="L1530" i="2"/>
  <c r="K1530" i="2"/>
  <c r="J1530" i="2"/>
  <c r="B1530" i="2"/>
  <c r="A1530" i="2"/>
  <c r="U1529" i="2"/>
  <c r="T1529" i="2"/>
  <c r="L1529" i="2"/>
  <c r="K1529" i="2"/>
  <c r="J1529" i="2"/>
  <c r="B1529" i="2"/>
  <c r="A1529" i="2"/>
  <c r="U1528" i="2"/>
  <c r="T1528" i="2"/>
  <c r="L1528" i="2"/>
  <c r="K1528" i="2"/>
  <c r="J1528" i="2"/>
  <c r="B1528" i="2"/>
  <c r="A1528" i="2"/>
  <c r="U1527" i="2"/>
  <c r="T1527" i="2"/>
  <c r="L1527" i="2"/>
  <c r="K1527" i="2"/>
  <c r="J1527" i="2"/>
  <c r="B1527" i="2"/>
  <c r="A1527" i="2"/>
  <c r="U1526" i="2"/>
  <c r="T1526" i="2"/>
  <c r="L1526" i="2"/>
  <c r="K1526" i="2"/>
  <c r="J1526" i="2"/>
  <c r="B1526" i="2"/>
  <c r="A1526" i="2"/>
  <c r="U1525" i="2"/>
  <c r="T1525" i="2"/>
  <c r="L1525" i="2"/>
  <c r="K1525" i="2"/>
  <c r="J1525" i="2"/>
  <c r="B1525" i="2"/>
  <c r="A1525" i="2"/>
  <c r="U1524" i="2"/>
  <c r="T1524" i="2"/>
  <c r="L1524" i="2"/>
  <c r="K1524" i="2"/>
  <c r="J1524" i="2"/>
  <c r="B1524" i="2"/>
  <c r="A1524" i="2"/>
  <c r="U1523" i="2"/>
  <c r="T1523" i="2"/>
  <c r="L1523" i="2"/>
  <c r="K1523" i="2"/>
  <c r="J1523" i="2"/>
  <c r="B1523" i="2"/>
  <c r="A1523" i="2"/>
  <c r="U1522" i="2"/>
  <c r="T1522" i="2"/>
  <c r="L1522" i="2"/>
  <c r="K1522" i="2"/>
  <c r="J1522" i="2"/>
  <c r="B1522" i="2"/>
  <c r="A1522" i="2"/>
  <c r="U1521" i="2"/>
  <c r="T1521" i="2"/>
  <c r="L1521" i="2"/>
  <c r="K1521" i="2"/>
  <c r="J1521" i="2"/>
  <c r="B1521" i="2"/>
  <c r="A1521" i="2"/>
  <c r="U1520" i="2"/>
  <c r="T1520" i="2"/>
  <c r="L1520" i="2"/>
  <c r="K1520" i="2"/>
  <c r="J1520" i="2"/>
  <c r="B1520" i="2"/>
  <c r="A1520" i="2"/>
  <c r="U1519" i="2"/>
  <c r="T1519" i="2"/>
  <c r="L1519" i="2"/>
  <c r="K1519" i="2"/>
  <c r="J1519" i="2"/>
  <c r="B1519" i="2"/>
  <c r="A1519" i="2"/>
  <c r="U1518" i="2"/>
  <c r="T1518" i="2"/>
  <c r="L1518" i="2"/>
  <c r="K1518" i="2"/>
  <c r="J1518" i="2"/>
  <c r="B1518" i="2"/>
  <c r="A1518" i="2"/>
  <c r="U1517" i="2"/>
  <c r="T1517" i="2"/>
  <c r="L1517" i="2"/>
  <c r="K1517" i="2"/>
  <c r="J1517" i="2"/>
  <c r="B1517" i="2"/>
  <c r="A1517" i="2"/>
  <c r="U1516" i="2"/>
  <c r="T1516" i="2"/>
  <c r="L1516" i="2"/>
  <c r="K1516" i="2"/>
  <c r="J1516" i="2"/>
  <c r="B1516" i="2"/>
  <c r="A1516" i="2"/>
  <c r="U1515" i="2"/>
  <c r="T1515" i="2"/>
  <c r="L1515" i="2"/>
  <c r="K1515" i="2"/>
  <c r="J1515" i="2"/>
  <c r="B1515" i="2"/>
  <c r="A1515" i="2"/>
  <c r="U1514" i="2"/>
  <c r="T1514" i="2"/>
  <c r="L1514" i="2"/>
  <c r="K1514" i="2"/>
  <c r="J1514" i="2"/>
  <c r="B1514" i="2"/>
  <c r="A1514" i="2"/>
  <c r="U1513" i="2"/>
  <c r="T1513" i="2"/>
  <c r="L1513" i="2"/>
  <c r="K1513" i="2"/>
  <c r="J1513" i="2"/>
  <c r="B1513" i="2"/>
  <c r="A1513" i="2"/>
  <c r="U1512" i="2"/>
  <c r="T1512" i="2"/>
  <c r="L1512" i="2"/>
  <c r="K1512" i="2"/>
  <c r="J1512" i="2"/>
  <c r="B1512" i="2"/>
  <c r="A1512" i="2"/>
  <c r="U1511" i="2"/>
  <c r="T1511" i="2"/>
  <c r="L1511" i="2"/>
  <c r="K1511" i="2"/>
  <c r="J1511" i="2"/>
  <c r="B1511" i="2"/>
  <c r="A1511" i="2"/>
  <c r="U1510" i="2"/>
  <c r="T1510" i="2"/>
  <c r="L1510" i="2"/>
  <c r="K1510" i="2"/>
  <c r="J1510" i="2"/>
  <c r="B1510" i="2"/>
  <c r="A1510" i="2"/>
  <c r="U1509" i="2"/>
  <c r="T1509" i="2"/>
  <c r="L1509" i="2"/>
  <c r="K1509" i="2"/>
  <c r="J1509" i="2"/>
  <c r="B1509" i="2"/>
  <c r="A1509" i="2"/>
  <c r="U1508" i="2"/>
  <c r="T1508" i="2"/>
  <c r="L1508" i="2"/>
  <c r="K1508" i="2"/>
  <c r="J1508" i="2"/>
  <c r="B1508" i="2"/>
  <c r="A1508" i="2"/>
  <c r="U1507" i="2"/>
  <c r="T1507" i="2"/>
  <c r="L1507" i="2"/>
  <c r="K1507" i="2"/>
  <c r="J1507" i="2"/>
  <c r="B1507" i="2"/>
  <c r="A1507" i="2"/>
  <c r="U1506" i="2"/>
  <c r="T1506" i="2"/>
  <c r="L1506" i="2"/>
  <c r="K1506" i="2"/>
  <c r="J1506" i="2"/>
  <c r="B1506" i="2"/>
  <c r="A1506" i="2"/>
  <c r="U1505" i="2"/>
  <c r="T1505" i="2"/>
  <c r="L1505" i="2"/>
  <c r="K1505" i="2"/>
  <c r="J1505" i="2"/>
  <c r="B1505" i="2"/>
  <c r="A1505" i="2"/>
  <c r="U1504" i="2"/>
  <c r="T1504" i="2"/>
  <c r="L1504" i="2"/>
  <c r="K1504" i="2"/>
  <c r="J1504" i="2"/>
  <c r="B1504" i="2"/>
  <c r="A1504" i="2"/>
  <c r="U1503" i="2"/>
  <c r="T1503" i="2"/>
  <c r="L1503" i="2"/>
  <c r="K1503" i="2"/>
  <c r="J1503" i="2"/>
  <c r="B1503" i="2"/>
  <c r="A1503" i="2"/>
  <c r="U1502" i="2"/>
  <c r="T1502" i="2"/>
  <c r="L1502" i="2"/>
  <c r="K1502" i="2"/>
  <c r="J1502" i="2"/>
  <c r="B1502" i="2"/>
  <c r="A1502" i="2"/>
  <c r="U1501" i="2"/>
  <c r="T1501" i="2"/>
  <c r="L1501" i="2"/>
  <c r="K1501" i="2"/>
  <c r="J1501" i="2"/>
  <c r="B1501" i="2"/>
  <c r="A1501" i="2"/>
  <c r="U1500" i="2"/>
  <c r="T1500" i="2"/>
  <c r="L1500" i="2"/>
  <c r="K1500" i="2"/>
  <c r="J1500" i="2"/>
  <c r="B1500" i="2"/>
  <c r="A1500" i="2"/>
  <c r="U1499" i="2"/>
  <c r="T1499" i="2"/>
  <c r="L1499" i="2"/>
  <c r="K1499" i="2"/>
  <c r="J1499" i="2"/>
  <c r="B1499" i="2"/>
  <c r="A1499" i="2"/>
  <c r="U1498" i="2"/>
  <c r="T1498" i="2"/>
  <c r="L1498" i="2"/>
  <c r="K1498" i="2"/>
  <c r="J1498" i="2"/>
  <c r="B1498" i="2"/>
  <c r="A1498" i="2"/>
  <c r="U1497" i="2"/>
  <c r="T1497" i="2"/>
  <c r="L1497" i="2"/>
  <c r="K1497" i="2"/>
  <c r="J1497" i="2"/>
  <c r="B1497" i="2"/>
  <c r="A1497" i="2"/>
  <c r="U1496" i="2"/>
  <c r="T1496" i="2"/>
  <c r="L1496" i="2"/>
  <c r="K1496" i="2"/>
  <c r="J1496" i="2"/>
  <c r="B1496" i="2"/>
  <c r="A1496" i="2"/>
  <c r="U1495" i="2"/>
  <c r="T1495" i="2"/>
  <c r="L1495" i="2"/>
  <c r="K1495" i="2"/>
  <c r="J1495" i="2"/>
  <c r="B1495" i="2"/>
  <c r="A1495" i="2"/>
  <c r="U1494" i="2"/>
  <c r="T1494" i="2"/>
  <c r="L1494" i="2"/>
  <c r="K1494" i="2"/>
  <c r="J1494" i="2"/>
  <c r="B1494" i="2"/>
  <c r="A1494" i="2"/>
  <c r="U1493" i="2"/>
  <c r="T1493" i="2"/>
  <c r="L1493" i="2"/>
  <c r="K1493" i="2"/>
  <c r="J1493" i="2"/>
  <c r="B1493" i="2"/>
  <c r="A1493" i="2"/>
  <c r="U1492" i="2"/>
  <c r="T1492" i="2"/>
  <c r="L1492" i="2"/>
  <c r="K1492" i="2"/>
  <c r="J1492" i="2"/>
  <c r="B1492" i="2"/>
  <c r="A1492" i="2"/>
  <c r="U1491" i="2"/>
  <c r="T1491" i="2"/>
  <c r="L1491" i="2"/>
  <c r="K1491" i="2"/>
  <c r="J1491" i="2"/>
  <c r="B1491" i="2"/>
  <c r="A1491" i="2"/>
  <c r="U1490" i="2"/>
  <c r="T1490" i="2"/>
  <c r="L1490" i="2"/>
  <c r="K1490" i="2"/>
  <c r="J1490" i="2"/>
  <c r="B1490" i="2"/>
  <c r="A1490" i="2"/>
  <c r="U1489" i="2"/>
  <c r="T1489" i="2"/>
  <c r="L1489" i="2"/>
  <c r="K1489" i="2"/>
  <c r="J1489" i="2"/>
  <c r="B1489" i="2"/>
  <c r="A1489" i="2"/>
  <c r="U1488" i="2"/>
  <c r="T1488" i="2"/>
  <c r="L1488" i="2"/>
  <c r="K1488" i="2"/>
  <c r="J1488" i="2"/>
  <c r="B1488" i="2"/>
  <c r="A1488" i="2"/>
  <c r="U1487" i="2"/>
  <c r="T1487" i="2"/>
  <c r="L1487" i="2"/>
  <c r="K1487" i="2"/>
  <c r="J1487" i="2"/>
  <c r="B1487" i="2"/>
  <c r="A1487" i="2"/>
  <c r="U1486" i="2"/>
  <c r="T1486" i="2"/>
  <c r="L1486" i="2"/>
  <c r="K1486" i="2"/>
  <c r="J1486" i="2"/>
  <c r="B1486" i="2"/>
  <c r="A1486" i="2"/>
  <c r="U1485" i="2"/>
  <c r="T1485" i="2"/>
  <c r="L1485" i="2"/>
  <c r="K1485" i="2"/>
  <c r="J1485" i="2"/>
  <c r="B1485" i="2"/>
  <c r="A1485" i="2"/>
  <c r="U1484" i="2"/>
  <c r="T1484" i="2"/>
  <c r="L1484" i="2"/>
  <c r="K1484" i="2"/>
  <c r="J1484" i="2"/>
  <c r="B1484" i="2"/>
  <c r="A1484" i="2"/>
  <c r="U1483" i="2"/>
  <c r="T1483" i="2"/>
  <c r="L1483" i="2"/>
  <c r="K1483" i="2"/>
  <c r="J1483" i="2"/>
  <c r="B1483" i="2"/>
  <c r="A1483" i="2"/>
  <c r="U1482" i="2"/>
  <c r="T1482" i="2"/>
  <c r="L1482" i="2"/>
  <c r="K1482" i="2"/>
  <c r="J1482" i="2"/>
  <c r="B1482" i="2"/>
  <c r="A1482" i="2"/>
  <c r="U1481" i="2"/>
  <c r="T1481" i="2"/>
  <c r="L1481" i="2"/>
  <c r="K1481" i="2"/>
  <c r="J1481" i="2"/>
  <c r="B1481" i="2"/>
  <c r="A1481" i="2"/>
  <c r="U1480" i="2"/>
  <c r="T1480" i="2"/>
  <c r="L1480" i="2"/>
  <c r="K1480" i="2"/>
  <c r="J1480" i="2"/>
  <c r="B1480" i="2"/>
  <c r="A1480" i="2"/>
  <c r="U1479" i="2"/>
  <c r="T1479" i="2"/>
  <c r="L1479" i="2"/>
  <c r="K1479" i="2"/>
  <c r="J1479" i="2"/>
  <c r="B1479" i="2"/>
  <c r="A1479" i="2"/>
  <c r="U1478" i="2"/>
  <c r="T1478" i="2"/>
  <c r="L1478" i="2"/>
  <c r="K1478" i="2"/>
  <c r="J1478" i="2"/>
  <c r="B1478" i="2"/>
  <c r="A1478" i="2"/>
  <c r="U1477" i="2"/>
  <c r="T1477" i="2"/>
  <c r="L1477" i="2"/>
  <c r="K1477" i="2"/>
  <c r="J1477" i="2"/>
  <c r="B1477" i="2"/>
  <c r="A1477" i="2"/>
  <c r="U1476" i="2"/>
  <c r="T1476" i="2"/>
  <c r="L1476" i="2"/>
  <c r="K1476" i="2"/>
  <c r="J1476" i="2"/>
  <c r="B1476" i="2"/>
  <c r="A1476" i="2"/>
  <c r="U1475" i="2"/>
  <c r="T1475" i="2"/>
  <c r="L1475" i="2"/>
  <c r="K1475" i="2"/>
  <c r="J1475" i="2"/>
  <c r="B1475" i="2"/>
  <c r="A1475" i="2"/>
  <c r="U1474" i="2"/>
  <c r="T1474" i="2"/>
  <c r="L1474" i="2"/>
  <c r="K1474" i="2"/>
  <c r="J1474" i="2"/>
  <c r="B1474" i="2"/>
  <c r="A1474" i="2"/>
  <c r="U1473" i="2"/>
  <c r="T1473" i="2"/>
  <c r="L1473" i="2"/>
  <c r="K1473" i="2"/>
  <c r="J1473" i="2"/>
  <c r="B1473" i="2"/>
  <c r="A1473" i="2"/>
  <c r="U1472" i="2"/>
  <c r="T1472" i="2"/>
  <c r="L1472" i="2"/>
  <c r="K1472" i="2"/>
  <c r="J1472" i="2"/>
  <c r="B1472" i="2"/>
  <c r="A1472" i="2"/>
  <c r="U1471" i="2"/>
  <c r="T1471" i="2"/>
  <c r="L1471" i="2"/>
  <c r="K1471" i="2"/>
  <c r="J1471" i="2"/>
  <c r="B1471" i="2"/>
  <c r="A1471" i="2"/>
  <c r="U1470" i="2"/>
  <c r="T1470" i="2"/>
  <c r="L1470" i="2"/>
  <c r="K1470" i="2"/>
  <c r="J1470" i="2"/>
  <c r="B1470" i="2"/>
  <c r="A1470" i="2"/>
  <c r="U1469" i="2"/>
  <c r="T1469" i="2"/>
  <c r="L1469" i="2"/>
  <c r="K1469" i="2"/>
  <c r="J1469" i="2"/>
  <c r="B1469" i="2"/>
  <c r="A1469" i="2"/>
  <c r="U1468" i="2"/>
  <c r="T1468" i="2"/>
  <c r="L1468" i="2"/>
  <c r="K1468" i="2"/>
  <c r="J1468" i="2"/>
  <c r="B1468" i="2"/>
  <c r="A1468" i="2"/>
  <c r="U1467" i="2"/>
  <c r="T1467" i="2"/>
  <c r="L1467" i="2"/>
  <c r="K1467" i="2"/>
  <c r="J1467" i="2"/>
  <c r="B1467" i="2"/>
  <c r="A1467" i="2"/>
  <c r="U1466" i="2"/>
  <c r="T1466" i="2"/>
  <c r="L1466" i="2"/>
  <c r="K1466" i="2"/>
  <c r="J1466" i="2"/>
  <c r="B1466" i="2"/>
  <c r="A1466" i="2"/>
  <c r="U1465" i="2"/>
  <c r="T1465" i="2"/>
  <c r="L1465" i="2"/>
  <c r="K1465" i="2"/>
  <c r="J1465" i="2"/>
  <c r="B1465" i="2"/>
  <c r="A1465" i="2"/>
  <c r="U1464" i="2"/>
  <c r="T1464" i="2"/>
  <c r="L1464" i="2"/>
  <c r="K1464" i="2"/>
  <c r="J1464" i="2"/>
  <c r="B1464" i="2"/>
  <c r="A1464" i="2"/>
  <c r="U1463" i="2"/>
  <c r="T1463" i="2"/>
  <c r="L1463" i="2"/>
  <c r="K1463" i="2"/>
  <c r="J1463" i="2"/>
  <c r="B1463" i="2"/>
  <c r="A1463" i="2"/>
  <c r="U1462" i="2"/>
  <c r="T1462" i="2"/>
  <c r="L1462" i="2"/>
  <c r="K1462" i="2"/>
  <c r="J1462" i="2"/>
  <c r="B1462" i="2"/>
  <c r="A1462" i="2"/>
  <c r="U1461" i="2"/>
  <c r="T1461" i="2"/>
  <c r="L1461" i="2"/>
  <c r="K1461" i="2"/>
  <c r="J1461" i="2"/>
  <c r="B1461" i="2"/>
  <c r="A1461" i="2"/>
  <c r="U1460" i="2"/>
  <c r="T1460" i="2"/>
  <c r="L1460" i="2"/>
  <c r="K1460" i="2"/>
  <c r="J1460" i="2"/>
  <c r="B1460" i="2"/>
  <c r="A1460" i="2"/>
  <c r="U1459" i="2"/>
  <c r="T1459" i="2"/>
  <c r="L1459" i="2"/>
  <c r="K1459" i="2"/>
  <c r="J1459" i="2"/>
  <c r="B1459" i="2"/>
  <c r="A1459" i="2"/>
  <c r="U1458" i="2"/>
  <c r="T1458" i="2"/>
  <c r="L1458" i="2"/>
  <c r="K1458" i="2"/>
  <c r="J1458" i="2"/>
  <c r="B1458" i="2"/>
  <c r="A1458" i="2"/>
  <c r="U1457" i="2"/>
  <c r="T1457" i="2"/>
  <c r="L1457" i="2"/>
  <c r="K1457" i="2"/>
  <c r="J1457" i="2"/>
  <c r="B1457" i="2"/>
  <c r="A1457" i="2"/>
  <c r="U1456" i="2"/>
  <c r="T1456" i="2"/>
  <c r="L1456" i="2"/>
  <c r="K1456" i="2"/>
  <c r="J1456" i="2"/>
  <c r="B1456" i="2"/>
  <c r="A1456" i="2"/>
  <c r="U1455" i="2"/>
  <c r="T1455" i="2"/>
  <c r="L1455" i="2"/>
  <c r="K1455" i="2"/>
  <c r="J1455" i="2"/>
  <c r="B1455" i="2"/>
  <c r="A1455" i="2"/>
  <c r="U1454" i="2"/>
  <c r="T1454" i="2"/>
  <c r="L1454" i="2"/>
  <c r="K1454" i="2"/>
  <c r="J1454" i="2"/>
  <c r="B1454" i="2"/>
  <c r="A1454" i="2"/>
  <c r="U1453" i="2"/>
  <c r="T1453" i="2"/>
  <c r="L1453" i="2"/>
  <c r="K1453" i="2"/>
  <c r="J1453" i="2"/>
  <c r="B1453" i="2"/>
  <c r="A1453" i="2"/>
  <c r="U1452" i="2"/>
  <c r="T1452" i="2"/>
  <c r="L1452" i="2"/>
  <c r="K1452" i="2"/>
  <c r="J1452" i="2"/>
  <c r="B1452" i="2"/>
  <c r="A1452" i="2"/>
  <c r="U1451" i="2"/>
  <c r="T1451" i="2"/>
  <c r="L1451" i="2"/>
  <c r="K1451" i="2"/>
  <c r="J1451" i="2"/>
  <c r="B1451" i="2"/>
  <c r="A1451" i="2"/>
  <c r="U1450" i="2"/>
  <c r="T1450" i="2"/>
  <c r="L1450" i="2"/>
  <c r="K1450" i="2"/>
  <c r="J1450" i="2"/>
  <c r="B1450" i="2"/>
  <c r="A1450" i="2"/>
  <c r="U1449" i="2"/>
  <c r="T1449" i="2"/>
  <c r="L1449" i="2"/>
  <c r="K1449" i="2"/>
  <c r="J1449" i="2"/>
  <c r="B1449" i="2"/>
  <c r="A1449" i="2"/>
  <c r="U1448" i="2"/>
  <c r="T1448" i="2"/>
  <c r="L1448" i="2"/>
  <c r="K1448" i="2"/>
  <c r="J1448" i="2"/>
  <c r="B1448" i="2"/>
  <c r="A1448" i="2"/>
  <c r="U1447" i="2"/>
  <c r="T1447" i="2"/>
  <c r="L1447" i="2"/>
  <c r="K1447" i="2"/>
  <c r="J1447" i="2"/>
  <c r="B1447" i="2"/>
  <c r="A1447" i="2"/>
  <c r="U1446" i="2"/>
  <c r="T1446" i="2"/>
  <c r="L1446" i="2"/>
  <c r="K1446" i="2"/>
  <c r="J1446" i="2"/>
  <c r="B1446" i="2"/>
  <c r="A1446" i="2"/>
  <c r="U1445" i="2"/>
  <c r="T1445" i="2"/>
  <c r="L1445" i="2"/>
  <c r="K1445" i="2"/>
  <c r="J1445" i="2"/>
  <c r="B1445" i="2"/>
  <c r="A1445" i="2"/>
  <c r="U1444" i="2"/>
  <c r="T1444" i="2"/>
  <c r="L1444" i="2"/>
  <c r="K1444" i="2"/>
  <c r="J1444" i="2"/>
  <c r="B1444" i="2"/>
  <c r="A1444" i="2"/>
  <c r="U1443" i="2"/>
  <c r="T1443" i="2"/>
  <c r="L1443" i="2"/>
  <c r="K1443" i="2"/>
  <c r="J1443" i="2"/>
  <c r="B1443" i="2"/>
  <c r="A1443" i="2"/>
  <c r="U1442" i="2"/>
  <c r="T1442" i="2"/>
  <c r="L1442" i="2"/>
  <c r="K1442" i="2"/>
  <c r="J1442" i="2"/>
  <c r="B1442" i="2"/>
  <c r="A1442" i="2"/>
  <c r="U1441" i="2"/>
  <c r="T1441" i="2"/>
  <c r="L1441" i="2"/>
  <c r="K1441" i="2"/>
  <c r="J1441" i="2"/>
  <c r="B1441" i="2"/>
  <c r="A1441" i="2"/>
  <c r="U1440" i="2"/>
  <c r="T1440" i="2"/>
  <c r="L1440" i="2"/>
  <c r="K1440" i="2"/>
  <c r="J1440" i="2"/>
  <c r="B1440" i="2"/>
  <c r="A1440" i="2"/>
  <c r="U1439" i="2"/>
  <c r="T1439" i="2"/>
  <c r="L1439" i="2"/>
  <c r="K1439" i="2"/>
  <c r="J1439" i="2"/>
  <c r="B1439" i="2"/>
  <c r="A1439" i="2"/>
  <c r="U1438" i="2"/>
  <c r="T1438" i="2"/>
  <c r="L1438" i="2"/>
  <c r="K1438" i="2"/>
  <c r="J1438" i="2"/>
  <c r="B1438" i="2"/>
  <c r="A1438" i="2"/>
  <c r="U1437" i="2"/>
  <c r="T1437" i="2"/>
  <c r="L1437" i="2"/>
  <c r="K1437" i="2"/>
  <c r="J1437" i="2"/>
  <c r="B1437" i="2"/>
  <c r="A1437" i="2"/>
  <c r="U1436" i="2"/>
  <c r="T1436" i="2"/>
  <c r="L1436" i="2"/>
  <c r="K1436" i="2"/>
  <c r="J1436" i="2"/>
  <c r="B1436" i="2"/>
  <c r="A1436" i="2"/>
  <c r="U1435" i="2"/>
  <c r="T1435" i="2"/>
  <c r="L1435" i="2"/>
  <c r="K1435" i="2"/>
  <c r="J1435" i="2"/>
  <c r="B1435" i="2"/>
  <c r="A1435" i="2"/>
  <c r="U1434" i="2"/>
  <c r="L1434" i="2"/>
  <c r="K1434" i="2"/>
  <c r="J1434" i="2"/>
  <c r="B1434" i="2"/>
  <c r="A1434" i="2"/>
  <c r="U1433" i="2"/>
  <c r="L1433" i="2"/>
  <c r="K1433" i="2"/>
  <c r="J1433" i="2"/>
  <c r="B1433" i="2"/>
  <c r="A1433" i="2"/>
  <c r="U1432" i="2"/>
  <c r="L1432" i="2"/>
  <c r="K1432" i="2"/>
  <c r="J1432" i="2"/>
  <c r="B1432" i="2"/>
  <c r="A1432" i="2"/>
  <c r="U1431" i="2"/>
  <c r="L1431" i="2"/>
  <c r="K1431" i="2"/>
  <c r="J1431" i="2"/>
  <c r="B1431" i="2"/>
  <c r="A1431" i="2"/>
  <c r="U1430" i="2"/>
  <c r="L1430" i="2"/>
  <c r="K1430" i="2"/>
  <c r="J1430" i="2"/>
  <c r="B1430" i="2"/>
  <c r="A1430" i="2"/>
  <c r="U1429" i="2"/>
  <c r="L1429" i="2"/>
  <c r="K1429" i="2"/>
  <c r="J1429" i="2"/>
  <c r="B1429" i="2"/>
  <c r="A1429" i="2"/>
  <c r="U1428" i="2"/>
  <c r="L1428" i="2"/>
  <c r="K1428" i="2"/>
  <c r="J1428" i="2"/>
  <c r="B1428" i="2"/>
  <c r="A1428" i="2"/>
  <c r="U1427" i="2"/>
  <c r="L1427" i="2"/>
  <c r="K1427" i="2"/>
  <c r="J1427" i="2"/>
  <c r="B1427" i="2"/>
  <c r="A1427" i="2"/>
  <c r="U1426" i="2"/>
  <c r="T1426" i="2"/>
  <c r="L1426" i="2"/>
  <c r="K1426" i="2"/>
  <c r="J1426" i="2"/>
  <c r="B1426" i="2"/>
  <c r="A1426" i="2"/>
  <c r="U1425" i="2"/>
  <c r="T1425" i="2"/>
  <c r="L1425" i="2"/>
  <c r="K1425" i="2"/>
  <c r="J1425" i="2"/>
  <c r="B1425" i="2"/>
  <c r="A1425" i="2"/>
  <c r="U1424" i="2"/>
  <c r="T1424" i="2"/>
  <c r="L1424" i="2"/>
  <c r="K1424" i="2"/>
  <c r="J1424" i="2"/>
  <c r="B1424" i="2"/>
  <c r="A1424" i="2"/>
  <c r="U1423" i="2"/>
  <c r="T1423" i="2"/>
  <c r="L1423" i="2"/>
  <c r="K1423" i="2"/>
  <c r="J1423" i="2"/>
  <c r="B1423" i="2"/>
  <c r="A1423" i="2"/>
  <c r="U1422" i="2"/>
  <c r="T1422" i="2"/>
  <c r="L1422" i="2"/>
  <c r="K1422" i="2"/>
  <c r="J1422" i="2"/>
  <c r="B1422" i="2"/>
  <c r="A1422" i="2"/>
  <c r="U1421" i="2"/>
  <c r="T1421" i="2"/>
  <c r="L1421" i="2"/>
  <c r="K1421" i="2"/>
  <c r="J1421" i="2"/>
  <c r="B1421" i="2"/>
  <c r="A1421" i="2"/>
  <c r="U1420" i="2"/>
  <c r="T1420" i="2"/>
  <c r="L1420" i="2"/>
  <c r="K1420" i="2"/>
  <c r="J1420" i="2"/>
  <c r="B1420" i="2"/>
  <c r="A1420" i="2"/>
  <c r="U1419" i="2"/>
  <c r="T1419" i="2"/>
  <c r="L1419" i="2"/>
  <c r="K1419" i="2"/>
  <c r="J1419" i="2"/>
  <c r="B1419" i="2"/>
  <c r="A1419" i="2"/>
  <c r="U1418" i="2"/>
  <c r="T1418" i="2"/>
  <c r="L1418" i="2"/>
  <c r="K1418" i="2"/>
  <c r="J1418" i="2"/>
  <c r="B1418" i="2"/>
  <c r="A1418" i="2"/>
  <c r="U1417" i="2"/>
  <c r="T1417" i="2"/>
  <c r="L1417" i="2"/>
  <c r="K1417" i="2"/>
  <c r="J1417" i="2"/>
  <c r="B1417" i="2"/>
  <c r="A1417" i="2"/>
  <c r="U1416" i="2"/>
  <c r="T1416" i="2"/>
  <c r="L1416" i="2"/>
  <c r="K1416" i="2"/>
  <c r="J1416" i="2"/>
  <c r="B1416" i="2"/>
  <c r="A1416" i="2"/>
  <c r="U1415" i="2"/>
  <c r="T1415" i="2"/>
  <c r="L1415" i="2"/>
  <c r="K1415" i="2"/>
  <c r="J1415" i="2"/>
  <c r="B1415" i="2"/>
  <c r="A1415" i="2"/>
  <c r="U1414" i="2"/>
  <c r="T1414" i="2"/>
  <c r="L1414" i="2"/>
  <c r="K1414" i="2"/>
  <c r="J1414" i="2"/>
  <c r="B1414" i="2"/>
  <c r="A1414" i="2"/>
  <c r="U1413" i="2"/>
  <c r="T1413" i="2"/>
  <c r="L1413" i="2"/>
  <c r="K1413" i="2"/>
  <c r="J1413" i="2"/>
  <c r="B1413" i="2"/>
  <c r="A1413" i="2"/>
  <c r="U1412" i="2"/>
  <c r="T1412" i="2"/>
  <c r="L1412" i="2"/>
  <c r="K1412" i="2"/>
  <c r="J1412" i="2"/>
  <c r="B1412" i="2"/>
  <c r="A1412" i="2"/>
  <c r="U1411" i="2"/>
  <c r="T1411" i="2"/>
  <c r="L1411" i="2"/>
  <c r="K1411" i="2"/>
  <c r="J1411" i="2"/>
  <c r="B1411" i="2"/>
  <c r="A1411" i="2"/>
  <c r="U1410" i="2"/>
  <c r="T1410" i="2"/>
  <c r="L1410" i="2"/>
  <c r="K1410" i="2"/>
  <c r="J1410" i="2"/>
  <c r="B1410" i="2"/>
  <c r="A1410" i="2"/>
  <c r="U1409" i="2"/>
  <c r="T1409" i="2"/>
  <c r="L1409" i="2"/>
  <c r="K1409" i="2"/>
  <c r="J1409" i="2"/>
  <c r="B1409" i="2"/>
  <c r="A1409" i="2"/>
  <c r="U1408" i="2"/>
  <c r="T1408" i="2"/>
  <c r="L1408" i="2"/>
  <c r="K1408" i="2"/>
  <c r="J1408" i="2"/>
  <c r="B1408" i="2"/>
  <c r="A1408" i="2"/>
  <c r="U1407" i="2"/>
  <c r="T1407" i="2"/>
  <c r="L1407" i="2"/>
  <c r="K1407" i="2"/>
  <c r="J1407" i="2"/>
  <c r="B1407" i="2"/>
  <c r="A1407" i="2"/>
  <c r="U1406" i="2"/>
  <c r="T1406" i="2"/>
  <c r="L1406" i="2"/>
  <c r="K1406" i="2"/>
  <c r="J1406" i="2"/>
  <c r="B1406" i="2"/>
  <c r="A1406" i="2"/>
  <c r="U1405" i="2"/>
  <c r="T1405" i="2"/>
  <c r="L1405" i="2"/>
  <c r="K1405" i="2"/>
  <c r="J1405" i="2"/>
  <c r="B1405" i="2"/>
  <c r="A1405" i="2"/>
  <c r="U1404" i="2"/>
  <c r="T1404" i="2"/>
  <c r="L1404" i="2"/>
  <c r="K1404" i="2"/>
  <c r="J1404" i="2"/>
  <c r="B1404" i="2"/>
  <c r="A1404" i="2"/>
  <c r="U1403" i="2"/>
  <c r="T1403" i="2"/>
  <c r="L1403" i="2"/>
  <c r="K1403" i="2"/>
  <c r="J1403" i="2"/>
  <c r="B1403" i="2"/>
  <c r="A1403" i="2"/>
  <c r="U1402" i="2"/>
  <c r="T1402" i="2"/>
  <c r="L1402" i="2"/>
  <c r="K1402" i="2"/>
  <c r="J1402" i="2"/>
  <c r="B1402" i="2"/>
  <c r="A1402" i="2"/>
  <c r="U1401" i="2"/>
  <c r="T1401" i="2"/>
  <c r="L1401" i="2"/>
  <c r="K1401" i="2"/>
  <c r="J1401" i="2"/>
  <c r="B1401" i="2"/>
  <c r="A1401" i="2"/>
  <c r="U1400" i="2"/>
  <c r="T1400" i="2"/>
  <c r="L1400" i="2"/>
  <c r="K1400" i="2"/>
  <c r="J1400" i="2"/>
  <c r="B1400" i="2"/>
  <c r="A1400" i="2"/>
  <c r="U1399" i="2"/>
  <c r="T1399" i="2"/>
  <c r="L1399" i="2"/>
  <c r="K1399" i="2"/>
  <c r="J1399" i="2"/>
  <c r="B1399" i="2"/>
  <c r="A1399" i="2"/>
  <c r="U1398" i="2"/>
  <c r="T1398" i="2"/>
  <c r="L1398" i="2"/>
  <c r="K1398" i="2"/>
  <c r="J1398" i="2"/>
  <c r="B1398" i="2"/>
  <c r="A1398" i="2"/>
  <c r="U1397" i="2"/>
  <c r="T1397" i="2"/>
  <c r="L1397" i="2"/>
  <c r="K1397" i="2"/>
  <c r="J1397" i="2"/>
  <c r="B1397" i="2"/>
  <c r="A1397" i="2"/>
  <c r="U1396" i="2"/>
  <c r="T1396" i="2"/>
  <c r="L1396" i="2"/>
  <c r="K1396" i="2"/>
  <c r="J1396" i="2"/>
  <c r="B1396" i="2"/>
  <c r="A1396" i="2"/>
  <c r="U1395" i="2"/>
  <c r="T1395" i="2"/>
  <c r="L1395" i="2"/>
  <c r="K1395" i="2"/>
  <c r="J1395" i="2"/>
  <c r="B1395" i="2"/>
  <c r="A1395" i="2"/>
  <c r="U1394" i="2"/>
  <c r="T1394" i="2"/>
  <c r="L1394" i="2"/>
  <c r="K1394" i="2"/>
  <c r="J1394" i="2"/>
  <c r="B1394" i="2"/>
  <c r="A1394" i="2"/>
  <c r="U1393" i="2"/>
  <c r="T1393" i="2"/>
  <c r="L1393" i="2"/>
  <c r="K1393" i="2"/>
  <c r="J1393" i="2"/>
  <c r="B1393" i="2"/>
  <c r="A1393" i="2"/>
  <c r="U1392" i="2"/>
  <c r="T1392" i="2"/>
  <c r="L1392" i="2"/>
  <c r="K1392" i="2"/>
  <c r="J1392" i="2"/>
  <c r="B1392" i="2"/>
  <c r="A1392" i="2"/>
  <c r="U1391" i="2"/>
  <c r="T1391" i="2"/>
  <c r="L1391" i="2"/>
  <c r="K1391" i="2"/>
  <c r="J1391" i="2"/>
  <c r="B1391" i="2"/>
  <c r="A1391" i="2"/>
  <c r="U1390" i="2"/>
  <c r="T1390" i="2"/>
  <c r="L1390" i="2"/>
  <c r="K1390" i="2"/>
  <c r="J1390" i="2"/>
  <c r="B1390" i="2"/>
  <c r="A1390" i="2"/>
  <c r="U1389" i="2"/>
  <c r="T1389" i="2"/>
  <c r="L1389" i="2"/>
  <c r="K1389" i="2"/>
  <c r="J1389" i="2"/>
  <c r="B1389" i="2"/>
  <c r="A1389" i="2"/>
  <c r="U1388" i="2"/>
  <c r="T1388" i="2"/>
  <c r="L1388" i="2"/>
  <c r="K1388" i="2"/>
  <c r="J1388" i="2"/>
  <c r="B1388" i="2"/>
  <c r="A1388" i="2"/>
  <c r="U1387" i="2"/>
  <c r="T1387" i="2"/>
  <c r="L1387" i="2"/>
  <c r="K1387" i="2"/>
  <c r="J1387" i="2"/>
  <c r="B1387" i="2"/>
  <c r="A1387" i="2"/>
  <c r="U1386" i="2"/>
  <c r="T1386" i="2"/>
  <c r="L1386" i="2"/>
  <c r="K1386" i="2"/>
  <c r="J1386" i="2"/>
  <c r="B1386" i="2"/>
  <c r="A1386" i="2"/>
  <c r="U1385" i="2"/>
  <c r="T1385" i="2"/>
  <c r="L1385" i="2"/>
  <c r="K1385" i="2"/>
  <c r="J1385" i="2"/>
  <c r="B1385" i="2"/>
  <c r="A1385" i="2"/>
  <c r="U1384" i="2"/>
  <c r="T1384" i="2"/>
  <c r="L1384" i="2"/>
  <c r="K1384" i="2"/>
  <c r="J1384" i="2"/>
  <c r="B1384" i="2"/>
  <c r="A1384" i="2"/>
  <c r="U1383" i="2"/>
  <c r="T1383" i="2"/>
  <c r="L1383" i="2"/>
  <c r="K1383" i="2"/>
  <c r="J1383" i="2"/>
  <c r="B1383" i="2"/>
  <c r="A1383" i="2"/>
  <c r="U1382" i="2"/>
  <c r="T1382" i="2"/>
  <c r="L1382" i="2"/>
  <c r="K1382" i="2"/>
  <c r="J1382" i="2"/>
  <c r="B1382" i="2"/>
  <c r="A1382" i="2"/>
  <c r="U1381" i="2"/>
  <c r="T1381" i="2"/>
  <c r="L1381" i="2"/>
  <c r="K1381" i="2"/>
  <c r="J1381" i="2"/>
  <c r="B1381" i="2"/>
  <c r="A1381" i="2"/>
  <c r="U1380" i="2"/>
  <c r="L1380" i="2"/>
  <c r="K1380" i="2"/>
  <c r="J1380" i="2"/>
  <c r="B1380" i="2"/>
  <c r="A1380" i="2"/>
  <c r="U1379" i="2"/>
  <c r="T1379" i="2"/>
  <c r="L1379" i="2"/>
  <c r="K1379" i="2"/>
  <c r="J1379" i="2"/>
  <c r="B1379" i="2"/>
  <c r="A1379" i="2"/>
  <c r="U1378" i="2"/>
  <c r="T1378" i="2"/>
  <c r="L1378" i="2"/>
  <c r="K1378" i="2"/>
  <c r="J1378" i="2"/>
  <c r="B1378" i="2"/>
  <c r="A1378" i="2"/>
  <c r="U1377" i="2"/>
  <c r="T1377" i="2"/>
  <c r="L1377" i="2"/>
  <c r="K1377" i="2"/>
  <c r="J1377" i="2"/>
  <c r="B1377" i="2"/>
  <c r="A1377" i="2"/>
  <c r="U1376" i="2"/>
  <c r="T1376" i="2"/>
  <c r="L1376" i="2"/>
  <c r="K1376" i="2"/>
  <c r="J1376" i="2"/>
  <c r="B1376" i="2"/>
  <c r="A1376" i="2"/>
  <c r="U1375" i="2"/>
  <c r="T1375" i="2"/>
  <c r="L1375" i="2"/>
  <c r="K1375" i="2"/>
  <c r="J1375" i="2"/>
  <c r="B1375" i="2"/>
  <c r="A1375" i="2"/>
  <c r="U1374" i="2"/>
  <c r="T1374" i="2"/>
  <c r="L1374" i="2"/>
  <c r="K1374" i="2"/>
  <c r="J1374" i="2"/>
  <c r="B1374" i="2"/>
  <c r="A1374" i="2"/>
  <c r="U1373" i="2"/>
  <c r="T1373" i="2"/>
  <c r="L1373" i="2"/>
  <c r="K1373" i="2"/>
  <c r="J1373" i="2"/>
  <c r="B1373" i="2"/>
  <c r="A1373" i="2"/>
  <c r="U1372" i="2"/>
  <c r="T1372" i="2"/>
  <c r="L1372" i="2"/>
  <c r="K1372" i="2"/>
  <c r="J1372" i="2"/>
  <c r="B1372" i="2"/>
  <c r="A1372" i="2"/>
  <c r="U1371" i="2"/>
  <c r="T1371" i="2"/>
  <c r="L1371" i="2"/>
  <c r="K1371" i="2"/>
  <c r="J1371" i="2"/>
  <c r="B1371" i="2"/>
  <c r="A1371" i="2"/>
  <c r="U1370" i="2"/>
  <c r="T1370" i="2"/>
  <c r="L1370" i="2"/>
  <c r="K1370" i="2"/>
  <c r="J1370" i="2"/>
  <c r="B1370" i="2"/>
  <c r="A1370" i="2"/>
  <c r="U1369" i="2"/>
  <c r="T1369" i="2"/>
  <c r="L1369" i="2"/>
  <c r="K1369" i="2"/>
  <c r="J1369" i="2"/>
  <c r="B1369" i="2"/>
  <c r="A1369" i="2"/>
  <c r="U1368" i="2"/>
  <c r="T1368" i="2"/>
  <c r="L1368" i="2"/>
  <c r="K1368" i="2"/>
  <c r="J1368" i="2"/>
  <c r="B1368" i="2"/>
  <c r="A1368" i="2"/>
  <c r="U1367" i="2"/>
  <c r="T1367" i="2"/>
  <c r="L1367" i="2"/>
  <c r="K1367" i="2"/>
  <c r="J1367" i="2"/>
  <c r="B1367" i="2"/>
  <c r="A1367" i="2"/>
  <c r="U1366" i="2"/>
  <c r="T1366" i="2"/>
  <c r="L1366" i="2"/>
  <c r="K1366" i="2"/>
  <c r="J1366" i="2"/>
  <c r="B1366" i="2"/>
  <c r="A1366" i="2"/>
  <c r="U1365" i="2"/>
  <c r="L1365" i="2"/>
  <c r="K1365" i="2"/>
  <c r="J1365" i="2"/>
  <c r="B1365" i="2"/>
  <c r="A1365" i="2"/>
  <c r="U1364" i="2"/>
  <c r="L1364" i="2"/>
  <c r="K1364" i="2"/>
  <c r="J1364" i="2"/>
  <c r="B1364" i="2"/>
  <c r="A1364" i="2"/>
  <c r="U1363" i="2"/>
  <c r="L1363" i="2"/>
  <c r="K1363" i="2"/>
  <c r="J1363" i="2"/>
  <c r="B1363" i="2"/>
  <c r="A1363" i="2"/>
  <c r="U1362" i="2"/>
  <c r="L1362" i="2"/>
  <c r="K1362" i="2"/>
  <c r="J1362" i="2"/>
  <c r="B1362" i="2"/>
  <c r="A1362" i="2"/>
  <c r="U1361" i="2"/>
  <c r="L1361" i="2"/>
  <c r="K1361" i="2"/>
  <c r="J1361" i="2"/>
  <c r="B1361" i="2"/>
  <c r="A1361" i="2"/>
  <c r="U1360" i="2"/>
  <c r="L1360" i="2"/>
  <c r="K1360" i="2"/>
  <c r="J1360" i="2"/>
  <c r="B1360" i="2"/>
  <c r="A1360" i="2"/>
  <c r="U1359" i="2"/>
  <c r="L1359" i="2"/>
  <c r="K1359" i="2"/>
  <c r="J1359" i="2"/>
  <c r="B1359" i="2"/>
  <c r="A1359" i="2"/>
  <c r="U1358" i="2"/>
  <c r="L1358" i="2"/>
  <c r="K1358" i="2"/>
  <c r="J1358" i="2"/>
  <c r="B1358" i="2"/>
  <c r="A1358" i="2"/>
  <c r="U1357" i="2"/>
  <c r="L1357" i="2"/>
  <c r="K1357" i="2"/>
  <c r="J1357" i="2"/>
  <c r="B1357" i="2"/>
  <c r="A1357" i="2"/>
  <c r="U1356" i="2"/>
  <c r="T1356" i="2"/>
  <c r="L1356" i="2"/>
  <c r="K1356" i="2"/>
  <c r="J1356" i="2"/>
  <c r="B1356" i="2"/>
  <c r="A1356" i="2"/>
  <c r="U1355" i="2"/>
  <c r="T1355" i="2"/>
  <c r="L1355" i="2"/>
  <c r="K1355" i="2"/>
  <c r="J1355" i="2"/>
  <c r="B1355" i="2"/>
  <c r="A1355" i="2"/>
  <c r="U1354" i="2"/>
  <c r="T1354" i="2"/>
  <c r="L1354" i="2"/>
  <c r="K1354" i="2"/>
  <c r="J1354" i="2"/>
  <c r="B1354" i="2"/>
  <c r="A1354" i="2"/>
  <c r="U1353" i="2"/>
  <c r="T1353" i="2"/>
  <c r="L1353" i="2"/>
  <c r="K1353" i="2"/>
  <c r="J1353" i="2"/>
  <c r="B1353" i="2"/>
  <c r="A1353" i="2"/>
  <c r="U1352" i="2"/>
  <c r="T1352" i="2"/>
  <c r="L1352" i="2"/>
  <c r="K1352" i="2"/>
  <c r="J1352" i="2"/>
  <c r="B1352" i="2"/>
  <c r="A1352" i="2"/>
  <c r="U1351" i="2"/>
  <c r="T1351" i="2"/>
  <c r="L1351" i="2"/>
  <c r="K1351" i="2"/>
  <c r="J1351" i="2"/>
  <c r="B1351" i="2"/>
  <c r="A1351" i="2"/>
  <c r="U1350" i="2"/>
  <c r="T1350" i="2"/>
  <c r="L1350" i="2"/>
  <c r="K1350" i="2"/>
  <c r="J1350" i="2"/>
  <c r="B1350" i="2"/>
  <c r="A1350" i="2"/>
  <c r="U1349" i="2"/>
  <c r="T1349" i="2"/>
  <c r="L1349" i="2"/>
  <c r="K1349" i="2"/>
  <c r="J1349" i="2"/>
  <c r="B1349" i="2"/>
  <c r="A1349" i="2"/>
  <c r="U1348" i="2"/>
  <c r="T1348" i="2"/>
  <c r="L1348" i="2"/>
  <c r="K1348" i="2"/>
  <c r="J1348" i="2"/>
  <c r="B1348" i="2"/>
  <c r="A1348" i="2"/>
  <c r="U1347" i="2"/>
  <c r="T1347" i="2"/>
  <c r="L1347" i="2"/>
  <c r="K1347" i="2"/>
  <c r="J1347" i="2"/>
  <c r="B1347" i="2"/>
  <c r="A1347" i="2"/>
  <c r="U1346" i="2"/>
  <c r="T1346" i="2"/>
  <c r="L1346" i="2"/>
  <c r="K1346" i="2"/>
  <c r="J1346" i="2"/>
  <c r="B1346" i="2"/>
  <c r="A1346" i="2"/>
  <c r="U1345" i="2"/>
  <c r="T1345" i="2"/>
  <c r="L1345" i="2"/>
  <c r="K1345" i="2"/>
  <c r="J1345" i="2"/>
  <c r="B1345" i="2"/>
  <c r="A1345" i="2"/>
  <c r="U1344" i="2"/>
  <c r="T1344" i="2"/>
  <c r="L1344" i="2"/>
  <c r="K1344" i="2"/>
  <c r="J1344" i="2"/>
  <c r="B1344" i="2"/>
  <c r="A1344" i="2"/>
  <c r="U1343" i="2"/>
  <c r="T1343" i="2"/>
  <c r="L1343" i="2"/>
  <c r="K1343" i="2"/>
  <c r="J1343" i="2"/>
  <c r="B1343" i="2"/>
  <c r="A1343" i="2"/>
  <c r="U1342" i="2"/>
  <c r="T1342" i="2"/>
  <c r="L1342" i="2"/>
  <c r="K1342" i="2"/>
  <c r="J1342" i="2"/>
  <c r="B1342" i="2"/>
  <c r="A1342" i="2"/>
  <c r="U1341" i="2"/>
  <c r="T1341" i="2"/>
  <c r="L1341" i="2"/>
  <c r="K1341" i="2"/>
  <c r="J1341" i="2"/>
  <c r="B1341" i="2"/>
  <c r="A1341" i="2"/>
  <c r="U1340" i="2"/>
  <c r="T1340" i="2"/>
  <c r="L1340" i="2"/>
  <c r="K1340" i="2"/>
  <c r="J1340" i="2"/>
  <c r="B1340" i="2"/>
  <c r="A1340" i="2"/>
  <c r="U1339" i="2"/>
  <c r="T1339" i="2"/>
  <c r="L1339" i="2"/>
  <c r="K1339" i="2"/>
  <c r="J1339" i="2"/>
  <c r="B1339" i="2"/>
  <c r="A1339" i="2"/>
  <c r="U1338" i="2"/>
  <c r="T1338" i="2"/>
  <c r="L1338" i="2"/>
  <c r="K1338" i="2"/>
  <c r="J1338" i="2"/>
  <c r="B1338" i="2"/>
  <c r="A1338" i="2"/>
  <c r="U1337" i="2"/>
  <c r="T1337" i="2"/>
  <c r="L1337" i="2"/>
  <c r="K1337" i="2"/>
  <c r="J1337" i="2"/>
  <c r="B1337" i="2"/>
  <c r="A1337" i="2"/>
  <c r="U1336" i="2"/>
  <c r="T1336" i="2"/>
  <c r="L1336" i="2"/>
  <c r="K1336" i="2"/>
  <c r="J1336" i="2"/>
  <c r="B1336" i="2"/>
  <c r="A1336" i="2"/>
  <c r="U1335" i="2"/>
  <c r="T1335" i="2"/>
  <c r="L1335" i="2"/>
  <c r="K1335" i="2"/>
  <c r="J1335" i="2"/>
  <c r="B1335" i="2"/>
  <c r="A1335" i="2"/>
  <c r="U1334" i="2"/>
  <c r="T1334" i="2"/>
  <c r="L1334" i="2"/>
  <c r="K1334" i="2"/>
  <c r="J1334" i="2"/>
  <c r="B1334" i="2"/>
  <c r="A1334" i="2"/>
  <c r="U1333" i="2"/>
  <c r="T1333" i="2"/>
  <c r="L1333" i="2"/>
  <c r="K1333" i="2"/>
  <c r="J1333" i="2"/>
  <c r="B1333" i="2"/>
  <c r="A1333" i="2"/>
  <c r="U1332" i="2"/>
  <c r="T1332" i="2"/>
  <c r="L1332" i="2"/>
  <c r="K1332" i="2"/>
  <c r="J1332" i="2"/>
  <c r="B1332" i="2"/>
  <c r="A1332" i="2"/>
  <c r="U1331" i="2"/>
  <c r="T1331" i="2"/>
  <c r="L1331" i="2"/>
  <c r="K1331" i="2"/>
  <c r="J1331" i="2"/>
  <c r="B1331" i="2"/>
  <c r="A1331" i="2"/>
  <c r="U1330" i="2"/>
  <c r="T1330" i="2"/>
  <c r="L1330" i="2"/>
  <c r="K1330" i="2"/>
  <c r="J1330" i="2"/>
  <c r="B1330" i="2"/>
  <c r="A1330" i="2"/>
  <c r="U1329" i="2"/>
  <c r="T1329" i="2"/>
  <c r="L1329" i="2"/>
  <c r="K1329" i="2"/>
  <c r="J1329" i="2"/>
  <c r="B1329" i="2"/>
  <c r="A1329" i="2"/>
  <c r="U1328" i="2"/>
  <c r="T1328" i="2"/>
  <c r="L1328" i="2"/>
  <c r="K1328" i="2"/>
  <c r="J1328" i="2"/>
  <c r="B1328" i="2"/>
  <c r="A1328" i="2"/>
  <c r="U1327" i="2"/>
  <c r="T1327" i="2"/>
  <c r="L1327" i="2"/>
  <c r="K1327" i="2"/>
  <c r="J1327" i="2"/>
  <c r="B1327" i="2"/>
  <c r="A1327" i="2"/>
  <c r="U1326" i="2"/>
  <c r="T1326" i="2"/>
  <c r="L1326" i="2"/>
  <c r="K1326" i="2"/>
  <c r="J1326" i="2"/>
  <c r="B1326" i="2"/>
  <c r="A1326" i="2"/>
  <c r="U1325" i="2"/>
  <c r="T1325" i="2"/>
  <c r="L1325" i="2"/>
  <c r="K1325" i="2"/>
  <c r="J1325" i="2"/>
  <c r="B1325" i="2"/>
  <c r="A1325" i="2"/>
  <c r="U1324" i="2"/>
  <c r="T1324" i="2"/>
  <c r="L1324" i="2"/>
  <c r="K1324" i="2"/>
  <c r="J1324" i="2"/>
  <c r="B1324" i="2"/>
  <c r="A1324" i="2"/>
  <c r="U1323" i="2"/>
  <c r="T1323" i="2"/>
  <c r="L1323" i="2"/>
  <c r="K1323" i="2"/>
  <c r="J1323" i="2"/>
  <c r="B1323" i="2"/>
  <c r="A1323" i="2"/>
  <c r="U1322" i="2"/>
  <c r="T1322" i="2"/>
  <c r="L1322" i="2"/>
  <c r="K1322" i="2"/>
  <c r="J1322" i="2"/>
  <c r="B1322" i="2"/>
  <c r="A1322" i="2"/>
  <c r="U1321" i="2"/>
  <c r="T1321" i="2"/>
  <c r="L1321" i="2"/>
  <c r="K1321" i="2"/>
  <c r="J1321" i="2"/>
  <c r="B1321" i="2"/>
  <c r="A1321" i="2"/>
  <c r="U1320" i="2"/>
  <c r="T1320" i="2"/>
  <c r="L1320" i="2"/>
  <c r="K1320" i="2"/>
  <c r="J1320" i="2"/>
  <c r="B1320" i="2"/>
  <c r="A1320" i="2"/>
  <c r="U1319" i="2"/>
  <c r="T1319" i="2"/>
  <c r="L1319" i="2"/>
  <c r="K1319" i="2"/>
  <c r="J1319" i="2"/>
  <c r="B1319" i="2"/>
  <c r="A1319" i="2"/>
  <c r="U1318" i="2"/>
  <c r="T1318" i="2"/>
  <c r="L1318" i="2"/>
  <c r="K1318" i="2"/>
  <c r="J1318" i="2"/>
  <c r="B1318" i="2"/>
  <c r="A1318" i="2"/>
  <c r="U1317" i="2"/>
  <c r="T1317" i="2"/>
  <c r="L1317" i="2"/>
  <c r="K1317" i="2"/>
  <c r="J1317" i="2"/>
  <c r="G1317" i="2"/>
  <c r="F1317" i="2"/>
  <c r="E1317" i="2"/>
  <c r="B1317" i="2"/>
  <c r="A1317" i="2"/>
  <c r="U1316" i="2"/>
  <c r="T1316" i="2"/>
  <c r="L1316" i="2"/>
  <c r="K1316" i="2"/>
  <c r="J1316" i="2"/>
  <c r="G1316" i="2"/>
  <c r="F1316" i="2"/>
  <c r="E1316" i="2"/>
  <c r="B1316" i="2"/>
  <c r="A1316" i="2"/>
  <c r="U1315" i="2"/>
  <c r="T1315" i="2"/>
  <c r="L1315" i="2"/>
  <c r="K1315" i="2"/>
  <c r="J1315" i="2"/>
  <c r="G1315" i="2"/>
  <c r="F1315" i="2"/>
  <c r="E1315" i="2"/>
  <c r="B1315" i="2"/>
  <c r="A1315" i="2"/>
  <c r="U1314" i="2"/>
  <c r="T1314" i="2"/>
  <c r="L1314" i="2"/>
  <c r="K1314" i="2"/>
  <c r="J1314" i="2"/>
  <c r="G1314" i="2"/>
  <c r="F1314" i="2"/>
  <c r="E1314" i="2"/>
  <c r="B1314" i="2"/>
  <c r="A1314" i="2"/>
  <c r="U1313" i="2"/>
  <c r="T1313" i="2"/>
  <c r="L1313" i="2"/>
  <c r="K1313" i="2"/>
  <c r="J1313" i="2"/>
  <c r="G1313" i="2"/>
  <c r="F1313" i="2"/>
  <c r="E1313" i="2"/>
  <c r="B1313" i="2"/>
  <c r="A1313" i="2"/>
  <c r="U1312" i="2"/>
  <c r="T1312" i="2"/>
  <c r="L1312" i="2"/>
  <c r="K1312" i="2"/>
  <c r="J1312" i="2"/>
  <c r="G1312" i="2"/>
  <c r="F1312" i="2"/>
  <c r="E1312" i="2"/>
  <c r="B1312" i="2"/>
  <c r="A1312" i="2"/>
  <c r="U1311" i="2"/>
  <c r="T1311" i="2"/>
  <c r="L1311" i="2"/>
  <c r="K1311" i="2"/>
  <c r="J1311" i="2"/>
  <c r="G1311" i="2"/>
  <c r="F1311" i="2"/>
  <c r="E1311" i="2"/>
  <c r="B1311" i="2"/>
  <c r="A1311" i="2"/>
  <c r="U1310" i="2"/>
  <c r="T1310" i="2"/>
  <c r="L1310" i="2"/>
  <c r="K1310" i="2"/>
  <c r="J1310" i="2"/>
  <c r="G1310" i="2"/>
  <c r="F1310" i="2"/>
  <c r="E1310" i="2"/>
  <c r="B1310" i="2"/>
  <c r="A1310" i="2"/>
  <c r="U1309" i="2"/>
  <c r="T1309" i="2"/>
  <c r="L1309" i="2"/>
  <c r="K1309" i="2"/>
  <c r="J1309" i="2"/>
  <c r="G1309" i="2"/>
  <c r="F1309" i="2"/>
  <c r="E1309" i="2"/>
  <c r="B1309" i="2"/>
  <c r="A1309" i="2"/>
  <c r="U1308" i="2"/>
  <c r="T1308" i="2"/>
  <c r="L1308" i="2"/>
  <c r="K1308" i="2"/>
  <c r="J1308" i="2"/>
  <c r="G1308" i="2"/>
  <c r="F1308" i="2"/>
  <c r="E1308" i="2"/>
  <c r="B1308" i="2"/>
  <c r="A1308" i="2"/>
  <c r="U1307" i="2"/>
  <c r="T1307" i="2"/>
  <c r="L1307" i="2"/>
  <c r="K1307" i="2"/>
  <c r="J1307" i="2"/>
  <c r="G1307" i="2"/>
  <c r="F1307" i="2"/>
  <c r="E1307" i="2"/>
  <c r="B1307" i="2"/>
  <c r="A1307" i="2"/>
  <c r="U1306" i="2"/>
  <c r="T1306" i="2"/>
  <c r="L1306" i="2"/>
  <c r="K1306" i="2"/>
  <c r="J1306" i="2"/>
  <c r="G1306" i="2"/>
  <c r="F1306" i="2"/>
  <c r="E1306" i="2"/>
  <c r="B1306" i="2"/>
  <c r="A1306" i="2"/>
  <c r="U1305" i="2"/>
  <c r="T1305" i="2"/>
  <c r="L1305" i="2"/>
  <c r="K1305" i="2"/>
  <c r="J1305" i="2"/>
  <c r="G1305" i="2"/>
  <c r="F1305" i="2"/>
  <c r="E1305" i="2"/>
  <c r="B1305" i="2"/>
  <c r="A1305" i="2"/>
  <c r="U1304" i="2"/>
  <c r="T1304" i="2"/>
  <c r="L1304" i="2"/>
  <c r="K1304" i="2"/>
  <c r="J1304" i="2"/>
  <c r="G1304" i="2"/>
  <c r="F1304" i="2"/>
  <c r="E1304" i="2"/>
  <c r="B1304" i="2"/>
  <c r="A1304" i="2"/>
  <c r="U1303" i="2"/>
  <c r="T1303" i="2"/>
  <c r="L1303" i="2"/>
  <c r="K1303" i="2"/>
  <c r="J1303" i="2"/>
  <c r="G1303" i="2"/>
  <c r="F1303" i="2"/>
  <c r="E1303" i="2"/>
  <c r="B1303" i="2"/>
  <c r="A1303" i="2"/>
  <c r="U1302" i="2"/>
  <c r="T1302" i="2"/>
  <c r="L1302" i="2"/>
  <c r="K1302" i="2"/>
  <c r="J1302" i="2"/>
  <c r="G1302" i="2"/>
  <c r="F1302" i="2"/>
  <c r="E1302" i="2"/>
  <c r="B1302" i="2"/>
  <c r="A1302" i="2"/>
  <c r="U1301" i="2"/>
  <c r="T1301" i="2"/>
  <c r="L1301" i="2"/>
  <c r="K1301" i="2"/>
  <c r="J1301" i="2"/>
  <c r="G1301" i="2"/>
  <c r="F1301" i="2"/>
  <c r="E1301" i="2"/>
  <c r="B1301" i="2"/>
  <c r="A1301" i="2"/>
  <c r="U1300" i="2"/>
  <c r="T1300" i="2"/>
  <c r="L1300" i="2"/>
  <c r="K1300" i="2"/>
  <c r="J1300" i="2"/>
  <c r="G1300" i="2"/>
  <c r="F1300" i="2"/>
  <c r="E1300" i="2"/>
  <c r="B1300" i="2"/>
  <c r="A1300" i="2"/>
  <c r="U1299" i="2"/>
  <c r="T1299" i="2"/>
  <c r="L1299" i="2"/>
  <c r="K1299" i="2"/>
  <c r="J1299" i="2"/>
  <c r="G1299" i="2"/>
  <c r="F1299" i="2"/>
  <c r="E1299" i="2"/>
  <c r="B1299" i="2"/>
  <c r="A1299" i="2"/>
  <c r="U1298" i="2"/>
  <c r="T1298" i="2"/>
  <c r="L1298" i="2"/>
  <c r="K1298" i="2"/>
  <c r="J1298" i="2"/>
  <c r="G1298" i="2"/>
  <c r="F1298" i="2"/>
  <c r="E1298" i="2"/>
  <c r="B1298" i="2"/>
  <c r="A1298" i="2"/>
  <c r="U1297" i="2"/>
  <c r="T1297" i="2"/>
  <c r="L1297" i="2"/>
  <c r="K1297" i="2"/>
  <c r="J1297" i="2"/>
  <c r="G1297" i="2"/>
  <c r="F1297" i="2"/>
  <c r="E1297" i="2"/>
  <c r="B1297" i="2"/>
  <c r="A1297" i="2"/>
  <c r="U1296" i="2"/>
  <c r="T1296" i="2"/>
  <c r="L1296" i="2"/>
  <c r="K1296" i="2"/>
  <c r="J1296" i="2"/>
  <c r="G1296" i="2"/>
  <c r="F1296" i="2"/>
  <c r="E1296" i="2"/>
  <c r="B1296" i="2"/>
  <c r="A1296" i="2"/>
  <c r="U1295" i="2"/>
  <c r="T1295" i="2"/>
  <c r="L1295" i="2"/>
  <c r="K1295" i="2"/>
  <c r="J1295" i="2"/>
  <c r="G1295" i="2"/>
  <c r="F1295" i="2"/>
  <c r="E1295" i="2"/>
  <c r="B1295" i="2"/>
  <c r="A1295" i="2"/>
  <c r="U1294" i="2"/>
  <c r="T1294" i="2"/>
  <c r="L1294" i="2"/>
  <c r="K1294" i="2"/>
  <c r="J1294" i="2"/>
  <c r="G1294" i="2"/>
  <c r="F1294" i="2"/>
  <c r="E1294" i="2"/>
  <c r="B1294" i="2"/>
  <c r="A1294" i="2"/>
  <c r="U1293" i="2"/>
  <c r="T1293" i="2"/>
  <c r="L1293" i="2"/>
  <c r="K1293" i="2"/>
  <c r="J1293" i="2"/>
  <c r="G1293" i="2"/>
  <c r="F1293" i="2"/>
  <c r="E1293" i="2"/>
  <c r="B1293" i="2"/>
  <c r="A1293" i="2"/>
  <c r="U1292" i="2"/>
  <c r="T1292" i="2"/>
  <c r="L1292" i="2"/>
  <c r="K1292" i="2"/>
  <c r="J1292" i="2"/>
  <c r="G1292" i="2"/>
  <c r="F1292" i="2"/>
  <c r="E1292" i="2"/>
  <c r="B1292" i="2"/>
  <c r="A1292" i="2"/>
  <c r="U1291" i="2"/>
  <c r="T1291" i="2"/>
  <c r="L1291" i="2"/>
  <c r="K1291" i="2"/>
  <c r="J1291" i="2"/>
  <c r="G1291" i="2"/>
  <c r="F1291" i="2"/>
  <c r="E1291" i="2"/>
  <c r="B1291" i="2"/>
  <c r="A1291" i="2"/>
  <c r="U1290" i="2"/>
  <c r="T1290" i="2"/>
  <c r="L1290" i="2"/>
  <c r="K1290" i="2"/>
  <c r="J1290" i="2"/>
  <c r="G1290" i="2"/>
  <c r="F1290" i="2"/>
  <c r="E1290" i="2"/>
  <c r="B1290" i="2"/>
  <c r="A1290" i="2"/>
  <c r="U1289" i="2"/>
  <c r="T1289" i="2"/>
  <c r="L1289" i="2"/>
  <c r="K1289" i="2"/>
  <c r="J1289" i="2"/>
  <c r="G1289" i="2"/>
  <c r="F1289" i="2"/>
  <c r="E1289" i="2"/>
  <c r="B1289" i="2"/>
  <c r="A1289" i="2"/>
  <c r="U1288" i="2"/>
  <c r="T1288" i="2"/>
  <c r="L1288" i="2"/>
  <c r="K1288" i="2"/>
  <c r="J1288" i="2"/>
  <c r="G1288" i="2"/>
  <c r="F1288" i="2"/>
  <c r="E1288" i="2"/>
  <c r="B1288" i="2"/>
  <c r="A1288" i="2"/>
  <c r="U1287" i="2"/>
  <c r="T1287" i="2"/>
  <c r="L1287" i="2"/>
  <c r="K1287" i="2"/>
  <c r="J1287" i="2"/>
  <c r="G1287" i="2"/>
  <c r="F1287" i="2"/>
  <c r="E1287" i="2"/>
  <c r="B1287" i="2"/>
  <c r="A1287" i="2"/>
  <c r="U1286" i="2"/>
  <c r="T1286" i="2"/>
  <c r="L1286" i="2"/>
  <c r="K1286" i="2"/>
  <c r="J1286" i="2"/>
  <c r="G1286" i="2"/>
  <c r="F1286" i="2"/>
  <c r="E1286" i="2"/>
  <c r="B1286" i="2"/>
  <c r="A1286" i="2"/>
  <c r="U1285" i="2"/>
  <c r="T1285" i="2"/>
  <c r="L1285" i="2"/>
  <c r="K1285" i="2"/>
  <c r="J1285" i="2"/>
  <c r="G1285" i="2"/>
  <c r="F1285" i="2"/>
  <c r="E1285" i="2"/>
  <c r="B1285" i="2"/>
  <c r="A1285" i="2"/>
  <c r="U1284" i="2"/>
  <c r="T1284" i="2"/>
  <c r="L1284" i="2"/>
  <c r="K1284" i="2"/>
  <c r="J1284" i="2"/>
  <c r="G1284" i="2"/>
  <c r="F1284" i="2"/>
  <c r="E1284" i="2"/>
  <c r="B1284" i="2"/>
  <c r="A1284" i="2"/>
  <c r="U1283" i="2"/>
  <c r="T1283" i="2"/>
  <c r="L1283" i="2"/>
  <c r="K1283" i="2"/>
  <c r="J1283" i="2"/>
  <c r="G1283" i="2"/>
  <c r="F1283" i="2"/>
  <c r="E1283" i="2"/>
  <c r="B1283" i="2"/>
  <c r="A1283" i="2"/>
  <c r="U1282" i="2"/>
  <c r="T1282" i="2"/>
  <c r="L1282" i="2"/>
  <c r="K1282" i="2"/>
  <c r="J1282" i="2"/>
  <c r="G1282" i="2"/>
  <c r="F1282" i="2"/>
  <c r="E1282" i="2"/>
  <c r="B1282" i="2"/>
  <c r="A1282" i="2"/>
  <c r="U1281" i="2"/>
  <c r="T1281" i="2"/>
  <c r="L1281" i="2"/>
  <c r="K1281" i="2"/>
  <c r="J1281" i="2"/>
  <c r="G1281" i="2"/>
  <c r="F1281" i="2"/>
  <c r="E1281" i="2"/>
  <c r="B1281" i="2"/>
  <c r="A1281" i="2"/>
  <c r="U1280" i="2"/>
  <c r="T1280" i="2"/>
  <c r="L1280" i="2"/>
  <c r="K1280" i="2"/>
  <c r="J1280" i="2"/>
  <c r="G1280" i="2"/>
  <c r="F1280" i="2"/>
  <c r="E1280" i="2"/>
  <c r="B1280" i="2"/>
  <c r="A1280" i="2"/>
  <c r="U1279" i="2"/>
  <c r="T1279" i="2"/>
  <c r="L1279" i="2"/>
  <c r="K1279" i="2"/>
  <c r="J1279" i="2"/>
  <c r="G1279" i="2"/>
  <c r="F1279" i="2"/>
  <c r="E1279" i="2"/>
  <c r="B1279" i="2"/>
  <c r="A1279" i="2"/>
  <c r="U1278" i="2"/>
  <c r="T1278" i="2"/>
  <c r="L1278" i="2"/>
  <c r="K1278" i="2"/>
  <c r="J1278" i="2"/>
  <c r="G1278" i="2"/>
  <c r="F1278" i="2"/>
  <c r="E1278" i="2"/>
  <c r="B1278" i="2"/>
  <c r="A1278" i="2"/>
  <c r="U1277" i="2"/>
  <c r="T1277" i="2"/>
  <c r="L1277" i="2"/>
  <c r="K1277" i="2"/>
  <c r="J1277" i="2"/>
  <c r="G1277" i="2"/>
  <c r="F1277" i="2"/>
  <c r="E1277" i="2"/>
  <c r="B1277" i="2"/>
  <c r="A1277" i="2"/>
  <c r="U1276" i="2"/>
  <c r="T1276" i="2"/>
  <c r="L1276" i="2"/>
  <c r="K1276" i="2"/>
  <c r="J1276" i="2"/>
  <c r="G1276" i="2"/>
  <c r="F1276" i="2"/>
  <c r="E1276" i="2"/>
  <c r="B1276" i="2"/>
  <c r="A1276" i="2"/>
  <c r="U1275" i="2"/>
  <c r="T1275" i="2"/>
  <c r="L1275" i="2"/>
  <c r="K1275" i="2"/>
  <c r="J1275" i="2"/>
  <c r="G1275" i="2"/>
  <c r="F1275" i="2"/>
  <c r="E1275" i="2"/>
  <c r="B1275" i="2"/>
  <c r="A1275" i="2"/>
  <c r="U1274" i="2"/>
  <c r="T1274" i="2"/>
  <c r="L1274" i="2"/>
  <c r="K1274" i="2"/>
  <c r="J1274" i="2"/>
  <c r="G1274" i="2"/>
  <c r="F1274" i="2"/>
  <c r="E1274" i="2"/>
  <c r="B1274" i="2"/>
  <c r="A1274" i="2"/>
  <c r="U1273" i="2"/>
  <c r="T1273" i="2"/>
  <c r="L1273" i="2"/>
  <c r="K1273" i="2"/>
  <c r="J1273" i="2"/>
  <c r="G1273" i="2"/>
  <c r="F1273" i="2"/>
  <c r="E1273" i="2"/>
  <c r="B1273" i="2"/>
  <c r="A1273" i="2"/>
  <c r="U1272" i="2"/>
  <c r="T1272" i="2"/>
  <c r="L1272" i="2"/>
  <c r="K1272" i="2"/>
  <c r="J1272" i="2"/>
  <c r="G1272" i="2"/>
  <c r="F1272" i="2"/>
  <c r="E1272" i="2"/>
  <c r="B1272" i="2"/>
  <c r="A1272" i="2"/>
  <c r="U1271" i="2"/>
  <c r="T1271" i="2"/>
  <c r="L1271" i="2"/>
  <c r="K1271" i="2"/>
  <c r="J1271" i="2"/>
  <c r="G1271" i="2"/>
  <c r="F1271" i="2"/>
  <c r="E1271" i="2"/>
  <c r="B1271" i="2"/>
  <c r="A1271" i="2"/>
  <c r="U1270" i="2"/>
  <c r="T1270" i="2"/>
  <c r="L1270" i="2"/>
  <c r="K1270" i="2"/>
  <c r="J1270" i="2"/>
  <c r="G1270" i="2"/>
  <c r="F1270" i="2"/>
  <c r="E1270" i="2"/>
  <c r="B1270" i="2"/>
  <c r="A1270" i="2"/>
  <c r="U1269" i="2"/>
  <c r="T1269" i="2"/>
  <c r="L1269" i="2"/>
  <c r="K1269" i="2"/>
  <c r="J1269" i="2"/>
  <c r="G1269" i="2"/>
  <c r="F1269" i="2"/>
  <c r="E1269" i="2"/>
  <c r="B1269" i="2"/>
  <c r="A1269" i="2"/>
  <c r="U1268" i="2"/>
  <c r="T1268" i="2"/>
  <c r="L1268" i="2"/>
  <c r="K1268" i="2"/>
  <c r="J1268" i="2"/>
  <c r="G1268" i="2"/>
  <c r="F1268" i="2"/>
  <c r="E1268" i="2"/>
  <c r="B1268" i="2"/>
  <c r="A1268" i="2"/>
  <c r="U1267" i="2"/>
  <c r="T1267" i="2"/>
  <c r="L1267" i="2"/>
  <c r="K1267" i="2"/>
  <c r="J1267" i="2"/>
  <c r="G1267" i="2"/>
  <c r="F1267" i="2"/>
  <c r="E1267" i="2"/>
  <c r="B1267" i="2"/>
  <c r="A1267" i="2"/>
  <c r="U1266" i="2"/>
  <c r="T1266" i="2"/>
  <c r="L1266" i="2"/>
  <c r="K1266" i="2"/>
  <c r="J1266" i="2"/>
  <c r="G1266" i="2"/>
  <c r="F1266" i="2"/>
  <c r="E1266" i="2"/>
  <c r="B1266" i="2"/>
  <c r="A1266" i="2"/>
  <c r="U1265" i="2"/>
  <c r="T1265" i="2"/>
  <c r="L1265" i="2"/>
  <c r="K1265" i="2"/>
  <c r="J1265" i="2"/>
  <c r="G1265" i="2"/>
  <c r="F1265" i="2"/>
  <c r="E1265" i="2"/>
  <c r="B1265" i="2"/>
  <c r="A1265" i="2"/>
  <c r="U1264" i="2"/>
  <c r="T1264" i="2"/>
  <c r="L1264" i="2"/>
  <c r="K1264" i="2"/>
  <c r="J1264" i="2"/>
  <c r="G1264" i="2"/>
  <c r="F1264" i="2"/>
  <c r="E1264" i="2"/>
  <c r="B1264" i="2"/>
  <c r="A1264" i="2"/>
  <c r="U1263" i="2"/>
  <c r="T1263" i="2"/>
  <c r="L1263" i="2"/>
  <c r="K1263" i="2"/>
  <c r="J1263" i="2"/>
  <c r="G1263" i="2"/>
  <c r="F1263" i="2"/>
  <c r="E1263" i="2"/>
  <c r="B1263" i="2"/>
  <c r="A1263" i="2"/>
  <c r="U1262" i="2"/>
  <c r="T1262" i="2"/>
  <c r="L1262" i="2"/>
  <c r="K1262" i="2"/>
  <c r="J1262" i="2"/>
  <c r="G1262" i="2"/>
  <c r="F1262" i="2"/>
  <c r="E1262" i="2"/>
  <c r="B1262" i="2"/>
  <c r="A1262" i="2"/>
  <c r="U1261" i="2"/>
  <c r="T1261" i="2"/>
  <c r="L1261" i="2"/>
  <c r="K1261" i="2"/>
  <c r="J1261" i="2"/>
  <c r="G1261" i="2"/>
  <c r="F1261" i="2"/>
  <c r="E1261" i="2"/>
  <c r="B1261" i="2"/>
  <c r="A1261" i="2"/>
  <c r="U1260" i="2"/>
  <c r="T1260" i="2"/>
  <c r="L1260" i="2"/>
  <c r="K1260" i="2"/>
  <c r="J1260" i="2"/>
  <c r="G1260" i="2"/>
  <c r="F1260" i="2"/>
  <c r="E1260" i="2"/>
  <c r="B1260" i="2"/>
  <c r="A1260" i="2"/>
  <c r="U1259" i="2"/>
  <c r="T1259" i="2"/>
  <c r="L1259" i="2"/>
  <c r="K1259" i="2"/>
  <c r="J1259" i="2"/>
  <c r="G1259" i="2"/>
  <c r="F1259" i="2"/>
  <c r="E1259" i="2"/>
  <c r="B1259" i="2"/>
  <c r="A1259" i="2"/>
  <c r="U1258" i="2"/>
  <c r="T1258" i="2"/>
  <c r="L1258" i="2"/>
  <c r="K1258" i="2"/>
  <c r="J1258" i="2"/>
  <c r="G1258" i="2"/>
  <c r="F1258" i="2"/>
  <c r="E1258" i="2"/>
  <c r="B1258" i="2"/>
  <c r="A1258" i="2"/>
  <c r="U1257" i="2"/>
  <c r="T1257" i="2"/>
  <c r="L1257" i="2"/>
  <c r="K1257" i="2"/>
  <c r="J1257" i="2"/>
  <c r="G1257" i="2"/>
  <c r="F1257" i="2"/>
  <c r="E1257" i="2"/>
  <c r="B1257" i="2"/>
  <c r="A1257" i="2"/>
  <c r="U1256" i="2"/>
  <c r="T1256" i="2"/>
  <c r="L1256" i="2"/>
  <c r="K1256" i="2"/>
  <c r="J1256" i="2"/>
  <c r="G1256" i="2"/>
  <c r="F1256" i="2"/>
  <c r="E1256" i="2"/>
  <c r="B1256" i="2"/>
  <c r="A1256" i="2"/>
  <c r="U1255" i="2"/>
  <c r="T1255" i="2"/>
  <c r="L1255" i="2"/>
  <c r="K1255" i="2"/>
  <c r="J1255" i="2"/>
  <c r="G1255" i="2"/>
  <c r="F1255" i="2"/>
  <c r="E1255" i="2"/>
  <c r="B1255" i="2"/>
  <c r="A1255" i="2"/>
  <c r="U1254" i="2"/>
  <c r="T1254" i="2"/>
  <c r="L1254" i="2"/>
  <c r="K1254" i="2"/>
  <c r="J1254" i="2"/>
  <c r="G1254" i="2"/>
  <c r="F1254" i="2"/>
  <c r="E1254" i="2"/>
  <c r="B1254" i="2"/>
  <c r="A1254" i="2"/>
  <c r="U1253" i="2"/>
  <c r="T1253" i="2"/>
  <c r="L1253" i="2"/>
  <c r="K1253" i="2"/>
  <c r="J1253" i="2"/>
  <c r="G1253" i="2"/>
  <c r="F1253" i="2"/>
  <c r="E1253" i="2"/>
  <c r="B1253" i="2"/>
  <c r="A1253" i="2"/>
  <c r="U1252" i="2"/>
  <c r="T1252" i="2"/>
  <c r="L1252" i="2"/>
  <c r="K1252" i="2"/>
  <c r="J1252" i="2"/>
  <c r="G1252" i="2"/>
  <c r="F1252" i="2"/>
  <c r="E1252" i="2"/>
  <c r="B1252" i="2"/>
  <c r="A1252" i="2"/>
  <c r="U1251" i="2"/>
  <c r="T1251" i="2"/>
  <c r="L1251" i="2"/>
  <c r="K1251" i="2"/>
  <c r="J1251" i="2"/>
  <c r="G1251" i="2"/>
  <c r="F1251" i="2"/>
  <c r="E1251" i="2"/>
  <c r="B1251" i="2"/>
  <c r="A1251" i="2"/>
  <c r="U1250" i="2"/>
  <c r="T1250" i="2"/>
  <c r="L1250" i="2"/>
  <c r="K1250" i="2"/>
  <c r="J1250" i="2"/>
  <c r="G1250" i="2"/>
  <c r="F1250" i="2"/>
  <c r="E1250" i="2"/>
  <c r="B1250" i="2"/>
  <c r="A1250" i="2"/>
  <c r="U1249" i="2"/>
  <c r="T1249" i="2"/>
  <c r="L1249" i="2"/>
  <c r="K1249" i="2"/>
  <c r="J1249" i="2"/>
  <c r="G1249" i="2"/>
  <c r="F1249" i="2"/>
  <c r="E1249" i="2"/>
  <c r="B1249" i="2"/>
  <c r="A1249" i="2"/>
  <c r="U1248" i="2"/>
  <c r="T1248" i="2"/>
  <c r="L1248" i="2"/>
  <c r="K1248" i="2"/>
  <c r="J1248" i="2"/>
  <c r="G1248" i="2"/>
  <c r="F1248" i="2"/>
  <c r="E1248" i="2"/>
  <c r="B1248" i="2"/>
  <c r="A1248" i="2"/>
  <c r="U1247" i="2"/>
  <c r="T1247" i="2"/>
  <c r="L1247" i="2"/>
  <c r="K1247" i="2"/>
  <c r="J1247" i="2"/>
  <c r="G1247" i="2"/>
  <c r="F1247" i="2"/>
  <c r="E1247" i="2"/>
  <c r="B1247" i="2"/>
  <c r="A1247" i="2"/>
  <c r="U1246" i="2"/>
  <c r="T1246" i="2"/>
  <c r="L1246" i="2"/>
  <c r="K1246" i="2"/>
  <c r="J1246" i="2"/>
  <c r="G1246" i="2"/>
  <c r="F1246" i="2"/>
  <c r="E1246" i="2"/>
  <c r="B1246" i="2"/>
  <c r="A1246" i="2"/>
  <c r="U1245" i="2"/>
  <c r="T1245" i="2"/>
  <c r="L1245" i="2"/>
  <c r="K1245" i="2"/>
  <c r="J1245" i="2"/>
  <c r="G1245" i="2"/>
  <c r="F1245" i="2"/>
  <c r="E1245" i="2"/>
  <c r="B1245" i="2"/>
  <c r="A1245" i="2"/>
  <c r="U1244" i="2"/>
  <c r="T1244" i="2"/>
  <c r="L1244" i="2"/>
  <c r="K1244" i="2"/>
  <c r="J1244" i="2"/>
  <c r="G1244" i="2"/>
  <c r="F1244" i="2"/>
  <c r="E1244" i="2"/>
  <c r="B1244" i="2"/>
  <c r="A1244" i="2"/>
  <c r="U1243" i="2"/>
  <c r="T1243" i="2"/>
  <c r="L1243" i="2"/>
  <c r="K1243" i="2"/>
  <c r="J1243" i="2"/>
  <c r="G1243" i="2"/>
  <c r="F1243" i="2"/>
  <c r="E1243" i="2"/>
  <c r="B1243" i="2"/>
  <c r="A1243" i="2"/>
  <c r="U1242" i="2"/>
  <c r="T1242" i="2"/>
  <c r="L1242" i="2"/>
  <c r="K1242" i="2"/>
  <c r="J1242" i="2"/>
  <c r="G1242" i="2"/>
  <c r="F1242" i="2"/>
  <c r="E1242" i="2"/>
  <c r="B1242" i="2"/>
  <c r="A1242" i="2"/>
  <c r="U1241" i="2"/>
  <c r="T1241" i="2"/>
  <c r="L1241" i="2"/>
  <c r="K1241" i="2"/>
  <c r="J1241" i="2"/>
  <c r="G1241" i="2"/>
  <c r="F1241" i="2"/>
  <c r="E1241" i="2"/>
  <c r="B1241" i="2"/>
  <c r="A1241" i="2"/>
  <c r="U1240" i="2"/>
  <c r="T1240" i="2"/>
  <c r="L1240" i="2"/>
  <c r="K1240" i="2"/>
  <c r="J1240" i="2"/>
  <c r="G1240" i="2"/>
  <c r="F1240" i="2"/>
  <c r="E1240" i="2"/>
  <c r="B1240" i="2"/>
  <c r="A1240" i="2"/>
  <c r="U1239" i="2"/>
  <c r="T1239" i="2"/>
  <c r="L1239" i="2"/>
  <c r="K1239" i="2"/>
  <c r="J1239" i="2"/>
  <c r="G1239" i="2"/>
  <c r="F1239" i="2"/>
  <c r="E1239" i="2"/>
  <c r="B1239" i="2"/>
  <c r="A1239" i="2"/>
  <c r="U1238" i="2"/>
  <c r="T1238" i="2"/>
  <c r="L1238" i="2"/>
  <c r="K1238" i="2"/>
  <c r="J1238" i="2"/>
  <c r="G1238" i="2"/>
  <c r="F1238" i="2"/>
  <c r="E1238" i="2"/>
  <c r="B1238" i="2"/>
  <c r="A1238" i="2"/>
  <c r="U1237" i="2"/>
  <c r="T1237" i="2"/>
  <c r="L1237" i="2"/>
  <c r="K1237" i="2"/>
  <c r="J1237" i="2"/>
  <c r="G1237" i="2"/>
  <c r="F1237" i="2"/>
  <c r="E1237" i="2"/>
  <c r="B1237" i="2"/>
  <c r="A1237" i="2"/>
  <c r="U1236" i="2"/>
  <c r="T1236" i="2"/>
  <c r="L1236" i="2"/>
  <c r="K1236" i="2"/>
  <c r="J1236" i="2"/>
  <c r="G1236" i="2"/>
  <c r="F1236" i="2"/>
  <c r="E1236" i="2"/>
  <c r="B1236" i="2"/>
  <c r="A1236" i="2"/>
  <c r="U1235" i="2"/>
  <c r="T1235" i="2"/>
  <c r="L1235" i="2"/>
  <c r="K1235" i="2"/>
  <c r="J1235" i="2"/>
  <c r="G1235" i="2"/>
  <c r="F1235" i="2"/>
  <c r="E1235" i="2"/>
  <c r="B1235" i="2"/>
  <c r="A1235" i="2"/>
  <c r="U1234" i="2"/>
  <c r="T1234" i="2"/>
  <c r="L1234" i="2"/>
  <c r="K1234" i="2"/>
  <c r="J1234" i="2"/>
  <c r="G1234" i="2"/>
  <c r="F1234" i="2"/>
  <c r="E1234" i="2"/>
  <c r="B1234" i="2"/>
  <c r="A1234" i="2"/>
  <c r="U1233" i="2"/>
  <c r="T1233" i="2"/>
  <c r="L1233" i="2"/>
  <c r="K1233" i="2"/>
  <c r="J1233" i="2"/>
  <c r="G1233" i="2"/>
  <c r="F1233" i="2"/>
  <c r="E1233" i="2"/>
  <c r="B1233" i="2"/>
  <c r="A1233" i="2"/>
  <c r="U1232" i="2"/>
  <c r="T1232" i="2"/>
  <c r="L1232" i="2"/>
  <c r="K1232" i="2"/>
  <c r="J1232" i="2"/>
  <c r="G1232" i="2"/>
  <c r="F1232" i="2"/>
  <c r="E1232" i="2"/>
  <c r="B1232" i="2"/>
  <c r="A1232" i="2"/>
  <c r="U1231" i="2"/>
  <c r="T1231" i="2"/>
  <c r="L1231" i="2"/>
  <c r="K1231" i="2"/>
  <c r="J1231" i="2"/>
  <c r="G1231" i="2"/>
  <c r="F1231" i="2"/>
  <c r="E1231" i="2"/>
  <c r="B1231" i="2"/>
  <c r="A1231" i="2"/>
  <c r="U1230" i="2"/>
  <c r="T1230" i="2"/>
  <c r="L1230" i="2"/>
  <c r="K1230" i="2"/>
  <c r="J1230" i="2"/>
  <c r="G1230" i="2"/>
  <c r="F1230" i="2"/>
  <c r="E1230" i="2"/>
  <c r="B1230" i="2"/>
  <c r="A1230" i="2"/>
  <c r="U1229" i="2"/>
  <c r="T1229" i="2"/>
  <c r="L1229" i="2"/>
  <c r="K1229" i="2"/>
  <c r="J1229" i="2"/>
  <c r="G1229" i="2"/>
  <c r="F1229" i="2"/>
  <c r="E1229" i="2"/>
  <c r="B1229" i="2"/>
  <c r="A1229" i="2"/>
  <c r="U1228" i="2"/>
  <c r="T1228" i="2"/>
  <c r="L1228" i="2"/>
  <c r="K1228" i="2"/>
  <c r="J1228" i="2"/>
  <c r="G1228" i="2"/>
  <c r="F1228" i="2"/>
  <c r="E1228" i="2"/>
  <c r="B1228" i="2"/>
  <c r="A1228" i="2"/>
  <c r="U1227" i="2"/>
  <c r="T1227" i="2"/>
  <c r="L1227" i="2"/>
  <c r="K1227" i="2"/>
  <c r="J1227" i="2"/>
  <c r="G1227" i="2"/>
  <c r="F1227" i="2"/>
  <c r="E1227" i="2"/>
  <c r="B1227" i="2"/>
  <c r="A1227" i="2"/>
  <c r="U1226" i="2"/>
  <c r="T1226" i="2"/>
  <c r="L1226" i="2"/>
  <c r="K1226" i="2"/>
  <c r="J1226" i="2"/>
  <c r="G1226" i="2"/>
  <c r="F1226" i="2"/>
  <c r="E1226" i="2"/>
  <c r="B1226" i="2"/>
  <c r="A1226" i="2"/>
  <c r="U1225" i="2"/>
  <c r="T1225" i="2"/>
  <c r="L1225" i="2"/>
  <c r="K1225" i="2"/>
  <c r="J1225" i="2"/>
  <c r="G1225" i="2"/>
  <c r="F1225" i="2"/>
  <c r="E1225" i="2"/>
  <c r="B1225" i="2"/>
  <c r="A1225" i="2"/>
  <c r="U1224" i="2"/>
  <c r="T1224" i="2"/>
  <c r="L1224" i="2"/>
  <c r="K1224" i="2"/>
  <c r="J1224" i="2"/>
  <c r="G1224" i="2"/>
  <c r="F1224" i="2"/>
  <c r="E1224" i="2"/>
  <c r="B1224" i="2"/>
  <c r="A1224" i="2"/>
  <c r="U1223" i="2"/>
  <c r="T1223" i="2"/>
  <c r="L1223" i="2"/>
  <c r="K1223" i="2"/>
  <c r="J1223" i="2"/>
  <c r="G1223" i="2"/>
  <c r="F1223" i="2"/>
  <c r="E1223" i="2"/>
  <c r="B1223" i="2"/>
  <c r="A1223" i="2"/>
  <c r="U1222" i="2"/>
  <c r="T1222" i="2"/>
  <c r="L1222" i="2"/>
  <c r="K1222" i="2"/>
  <c r="J1222" i="2"/>
  <c r="G1222" i="2"/>
  <c r="F1222" i="2"/>
  <c r="E1222" i="2"/>
  <c r="B1222" i="2"/>
  <c r="A1222" i="2"/>
  <c r="U1221" i="2"/>
  <c r="T1221" i="2"/>
  <c r="L1221" i="2"/>
  <c r="K1221" i="2"/>
  <c r="J1221" i="2"/>
  <c r="G1221" i="2"/>
  <c r="F1221" i="2"/>
  <c r="E1221" i="2"/>
  <c r="B1221" i="2"/>
  <c r="A1221" i="2"/>
  <c r="U1220" i="2"/>
  <c r="T1220" i="2"/>
  <c r="L1220" i="2"/>
  <c r="K1220" i="2"/>
  <c r="J1220" i="2"/>
  <c r="G1220" i="2"/>
  <c r="F1220" i="2"/>
  <c r="E1220" i="2"/>
  <c r="B1220" i="2"/>
  <c r="A1220" i="2"/>
  <c r="U1219" i="2"/>
  <c r="T1219" i="2"/>
  <c r="L1219" i="2"/>
  <c r="K1219" i="2"/>
  <c r="J1219" i="2"/>
  <c r="G1219" i="2"/>
  <c r="F1219" i="2"/>
  <c r="E1219" i="2"/>
  <c r="B1219" i="2"/>
  <c r="A1219" i="2"/>
  <c r="U1218" i="2"/>
  <c r="T1218" i="2"/>
  <c r="L1218" i="2"/>
  <c r="K1218" i="2"/>
  <c r="J1218" i="2"/>
  <c r="G1218" i="2"/>
  <c r="F1218" i="2"/>
  <c r="E1218" i="2"/>
  <c r="B1218" i="2"/>
  <c r="A1218" i="2"/>
  <c r="U1217" i="2"/>
  <c r="T1217" i="2"/>
  <c r="L1217" i="2"/>
  <c r="K1217" i="2"/>
  <c r="J1217" i="2"/>
  <c r="G1217" i="2"/>
  <c r="F1217" i="2"/>
  <c r="E1217" i="2"/>
  <c r="B1217" i="2"/>
  <c r="A1217" i="2"/>
  <c r="U1216" i="2"/>
  <c r="T1216" i="2"/>
  <c r="L1216" i="2"/>
  <c r="K1216" i="2"/>
  <c r="J1216" i="2"/>
  <c r="G1216" i="2"/>
  <c r="F1216" i="2"/>
  <c r="E1216" i="2"/>
  <c r="B1216" i="2"/>
  <c r="A1216" i="2"/>
  <c r="U1215" i="2"/>
  <c r="T1215" i="2"/>
  <c r="L1215" i="2"/>
  <c r="K1215" i="2"/>
  <c r="J1215" i="2"/>
  <c r="G1215" i="2"/>
  <c r="F1215" i="2"/>
  <c r="E1215" i="2"/>
  <c r="B1215" i="2"/>
  <c r="A1215" i="2"/>
  <c r="U1214" i="2"/>
  <c r="T1214" i="2"/>
  <c r="L1214" i="2"/>
  <c r="K1214" i="2"/>
  <c r="J1214" i="2"/>
  <c r="G1214" i="2"/>
  <c r="F1214" i="2"/>
  <c r="E1214" i="2"/>
  <c r="B1214" i="2"/>
  <c r="A1214" i="2"/>
  <c r="U1213" i="2"/>
  <c r="T1213" i="2"/>
  <c r="L1213" i="2"/>
  <c r="K1213" i="2"/>
  <c r="J1213" i="2"/>
  <c r="G1213" i="2"/>
  <c r="F1213" i="2"/>
  <c r="E1213" i="2"/>
  <c r="B1213" i="2"/>
  <c r="A1213" i="2"/>
  <c r="U1212" i="2"/>
  <c r="T1212" i="2"/>
  <c r="L1212" i="2"/>
  <c r="K1212" i="2"/>
  <c r="J1212" i="2"/>
  <c r="G1212" i="2"/>
  <c r="F1212" i="2"/>
  <c r="E1212" i="2"/>
  <c r="B1212" i="2"/>
  <c r="A1212" i="2"/>
  <c r="U1211" i="2"/>
  <c r="T1211" i="2"/>
  <c r="L1211" i="2"/>
  <c r="K1211" i="2"/>
  <c r="J1211" i="2"/>
  <c r="G1211" i="2"/>
  <c r="F1211" i="2"/>
  <c r="E1211" i="2"/>
  <c r="B1211" i="2"/>
  <c r="A1211" i="2"/>
  <c r="U1210" i="2"/>
  <c r="T1210" i="2"/>
  <c r="L1210" i="2"/>
  <c r="K1210" i="2"/>
  <c r="J1210" i="2"/>
  <c r="G1210" i="2"/>
  <c r="F1210" i="2"/>
  <c r="E1210" i="2"/>
  <c r="B1210" i="2"/>
  <c r="A1210" i="2"/>
  <c r="U1209" i="2"/>
  <c r="T1209" i="2"/>
  <c r="L1209" i="2"/>
  <c r="K1209" i="2"/>
  <c r="J1209" i="2"/>
  <c r="G1209" i="2"/>
  <c r="F1209" i="2"/>
  <c r="E1209" i="2"/>
  <c r="B1209" i="2"/>
  <c r="A1209" i="2"/>
  <c r="U1208" i="2"/>
  <c r="T1208" i="2"/>
  <c r="L1208" i="2"/>
  <c r="K1208" i="2"/>
  <c r="J1208" i="2"/>
  <c r="G1208" i="2"/>
  <c r="F1208" i="2"/>
  <c r="E1208" i="2"/>
  <c r="B1208" i="2"/>
  <c r="A1208" i="2"/>
  <c r="U1207" i="2"/>
  <c r="T1207" i="2"/>
  <c r="L1207" i="2"/>
  <c r="K1207" i="2"/>
  <c r="J1207" i="2"/>
  <c r="G1207" i="2"/>
  <c r="F1207" i="2"/>
  <c r="E1207" i="2"/>
  <c r="B1207" i="2"/>
  <c r="A1207" i="2"/>
  <c r="U1206" i="2"/>
  <c r="T1206" i="2"/>
  <c r="L1206" i="2"/>
  <c r="K1206" i="2"/>
  <c r="J1206" i="2"/>
  <c r="G1206" i="2"/>
  <c r="F1206" i="2"/>
  <c r="E1206" i="2"/>
  <c r="B1206" i="2"/>
  <c r="A1206" i="2"/>
  <c r="U1205" i="2"/>
  <c r="T1205" i="2"/>
  <c r="L1205" i="2"/>
  <c r="K1205" i="2"/>
  <c r="J1205" i="2"/>
  <c r="G1205" i="2"/>
  <c r="F1205" i="2"/>
  <c r="E1205" i="2"/>
  <c r="B1205" i="2"/>
  <c r="A1205" i="2"/>
  <c r="U1204" i="2"/>
  <c r="T1204" i="2"/>
  <c r="L1204" i="2"/>
  <c r="K1204" i="2"/>
  <c r="J1204" i="2"/>
  <c r="G1204" i="2"/>
  <c r="F1204" i="2"/>
  <c r="E1204" i="2"/>
  <c r="B1204" i="2"/>
  <c r="A1204" i="2"/>
  <c r="U1203" i="2"/>
  <c r="T1203" i="2"/>
  <c r="L1203" i="2"/>
  <c r="K1203" i="2"/>
  <c r="J1203" i="2"/>
  <c r="G1203" i="2"/>
  <c r="F1203" i="2"/>
  <c r="E1203" i="2"/>
  <c r="B1203" i="2"/>
  <c r="A1203" i="2"/>
  <c r="U1202" i="2"/>
  <c r="T1202" i="2"/>
  <c r="L1202" i="2"/>
  <c r="K1202" i="2"/>
  <c r="J1202" i="2"/>
  <c r="G1202" i="2"/>
  <c r="F1202" i="2"/>
  <c r="E1202" i="2"/>
  <c r="B1202" i="2"/>
  <c r="A1202" i="2"/>
  <c r="U1201" i="2"/>
  <c r="T1201" i="2"/>
  <c r="L1201" i="2"/>
  <c r="K1201" i="2"/>
  <c r="J1201" i="2"/>
  <c r="G1201" i="2"/>
  <c r="F1201" i="2"/>
  <c r="E1201" i="2"/>
  <c r="B1201" i="2"/>
  <c r="A1201" i="2"/>
  <c r="U1200" i="2"/>
  <c r="T1200" i="2"/>
  <c r="L1200" i="2"/>
  <c r="K1200" i="2"/>
  <c r="J1200" i="2"/>
  <c r="G1200" i="2"/>
  <c r="F1200" i="2"/>
  <c r="E1200" i="2"/>
  <c r="B1200" i="2"/>
  <c r="A1200" i="2"/>
  <c r="U1199" i="2"/>
  <c r="T1199" i="2"/>
  <c r="L1199" i="2"/>
  <c r="K1199" i="2"/>
  <c r="J1199" i="2"/>
  <c r="G1199" i="2"/>
  <c r="F1199" i="2"/>
  <c r="E1199" i="2"/>
  <c r="B1199" i="2"/>
  <c r="A1199" i="2"/>
  <c r="U1198" i="2"/>
  <c r="T1198" i="2"/>
  <c r="L1198" i="2"/>
  <c r="K1198" i="2"/>
  <c r="J1198" i="2"/>
  <c r="G1198" i="2"/>
  <c r="F1198" i="2"/>
  <c r="E1198" i="2"/>
  <c r="B1198" i="2"/>
  <c r="A1198" i="2"/>
  <c r="U1197" i="2"/>
  <c r="T1197" i="2"/>
  <c r="L1197" i="2"/>
  <c r="K1197" i="2"/>
  <c r="J1197" i="2"/>
  <c r="G1197" i="2"/>
  <c r="F1197" i="2"/>
  <c r="E1197" i="2"/>
  <c r="B1197" i="2"/>
  <c r="A1197" i="2"/>
  <c r="U1196" i="2"/>
  <c r="T1196" i="2"/>
  <c r="L1196" i="2"/>
  <c r="K1196" i="2"/>
  <c r="J1196" i="2"/>
  <c r="G1196" i="2"/>
  <c r="F1196" i="2"/>
  <c r="E1196" i="2"/>
  <c r="B1196" i="2"/>
  <c r="A1196" i="2"/>
  <c r="U1195" i="2"/>
  <c r="T1195" i="2"/>
  <c r="L1195" i="2"/>
  <c r="K1195" i="2"/>
  <c r="J1195" i="2"/>
  <c r="G1195" i="2"/>
  <c r="F1195" i="2"/>
  <c r="E1195" i="2"/>
  <c r="B1195" i="2"/>
  <c r="A1195" i="2"/>
  <c r="U1194" i="2"/>
  <c r="T1194" i="2"/>
  <c r="L1194" i="2"/>
  <c r="K1194" i="2"/>
  <c r="J1194" i="2"/>
  <c r="G1194" i="2"/>
  <c r="F1194" i="2"/>
  <c r="E1194" i="2"/>
  <c r="B1194" i="2"/>
  <c r="A1194" i="2"/>
  <c r="U1193" i="2"/>
  <c r="T1193" i="2"/>
  <c r="L1193" i="2"/>
  <c r="K1193" i="2"/>
  <c r="J1193" i="2"/>
  <c r="G1193" i="2"/>
  <c r="F1193" i="2"/>
  <c r="E1193" i="2"/>
  <c r="B1193" i="2"/>
  <c r="A1193" i="2"/>
  <c r="U1192" i="2"/>
  <c r="T1192" i="2"/>
  <c r="L1192" i="2"/>
  <c r="K1192" i="2"/>
  <c r="J1192" i="2"/>
  <c r="G1192" i="2"/>
  <c r="F1192" i="2"/>
  <c r="E1192" i="2"/>
  <c r="B1192" i="2"/>
  <c r="A1192" i="2"/>
  <c r="U1191" i="2"/>
  <c r="T1191" i="2"/>
  <c r="L1191" i="2"/>
  <c r="K1191" i="2"/>
  <c r="J1191" i="2"/>
  <c r="G1191" i="2"/>
  <c r="F1191" i="2"/>
  <c r="E1191" i="2"/>
  <c r="B1191" i="2"/>
  <c r="A1191" i="2"/>
  <c r="U1190" i="2"/>
  <c r="T1190" i="2"/>
  <c r="L1190" i="2"/>
  <c r="K1190" i="2"/>
  <c r="J1190" i="2"/>
  <c r="G1190" i="2"/>
  <c r="F1190" i="2"/>
  <c r="E1190" i="2"/>
  <c r="B1190" i="2"/>
  <c r="A1190" i="2"/>
  <c r="U1189" i="2"/>
  <c r="T1189" i="2"/>
  <c r="L1189" i="2"/>
  <c r="K1189" i="2"/>
  <c r="J1189" i="2"/>
  <c r="G1189" i="2"/>
  <c r="F1189" i="2"/>
  <c r="E1189" i="2"/>
  <c r="B1189" i="2"/>
  <c r="A1189" i="2"/>
  <c r="U1188" i="2"/>
  <c r="T1188" i="2"/>
  <c r="L1188" i="2"/>
  <c r="K1188" i="2"/>
  <c r="J1188" i="2"/>
  <c r="G1188" i="2"/>
  <c r="F1188" i="2"/>
  <c r="E1188" i="2"/>
  <c r="B1188" i="2"/>
  <c r="A1188" i="2"/>
  <c r="U1187" i="2"/>
  <c r="T1187" i="2"/>
  <c r="L1187" i="2"/>
  <c r="K1187" i="2"/>
  <c r="J1187" i="2"/>
  <c r="G1187" i="2"/>
  <c r="F1187" i="2"/>
  <c r="E1187" i="2"/>
  <c r="B1187" i="2"/>
  <c r="A1187" i="2"/>
  <c r="U1186" i="2"/>
  <c r="T1186" i="2"/>
  <c r="L1186" i="2"/>
  <c r="K1186" i="2"/>
  <c r="J1186" i="2"/>
  <c r="G1186" i="2"/>
  <c r="F1186" i="2"/>
  <c r="E1186" i="2"/>
  <c r="B1186" i="2"/>
  <c r="A1186" i="2"/>
  <c r="U1185" i="2"/>
  <c r="T1185" i="2"/>
  <c r="L1185" i="2"/>
  <c r="K1185" i="2"/>
  <c r="J1185" i="2"/>
  <c r="G1185" i="2"/>
  <c r="F1185" i="2"/>
  <c r="E1185" i="2"/>
  <c r="B1185" i="2"/>
  <c r="A1185" i="2"/>
  <c r="U1184" i="2"/>
  <c r="T1184" i="2"/>
  <c r="L1184" i="2"/>
  <c r="K1184" i="2"/>
  <c r="J1184" i="2"/>
  <c r="G1184" i="2"/>
  <c r="F1184" i="2"/>
  <c r="E1184" i="2"/>
  <c r="B1184" i="2"/>
  <c r="A1184" i="2"/>
  <c r="U1183" i="2"/>
  <c r="T1183" i="2"/>
  <c r="L1183" i="2"/>
  <c r="K1183" i="2"/>
  <c r="J1183" i="2"/>
  <c r="G1183" i="2"/>
  <c r="F1183" i="2"/>
  <c r="E1183" i="2"/>
  <c r="B1183" i="2"/>
  <c r="A1183" i="2"/>
  <c r="U1182" i="2"/>
  <c r="T1182" i="2"/>
  <c r="L1182" i="2"/>
  <c r="K1182" i="2"/>
  <c r="J1182" i="2"/>
  <c r="G1182" i="2"/>
  <c r="F1182" i="2"/>
  <c r="E1182" i="2"/>
  <c r="B1182" i="2"/>
  <c r="A1182" i="2"/>
  <c r="U1181" i="2"/>
  <c r="T1181" i="2"/>
  <c r="L1181" i="2"/>
  <c r="K1181" i="2"/>
  <c r="J1181" i="2"/>
  <c r="G1181" i="2"/>
  <c r="F1181" i="2"/>
  <c r="E1181" i="2"/>
  <c r="B1181" i="2"/>
  <c r="A1181" i="2"/>
  <c r="U1180" i="2"/>
  <c r="T1180" i="2"/>
  <c r="L1180" i="2"/>
  <c r="K1180" i="2"/>
  <c r="J1180" i="2"/>
  <c r="G1180" i="2"/>
  <c r="F1180" i="2"/>
  <c r="E1180" i="2"/>
  <c r="B1180" i="2"/>
  <c r="A1180" i="2"/>
  <c r="U1179" i="2"/>
  <c r="T1179" i="2"/>
  <c r="L1179" i="2"/>
  <c r="K1179" i="2"/>
  <c r="J1179" i="2"/>
  <c r="G1179" i="2"/>
  <c r="F1179" i="2"/>
  <c r="E1179" i="2"/>
  <c r="B1179" i="2"/>
  <c r="A1179" i="2"/>
  <c r="U1178" i="2"/>
  <c r="T1178" i="2"/>
  <c r="L1178" i="2"/>
  <c r="K1178" i="2"/>
  <c r="J1178" i="2"/>
  <c r="G1178" i="2"/>
  <c r="F1178" i="2"/>
  <c r="E1178" i="2"/>
  <c r="B1178" i="2"/>
  <c r="A1178" i="2"/>
  <c r="U1177" i="2"/>
  <c r="T1177" i="2"/>
  <c r="L1177" i="2"/>
  <c r="K1177" i="2"/>
  <c r="J1177" i="2"/>
  <c r="G1177" i="2"/>
  <c r="F1177" i="2"/>
  <c r="E1177" i="2"/>
  <c r="B1177" i="2"/>
  <c r="A1177" i="2"/>
  <c r="U1176" i="2"/>
  <c r="T1176" i="2"/>
  <c r="L1176" i="2"/>
  <c r="K1176" i="2"/>
  <c r="J1176" i="2"/>
  <c r="G1176" i="2"/>
  <c r="F1176" i="2"/>
  <c r="E1176" i="2"/>
  <c r="B1176" i="2"/>
  <c r="A1176" i="2"/>
  <c r="U1175" i="2"/>
  <c r="T1175" i="2"/>
  <c r="L1175" i="2"/>
  <c r="K1175" i="2"/>
  <c r="J1175" i="2"/>
  <c r="G1175" i="2"/>
  <c r="F1175" i="2"/>
  <c r="E1175" i="2"/>
  <c r="B1175" i="2"/>
  <c r="A1175" i="2"/>
  <c r="U1174" i="2"/>
  <c r="T1174" i="2"/>
  <c r="L1174" i="2"/>
  <c r="K1174" i="2"/>
  <c r="J1174" i="2"/>
  <c r="G1174" i="2"/>
  <c r="F1174" i="2"/>
  <c r="E1174" i="2"/>
  <c r="B1174" i="2"/>
  <c r="A1174" i="2"/>
  <c r="U1173" i="2"/>
  <c r="T1173" i="2"/>
  <c r="L1173" i="2"/>
  <c r="K1173" i="2"/>
  <c r="J1173" i="2"/>
  <c r="G1173" i="2"/>
  <c r="F1173" i="2"/>
  <c r="E1173" i="2"/>
  <c r="B1173" i="2"/>
  <c r="A1173" i="2"/>
  <c r="U1172" i="2"/>
  <c r="T1172" i="2"/>
  <c r="L1172" i="2"/>
  <c r="K1172" i="2"/>
  <c r="J1172" i="2"/>
  <c r="G1172" i="2"/>
  <c r="F1172" i="2"/>
  <c r="E1172" i="2"/>
  <c r="B1172" i="2"/>
  <c r="A1172" i="2"/>
  <c r="U1171" i="2"/>
  <c r="T1171" i="2"/>
  <c r="L1171" i="2"/>
  <c r="K1171" i="2"/>
  <c r="J1171" i="2"/>
  <c r="G1171" i="2"/>
  <c r="F1171" i="2"/>
  <c r="E1171" i="2"/>
  <c r="B1171" i="2"/>
  <c r="A1171" i="2"/>
  <c r="U1170" i="2"/>
  <c r="T1170" i="2"/>
  <c r="L1170" i="2"/>
  <c r="K1170" i="2"/>
  <c r="J1170" i="2"/>
  <c r="G1170" i="2"/>
  <c r="F1170" i="2"/>
  <c r="E1170" i="2"/>
  <c r="B1170" i="2"/>
  <c r="A1170" i="2"/>
  <c r="U1169" i="2"/>
  <c r="T1169" i="2"/>
  <c r="L1169" i="2"/>
  <c r="K1169" i="2"/>
  <c r="J1169" i="2"/>
  <c r="G1169" i="2"/>
  <c r="F1169" i="2"/>
  <c r="E1169" i="2"/>
  <c r="B1169" i="2"/>
  <c r="A1169" i="2"/>
  <c r="U1168" i="2"/>
  <c r="L1168" i="2"/>
  <c r="K1168" i="2"/>
  <c r="J1168" i="2"/>
  <c r="G1168" i="2"/>
  <c r="F1168" i="2"/>
  <c r="E1168" i="2"/>
  <c r="B1168" i="2"/>
  <c r="A1168" i="2"/>
  <c r="U1167" i="2"/>
  <c r="L1167" i="2"/>
  <c r="K1167" i="2"/>
  <c r="J1167" i="2"/>
  <c r="G1167" i="2"/>
  <c r="F1167" i="2"/>
  <c r="E1167" i="2"/>
  <c r="B1167" i="2"/>
  <c r="A1167" i="2"/>
  <c r="U1166" i="2"/>
  <c r="L1166" i="2"/>
  <c r="K1166" i="2"/>
  <c r="J1166" i="2"/>
  <c r="G1166" i="2"/>
  <c r="F1166" i="2"/>
  <c r="E1166" i="2"/>
  <c r="B1166" i="2"/>
  <c r="A1166" i="2"/>
  <c r="U1165" i="2"/>
  <c r="L1165" i="2"/>
  <c r="K1165" i="2"/>
  <c r="J1165" i="2"/>
  <c r="G1165" i="2"/>
  <c r="F1165" i="2"/>
  <c r="E1165" i="2"/>
  <c r="B1165" i="2"/>
  <c r="A1165" i="2"/>
  <c r="U1164" i="2"/>
  <c r="L1164" i="2"/>
  <c r="K1164" i="2"/>
  <c r="J1164" i="2"/>
  <c r="G1164" i="2"/>
  <c r="F1164" i="2"/>
  <c r="E1164" i="2"/>
  <c r="B1164" i="2"/>
  <c r="A1164" i="2"/>
  <c r="U1163" i="2"/>
  <c r="T1163" i="2"/>
  <c r="L1163" i="2"/>
  <c r="K1163" i="2"/>
  <c r="J1163" i="2"/>
  <c r="G1163" i="2"/>
  <c r="F1163" i="2"/>
  <c r="E1163" i="2"/>
  <c r="B1163" i="2"/>
  <c r="A1163" i="2"/>
  <c r="U1162" i="2"/>
  <c r="T1162" i="2"/>
  <c r="L1162" i="2"/>
  <c r="K1162" i="2"/>
  <c r="J1162" i="2"/>
  <c r="G1162" i="2"/>
  <c r="F1162" i="2"/>
  <c r="E1162" i="2"/>
  <c r="B1162" i="2"/>
  <c r="A1162" i="2"/>
  <c r="U1161" i="2"/>
  <c r="T1161" i="2"/>
  <c r="L1161" i="2"/>
  <c r="K1161" i="2"/>
  <c r="J1161" i="2"/>
  <c r="G1161" i="2"/>
  <c r="F1161" i="2"/>
  <c r="E1161" i="2"/>
  <c r="B1161" i="2"/>
  <c r="A1161" i="2"/>
  <c r="U1160" i="2"/>
  <c r="T1160" i="2"/>
  <c r="L1160" i="2"/>
  <c r="K1160" i="2"/>
  <c r="J1160" i="2"/>
  <c r="G1160" i="2"/>
  <c r="F1160" i="2"/>
  <c r="E1160" i="2"/>
  <c r="B1160" i="2"/>
  <c r="A1160" i="2"/>
  <c r="U1159" i="2"/>
  <c r="T1159" i="2"/>
  <c r="L1159" i="2"/>
  <c r="K1159" i="2"/>
  <c r="J1159" i="2"/>
  <c r="G1159" i="2"/>
  <c r="F1159" i="2"/>
  <c r="E1159" i="2"/>
  <c r="B1159" i="2"/>
  <c r="A1159" i="2"/>
  <c r="U1158" i="2"/>
  <c r="T1158" i="2"/>
  <c r="L1158" i="2"/>
  <c r="K1158" i="2"/>
  <c r="J1158" i="2"/>
  <c r="G1158" i="2"/>
  <c r="F1158" i="2"/>
  <c r="E1158" i="2"/>
  <c r="B1158" i="2"/>
  <c r="A1158" i="2"/>
  <c r="U1157" i="2"/>
  <c r="T1157" i="2"/>
  <c r="L1157" i="2"/>
  <c r="K1157" i="2"/>
  <c r="J1157" i="2"/>
  <c r="G1157" i="2"/>
  <c r="F1157" i="2"/>
  <c r="E1157" i="2"/>
  <c r="B1157" i="2"/>
  <c r="A1157" i="2"/>
  <c r="U1156" i="2"/>
  <c r="T1156" i="2"/>
  <c r="L1156" i="2"/>
  <c r="K1156" i="2"/>
  <c r="J1156" i="2"/>
  <c r="G1156" i="2"/>
  <c r="F1156" i="2"/>
  <c r="E1156" i="2"/>
  <c r="B1156" i="2"/>
  <c r="A1156" i="2"/>
  <c r="U1155" i="2"/>
  <c r="T1155" i="2"/>
  <c r="L1155" i="2"/>
  <c r="K1155" i="2"/>
  <c r="J1155" i="2"/>
  <c r="G1155" i="2"/>
  <c r="F1155" i="2"/>
  <c r="E1155" i="2"/>
  <c r="B1155" i="2"/>
  <c r="A1155" i="2"/>
  <c r="U1154" i="2"/>
  <c r="T1154" i="2"/>
  <c r="L1154" i="2"/>
  <c r="K1154" i="2"/>
  <c r="J1154" i="2"/>
  <c r="G1154" i="2"/>
  <c r="F1154" i="2"/>
  <c r="E1154" i="2"/>
  <c r="B1154" i="2"/>
  <c r="A1154" i="2"/>
  <c r="U1153" i="2"/>
  <c r="T1153" i="2"/>
  <c r="L1153" i="2"/>
  <c r="K1153" i="2"/>
  <c r="J1153" i="2"/>
  <c r="G1153" i="2"/>
  <c r="F1153" i="2"/>
  <c r="E1153" i="2"/>
  <c r="B1153" i="2"/>
  <c r="A1153" i="2"/>
  <c r="U1152" i="2"/>
  <c r="T1152" i="2"/>
  <c r="L1152" i="2"/>
  <c r="K1152" i="2"/>
  <c r="J1152" i="2"/>
  <c r="G1152" i="2"/>
  <c r="F1152" i="2"/>
  <c r="E1152" i="2"/>
  <c r="B1152" i="2"/>
  <c r="A1152" i="2"/>
  <c r="U1151" i="2"/>
  <c r="T1151" i="2"/>
  <c r="L1151" i="2"/>
  <c r="K1151" i="2"/>
  <c r="J1151" i="2"/>
  <c r="G1151" i="2"/>
  <c r="F1151" i="2"/>
  <c r="E1151" i="2"/>
  <c r="B1151" i="2"/>
  <c r="A1151" i="2"/>
  <c r="U1150" i="2"/>
  <c r="T1150" i="2"/>
  <c r="L1150" i="2"/>
  <c r="K1150" i="2"/>
  <c r="J1150" i="2"/>
  <c r="G1150" i="2"/>
  <c r="F1150" i="2"/>
  <c r="E1150" i="2"/>
  <c r="B1150" i="2"/>
  <c r="A1150" i="2"/>
  <c r="U1149" i="2"/>
  <c r="T1149" i="2"/>
  <c r="L1149" i="2"/>
  <c r="K1149" i="2"/>
  <c r="J1149" i="2"/>
  <c r="G1149" i="2"/>
  <c r="F1149" i="2"/>
  <c r="E1149" i="2"/>
  <c r="B1149" i="2"/>
  <c r="A1149" i="2"/>
  <c r="U1148" i="2"/>
  <c r="T1148" i="2"/>
  <c r="L1148" i="2"/>
  <c r="K1148" i="2"/>
  <c r="J1148" i="2"/>
  <c r="G1148" i="2"/>
  <c r="F1148" i="2"/>
  <c r="E1148" i="2"/>
  <c r="B1148" i="2"/>
  <c r="A1148" i="2"/>
  <c r="U1147" i="2"/>
  <c r="T1147" i="2"/>
  <c r="L1147" i="2"/>
  <c r="K1147" i="2"/>
  <c r="J1147" i="2"/>
  <c r="G1147" i="2"/>
  <c r="F1147" i="2"/>
  <c r="E1147" i="2"/>
  <c r="B1147" i="2"/>
  <c r="A1147" i="2"/>
  <c r="U1146" i="2"/>
  <c r="T1146" i="2"/>
  <c r="L1146" i="2"/>
  <c r="K1146" i="2"/>
  <c r="J1146" i="2"/>
  <c r="G1146" i="2"/>
  <c r="F1146" i="2"/>
  <c r="E1146" i="2"/>
  <c r="B1146" i="2"/>
  <c r="A1146" i="2"/>
  <c r="U1145" i="2"/>
  <c r="T1145" i="2"/>
  <c r="L1145" i="2"/>
  <c r="K1145" i="2"/>
  <c r="J1145" i="2"/>
  <c r="G1145" i="2"/>
  <c r="F1145" i="2"/>
  <c r="E1145" i="2"/>
  <c r="B1145" i="2"/>
  <c r="A1145" i="2"/>
  <c r="U1144" i="2"/>
  <c r="T1144" i="2"/>
  <c r="L1144" i="2"/>
  <c r="K1144" i="2"/>
  <c r="J1144" i="2"/>
  <c r="G1144" i="2"/>
  <c r="F1144" i="2"/>
  <c r="E1144" i="2"/>
  <c r="B1144" i="2"/>
  <c r="A1144" i="2"/>
  <c r="U1143" i="2"/>
  <c r="T1143" i="2"/>
  <c r="L1143" i="2"/>
  <c r="K1143" i="2"/>
  <c r="J1143" i="2"/>
  <c r="G1143" i="2"/>
  <c r="F1143" i="2"/>
  <c r="E1143" i="2"/>
  <c r="B1143" i="2"/>
  <c r="A1143" i="2"/>
  <c r="U1142" i="2"/>
  <c r="T1142" i="2"/>
  <c r="L1142" i="2"/>
  <c r="K1142" i="2"/>
  <c r="J1142" i="2"/>
  <c r="G1142" i="2"/>
  <c r="F1142" i="2"/>
  <c r="E1142" i="2"/>
  <c r="B1142" i="2"/>
  <c r="A1142" i="2"/>
  <c r="U1141" i="2"/>
  <c r="T1141" i="2"/>
  <c r="L1141" i="2"/>
  <c r="K1141" i="2"/>
  <c r="J1141" i="2"/>
  <c r="G1141" i="2"/>
  <c r="F1141" i="2"/>
  <c r="E1141" i="2"/>
  <c r="B1141" i="2"/>
  <c r="A1141" i="2"/>
  <c r="U1140" i="2"/>
  <c r="T1140" i="2"/>
  <c r="L1140" i="2"/>
  <c r="K1140" i="2"/>
  <c r="J1140" i="2"/>
  <c r="G1140" i="2"/>
  <c r="F1140" i="2"/>
  <c r="E1140" i="2"/>
  <c r="B1140" i="2"/>
  <c r="A1140" i="2"/>
  <c r="U1139" i="2"/>
  <c r="T1139" i="2"/>
  <c r="L1139" i="2"/>
  <c r="K1139" i="2"/>
  <c r="J1139" i="2"/>
  <c r="G1139" i="2"/>
  <c r="F1139" i="2"/>
  <c r="E1139" i="2"/>
  <c r="B1139" i="2"/>
  <c r="A1139" i="2"/>
  <c r="U1138" i="2"/>
  <c r="L1138" i="2"/>
  <c r="K1138" i="2"/>
  <c r="J1138" i="2"/>
  <c r="G1138" i="2"/>
  <c r="F1138" i="2"/>
  <c r="E1138" i="2"/>
  <c r="B1138" i="2"/>
  <c r="A1138" i="2"/>
  <c r="U1137" i="2"/>
  <c r="L1137" i="2"/>
  <c r="K1137" i="2"/>
  <c r="J1137" i="2"/>
  <c r="G1137" i="2"/>
  <c r="F1137" i="2"/>
  <c r="E1137" i="2"/>
  <c r="B1137" i="2"/>
  <c r="A1137" i="2"/>
  <c r="U1136" i="2"/>
  <c r="T1136" i="2"/>
  <c r="L1136" i="2"/>
  <c r="K1136" i="2"/>
  <c r="J1136" i="2"/>
  <c r="G1136" i="2"/>
  <c r="F1136" i="2"/>
  <c r="E1136" i="2"/>
  <c r="B1136" i="2"/>
  <c r="A1136" i="2"/>
  <c r="U1135" i="2"/>
  <c r="T1135" i="2"/>
  <c r="L1135" i="2"/>
  <c r="K1135" i="2"/>
  <c r="J1135" i="2"/>
  <c r="G1135" i="2"/>
  <c r="F1135" i="2"/>
  <c r="E1135" i="2"/>
  <c r="B1135" i="2"/>
  <c r="A1135" i="2"/>
  <c r="U1134" i="2"/>
  <c r="T1134" i="2"/>
  <c r="L1134" i="2"/>
  <c r="K1134" i="2"/>
  <c r="J1134" i="2"/>
  <c r="G1134" i="2"/>
  <c r="F1134" i="2"/>
  <c r="E1134" i="2"/>
  <c r="B1134" i="2"/>
  <c r="A1134" i="2"/>
  <c r="U1133" i="2"/>
  <c r="T1133" i="2"/>
  <c r="L1133" i="2"/>
  <c r="K1133" i="2"/>
  <c r="J1133" i="2"/>
  <c r="G1133" i="2"/>
  <c r="F1133" i="2"/>
  <c r="E1133" i="2"/>
  <c r="B1133" i="2"/>
  <c r="A1133" i="2"/>
  <c r="U1132" i="2"/>
  <c r="T1132" i="2"/>
  <c r="L1132" i="2"/>
  <c r="K1132" i="2"/>
  <c r="J1132" i="2"/>
  <c r="G1132" i="2"/>
  <c r="F1132" i="2"/>
  <c r="E1132" i="2"/>
  <c r="B1132" i="2"/>
  <c r="A1132" i="2"/>
  <c r="U1131" i="2"/>
  <c r="T1131" i="2"/>
  <c r="L1131" i="2"/>
  <c r="K1131" i="2"/>
  <c r="J1131" i="2"/>
  <c r="G1131" i="2"/>
  <c r="F1131" i="2"/>
  <c r="E1131" i="2"/>
  <c r="B1131" i="2"/>
  <c r="A1131" i="2"/>
  <c r="U1130" i="2"/>
  <c r="T1130" i="2"/>
  <c r="L1130" i="2"/>
  <c r="K1130" i="2"/>
  <c r="J1130" i="2"/>
  <c r="G1130" i="2"/>
  <c r="F1130" i="2"/>
  <c r="E1130" i="2"/>
  <c r="B1130" i="2"/>
  <c r="A1130" i="2"/>
  <c r="U1129" i="2"/>
  <c r="T1129" i="2"/>
  <c r="L1129" i="2"/>
  <c r="K1129" i="2"/>
  <c r="J1129" i="2"/>
  <c r="G1129" i="2"/>
  <c r="F1129" i="2"/>
  <c r="E1129" i="2"/>
  <c r="B1129" i="2"/>
  <c r="A1129" i="2"/>
  <c r="U1128" i="2"/>
  <c r="T1128" i="2"/>
  <c r="L1128" i="2"/>
  <c r="K1128" i="2"/>
  <c r="J1128" i="2"/>
  <c r="G1128" i="2"/>
  <c r="F1128" i="2"/>
  <c r="E1128" i="2"/>
  <c r="B1128" i="2"/>
  <c r="A1128" i="2"/>
  <c r="U1127" i="2"/>
  <c r="T1127" i="2"/>
  <c r="L1127" i="2"/>
  <c r="K1127" i="2"/>
  <c r="J1127" i="2"/>
  <c r="G1127" i="2"/>
  <c r="F1127" i="2"/>
  <c r="E1127" i="2"/>
  <c r="B1127" i="2"/>
  <c r="A1127" i="2"/>
  <c r="U1126" i="2"/>
  <c r="T1126" i="2"/>
  <c r="L1126" i="2"/>
  <c r="K1126" i="2"/>
  <c r="J1126" i="2"/>
  <c r="G1126" i="2"/>
  <c r="F1126" i="2"/>
  <c r="E1126" i="2"/>
  <c r="B1126" i="2"/>
  <c r="A1126" i="2"/>
  <c r="U1125" i="2"/>
  <c r="T1125" i="2"/>
  <c r="L1125" i="2"/>
  <c r="K1125" i="2"/>
  <c r="J1125" i="2"/>
  <c r="G1125" i="2"/>
  <c r="F1125" i="2"/>
  <c r="E1125" i="2"/>
  <c r="B1125" i="2"/>
  <c r="A1125" i="2"/>
  <c r="U1124" i="2"/>
  <c r="T1124" i="2"/>
  <c r="L1124" i="2"/>
  <c r="K1124" i="2"/>
  <c r="J1124" i="2"/>
  <c r="G1124" i="2"/>
  <c r="F1124" i="2"/>
  <c r="E1124" i="2"/>
  <c r="B1124" i="2"/>
  <c r="A1124" i="2"/>
  <c r="U1123" i="2"/>
  <c r="T1123" i="2"/>
  <c r="L1123" i="2"/>
  <c r="K1123" i="2"/>
  <c r="J1123" i="2"/>
  <c r="G1123" i="2"/>
  <c r="F1123" i="2"/>
  <c r="E1123" i="2"/>
  <c r="B1123" i="2"/>
  <c r="A1123" i="2"/>
  <c r="U1122" i="2"/>
  <c r="T1122" i="2"/>
  <c r="L1122" i="2"/>
  <c r="K1122" i="2"/>
  <c r="J1122" i="2"/>
  <c r="G1122" i="2"/>
  <c r="F1122" i="2"/>
  <c r="E1122" i="2"/>
  <c r="B1122" i="2"/>
  <c r="A1122" i="2"/>
  <c r="U1121" i="2"/>
  <c r="T1121" i="2"/>
  <c r="L1121" i="2"/>
  <c r="K1121" i="2"/>
  <c r="J1121" i="2"/>
  <c r="G1121" i="2"/>
  <c r="F1121" i="2"/>
  <c r="E1121" i="2"/>
  <c r="B1121" i="2"/>
  <c r="A1121" i="2"/>
  <c r="U1120" i="2"/>
  <c r="T1120" i="2"/>
  <c r="L1120" i="2"/>
  <c r="K1120" i="2"/>
  <c r="J1120" i="2"/>
  <c r="G1120" i="2"/>
  <c r="F1120" i="2"/>
  <c r="E1120" i="2"/>
  <c r="B1120" i="2"/>
  <c r="A1120" i="2"/>
  <c r="U1119" i="2"/>
  <c r="T1119" i="2"/>
  <c r="L1119" i="2"/>
  <c r="K1119" i="2"/>
  <c r="J1119" i="2"/>
  <c r="G1119" i="2"/>
  <c r="F1119" i="2"/>
  <c r="E1119" i="2"/>
  <c r="B1119" i="2"/>
  <c r="A1119" i="2"/>
  <c r="U1118" i="2"/>
  <c r="T1118" i="2"/>
  <c r="L1118" i="2"/>
  <c r="K1118" i="2"/>
  <c r="J1118" i="2"/>
  <c r="G1118" i="2"/>
  <c r="F1118" i="2"/>
  <c r="E1118" i="2"/>
  <c r="B1118" i="2"/>
  <c r="A1118" i="2"/>
  <c r="U1117" i="2"/>
  <c r="T1117" i="2"/>
  <c r="L1117" i="2"/>
  <c r="K1117" i="2"/>
  <c r="J1117" i="2"/>
  <c r="G1117" i="2"/>
  <c r="F1117" i="2"/>
  <c r="E1117" i="2"/>
  <c r="B1117" i="2"/>
  <c r="A1117" i="2"/>
  <c r="U1116" i="2"/>
  <c r="T1116" i="2"/>
  <c r="L1116" i="2"/>
  <c r="K1116" i="2"/>
  <c r="J1116" i="2"/>
  <c r="G1116" i="2"/>
  <c r="F1116" i="2"/>
  <c r="E1116" i="2"/>
  <c r="B1116" i="2"/>
  <c r="A1116" i="2"/>
  <c r="U1115" i="2"/>
  <c r="T1115" i="2"/>
  <c r="L1115" i="2"/>
  <c r="K1115" i="2"/>
  <c r="J1115" i="2"/>
  <c r="G1115" i="2"/>
  <c r="F1115" i="2"/>
  <c r="E1115" i="2"/>
  <c r="B1115" i="2"/>
  <c r="A1115" i="2"/>
  <c r="U1114" i="2"/>
  <c r="T1114" i="2"/>
  <c r="L1114" i="2"/>
  <c r="K1114" i="2"/>
  <c r="J1114" i="2"/>
  <c r="G1114" i="2"/>
  <c r="F1114" i="2"/>
  <c r="E1114" i="2"/>
  <c r="B1114" i="2"/>
  <c r="A1114" i="2"/>
  <c r="U1113" i="2"/>
  <c r="T1113" i="2"/>
  <c r="L1113" i="2"/>
  <c r="K1113" i="2"/>
  <c r="J1113" i="2"/>
  <c r="G1113" i="2"/>
  <c r="F1113" i="2"/>
  <c r="E1113" i="2"/>
  <c r="B1113" i="2"/>
  <c r="A1113" i="2"/>
  <c r="U1112" i="2"/>
  <c r="T1112" i="2"/>
  <c r="L1112" i="2"/>
  <c r="K1112" i="2"/>
  <c r="J1112" i="2"/>
  <c r="G1112" i="2"/>
  <c r="F1112" i="2"/>
  <c r="E1112" i="2"/>
  <c r="B1112" i="2"/>
  <c r="A1112" i="2"/>
  <c r="U1111" i="2"/>
  <c r="T1111" i="2"/>
  <c r="L1111" i="2"/>
  <c r="K1111" i="2"/>
  <c r="J1111" i="2"/>
  <c r="G1111" i="2"/>
  <c r="F1111" i="2"/>
  <c r="E1111" i="2"/>
  <c r="B1111" i="2"/>
  <c r="A1111" i="2"/>
  <c r="U1110" i="2"/>
  <c r="T1110" i="2"/>
  <c r="L1110" i="2"/>
  <c r="K1110" i="2"/>
  <c r="J1110" i="2"/>
  <c r="G1110" i="2"/>
  <c r="F1110" i="2"/>
  <c r="E1110" i="2"/>
  <c r="B1110" i="2"/>
  <c r="A1110" i="2"/>
  <c r="U1109" i="2"/>
  <c r="T1109" i="2"/>
  <c r="L1109" i="2"/>
  <c r="K1109" i="2"/>
  <c r="J1109" i="2"/>
  <c r="G1109" i="2"/>
  <c r="F1109" i="2"/>
  <c r="E1109" i="2"/>
  <c r="B1109" i="2"/>
  <c r="A1109" i="2"/>
  <c r="U1108" i="2"/>
  <c r="T1108" i="2"/>
  <c r="L1108" i="2"/>
  <c r="K1108" i="2"/>
  <c r="J1108" i="2"/>
  <c r="G1108" i="2"/>
  <c r="F1108" i="2"/>
  <c r="E1108" i="2"/>
  <c r="B1108" i="2"/>
  <c r="A1108" i="2"/>
  <c r="U1107" i="2"/>
  <c r="T1107" i="2"/>
  <c r="L1107" i="2"/>
  <c r="K1107" i="2"/>
  <c r="J1107" i="2"/>
  <c r="G1107" i="2"/>
  <c r="F1107" i="2"/>
  <c r="E1107" i="2"/>
  <c r="B1107" i="2"/>
  <c r="A1107" i="2"/>
  <c r="U1106" i="2"/>
  <c r="T1106" i="2"/>
  <c r="L1106" i="2"/>
  <c r="K1106" i="2"/>
  <c r="J1106" i="2"/>
  <c r="G1106" i="2"/>
  <c r="F1106" i="2"/>
  <c r="E1106" i="2"/>
  <c r="B1106" i="2"/>
  <c r="A1106" i="2"/>
  <c r="U1105" i="2"/>
  <c r="T1105" i="2"/>
  <c r="L1105" i="2"/>
  <c r="K1105" i="2"/>
  <c r="J1105" i="2"/>
  <c r="G1105" i="2"/>
  <c r="F1105" i="2"/>
  <c r="E1105" i="2"/>
  <c r="B1105" i="2"/>
  <c r="A1105" i="2"/>
  <c r="U1104" i="2"/>
  <c r="T1104" i="2"/>
  <c r="L1104" i="2"/>
  <c r="K1104" i="2"/>
  <c r="J1104" i="2"/>
  <c r="G1104" i="2"/>
  <c r="F1104" i="2"/>
  <c r="E1104" i="2"/>
  <c r="B1104" i="2"/>
  <c r="A1104" i="2"/>
  <c r="U1103" i="2"/>
  <c r="T1103" i="2"/>
  <c r="L1103" i="2"/>
  <c r="K1103" i="2"/>
  <c r="J1103" i="2"/>
  <c r="G1103" i="2"/>
  <c r="F1103" i="2"/>
  <c r="E1103" i="2"/>
  <c r="B1103" i="2"/>
  <c r="A1103" i="2"/>
  <c r="U1102" i="2"/>
  <c r="T1102" i="2"/>
  <c r="L1102" i="2"/>
  <c r="K1102" i="2"/>
  <c r="J1102" i="2"/>
  <c r="G1102" i="2"/>
  <c r="F1102" i="2"/>
  <c r="E1102" i="2"/>
  <c r="B1102" i="2"/>
  <c r="A1102" i="2"/>
  <c r="U1101" i="2"/>
  <c r="T1101" i="2"/>
  <c r="L1101" i="2"/>
  <c r="K1101" i="2"/>
  <c r="J1101" i="2"/>
  <c r="G1101" i="2"/>
  <c r="F1101" i="2"/>
  <c r="E1101" i="2"/>
  <c r="B1101" i="2"/>
  <c r="A1101" i="2"/>
  <c r="U1100" i="2"/>
  <c r="T1100" i="2"/>
  <c r="L1100" i="2"/>
  <c r="K1100" i="2"/>
  <c r="J1100" i="2"/>
  <c r="G1100" i="2"/>
  <c r="F1100" i="2"/>
  <c r="E1100" i="2"/>
  <c r="B1100" i="2"/>
  <c r="A1100" i="2"/>
  <c r="U1099" i="2"/>
  <c r="T1099" i="2"/>
  <c r="L1099" i="2"/>
  <c r="K1099" i="2"/>
  <c r="J1099" i="2"/>
  <c r="G1099" i="2"/>
  <c r="F1099" i="2"/>
  <c r="E1099" i="2"/>
  <c r="B1099" i="2"/>
  <c r="A1099" i="2"/>
  <c r="U1098" i="2"/>
  <c r="T1098" i="2"/>
  <c r="L1098" i="2"/>
  <c r="K1098" i="2"/>
  <c r="J1098" i="2"/>
  <c r="G1098" i="2"/>
  <c r="F1098" i="2"/>
  <c r="E1098" i="2"/>
  <c r="B1098" i="2"/>
  <c r="A1098" i="2"/>
  <c r="U1097" i="2"/>
  <c r="T1097" i="2"/>
  <c r="L1097" i="2"/>
  <c r="K1097" i="2"/>
  <c r="J1097" i="2"/>
  <c r="G1097" i="2"/>
  <c r="F1097" i="2"/>
  <c r="E1097" i="2"/>
  <c r="B1097" i="2"/>
  <c r="A1097" i="2"/>
  <c r="U1096" i="2"/>
  <c r="T1096" i="2"/>
  <c r="L1096" i="2"/>
  <c r="K1096" i="2"/>
  <c r="J1096" i="2"/>
  <c r="G1096" i="2"/>
  <c r="F1096" i="2"/>
  <c r="E1096" i="2"/>
  <c r="B1096" i="2"/>
  <c r="A1096" i="2"/>
  <c r="U1095" i="2"/>
  <c r="T1095" i="2"/>
  <c r="L1095" i="2"/>
  <c r="K1095" i="2"/>
  <c r="J1095" i="2"/>
  <c r="G1095" i="2"/>
  <c r="F1095" i="2"/>
  <c r="E1095" i="2"/>
  <c r="B1095" i="2"/>
  <c r="A1095" i="2"/>
  <c r="U1094" i="2"/>
  <c r="T1094" i="2"/>
  <c r="L1094" i="2"/>
  <c r="K1094" i="2"/>
  <c r="J1094" i="2"/>
  <c r="G1094" i="2"/>
  <c r="F1094" i="2"/>
  <c r="E1094" i="2"/>
  <c r="B1094" i="2"/>
  <c r="A1094" i="2"/>
  <c r="U1093" i="2"/>
  <c r="T1093" i="2"/>
  <c r="L1093" i="2"/>
  <c r="K1093" i="2"/>
  <c r="J1093" i="2"/>
  <c r="G1093" i="2"/>
  <c r="F1093" i="2"/>
  <c r="E1093" i="2"/>
  <c r="B1093" i="2"/>
  <c r="A1093" i="2"/>
  <c r="U1092" i="2"/>
  <c r="T1092" i="2"/>
  <c r="L1092" i="2"/>
  <c r="K1092" i="2"/>
  <c r="J1092" i="2"/>
  <c r="G1092" i="2"/>
  <c r="F1092" i="2"/>
  <c r="E1092" i="2"/>
  <c r="B1092" i="2"/>
  <c r="A1092" i="2"/>
  <c r="U1091" i="2"/>
  <c r="T1091" i="2"/>
  <c r="L1091" i="2"/>
  <c r="K1091" i="2"/>
  <c r="J1091" i="2"/>
  <c r="G1091" i="2"/>
  <c r="F1091" i="2"/>
  <c r="E1091" i="2"/>
  <c r="B1091" i="2"/>
  <c r="A1091" i="2"/>
  <c r="U1090" i="2"/>
  <c r="T1090" i="2"/>
  <c r="L1090" i="2"/>
  <c r="K1090" i="2"/>
  <c r="J1090" i="2"/>
  <c r="G1090" i="2"/>
  <c r="F1090" i="2"/>
  <c r="E1090" i="2"/>
  <c r="B1090" i="2"/>
  <c r="A1090" i="2"/>
  <c r="U1089" i="2"/>
  <c r="T1089" i="2"/>
  <c r="L1089" i="2"/>
  <c r="K1089" i="2"/>
  <c r="J1089" i="2"/>
  <c r="G1089" i="2"/>
  <c r="F1089" i="2"/>
  <c r="E1089" i="2"/>
  <c r="B1089" i="2"/>
  <c r="A1089" i="2"/>
  <c r="U1088" i="2"/>
  <c r="T1088" i="2"/>
  <c r="L1088" i="2"/>
  <c r="K1088" i="2"/>
  <c r="J1088" i="2"/>
  <c r="G1088" i="2"/>
  <c r="F1088" i="2"/>
  <c r="E1088" i="2"/>
  <c r="B1088" i="2"/>
  <c r="A1088" i="2"/>
  <c r="U1087" i="2"/>
  <c r="T1087" i="2"/>
  <c r="L1087" i="2"/>
  <c r="K1087" i="2"/>
  <c r="J1087" i="2"/>
  <c r="G1087" i="2"/>
  <c r="F1087" i="2"/>
  <c r="E1087" i="2"/>
  <c r="B1087" i="2"/>
  <c r="A1087" i="2"/>
  <c r="U1086" i="2"/>
  <c r="T1086" i="2"/>
  <c r="L1086" i="2"/>
  <c r="K1086" i="2"/>
  <c r="J1086" i="2"/>
  <c r="G1086" i="2"/>
  <c r="F1086" i="2"/>
  <c r="E1086" i="2"/>
  <c r="B1086" i="2"/>
  <c r="A1086" i="2"/>
  <c r="U1085" i="2"/>
  <c r="T1085" i="2"/>
  <c r="L1085" i="2"/>
  <c r="K1085" i="2"/>
  <c r="J1085" i="2"/>
  <c r="G1085" i="2"/>
  <c r="F1085" i="2"/>
  <c r="E1085" i="2"/>
  <c r="B1085" i="2"/>
  <c r="A1085" i="2"/>
  <c r="U1084" i="2"/>
  <c r="T1084" i="2"/>
  <c r="L1084" i="2"/>
  <c r="K1084" i="2"/>
  <c r="J1084" i="2"/>
  <c r="G1084" i="2"/>
  <c r="F1084" i="2"/>
  <c r="E1084" i="2"/>
  <c r="B1084" i="2"/>
  <c r="A1084" i="2"/>
  <c r="U1083" i="2"/>
  <c r="T1083" i="2"/>
  <c r="L1083" i="2"/>
  <c r="K1083" i="2"/>
  <c r="J1083" i="2"/>
  <c r="G1083" i="2"/>
  <c r="F1083" i="2"/>
  <c r="E1083" i="2"/>
  <c r="B1083" i="2"/>
  <c r="A1083" i="2"/>
  <c r="U1082" i="2"/>
  <c r="T1082" i="2"/>
  <c r="L1082" i="2"/>
  <c r="K1082" i="2"/>
  <c r="J1082" i="2"/>
  <c r="G1082" i="2"/>
  <c r="F1082" i="2"/>
  <c r="E1082" i="2"/>
  <c r="B1082" i="2"/>
  <c r="A1082" i="2"/>
  <c r="U1081" i="2"/>
  <c r="T1081" i="2"/>
  <c r="L1081" i="2"/>
  <c r="K1081" i="2"/>
  <c r="J1081" i="2"/>
  <c r="G1081" i="2"/>
  <c r="F1081" i="2"/>
  <c r="E1081" i="2"/>
  <c r="B1081" i="2"/>
  <c r="A1081" i="2"/>
  <c r="U1080" i="2"/>
  <c r="T1080" i="2"/>
  <c r="L1080" i="2"/>
  <c r="K1080" i="2"/>
  <c r="J1080" i="2"/>
  <c r="G1080" i="2"/>
  <c r="F1080" i="2"/>
  <c r="E1080" i="2"/>
  <c r="B1080" i="2"/>
  <c r="A1080" i="2"/>
  <c r="U1079" i="2"/>
  <c r="T1079" i="2"/>
  <c r="L1079" i="2"/>
  <c r="K1079" i="2"/>
  <c r="J1079" i="2"/>
  <c r="G1079" i="2"/>
  <c r="F1079" i="2"/>
  <c r="E1079" i="2"/>
  <c r="B1079" i="2"/>
  <c r="A1079" i="2"/>
  <c r="U1078" i="2"/>
  <c r="T1078" i="2"/>
  <c r="L1078" i="2"/>
  <c r="K1078" i="2"/>
  <c r="J1078" i="2"/>
  <c r="G1078" i="2"/>
  <c r="F1078" i="2"/>
  <c r="E1078" i="2"/>
  <c r="B1078" i="2"/>
  <c r="A1078" i="2"/>
  <c r="U1077" i="2"/>
  <c r="T1077" i="2"/>
  <c r="L1077" i="2"/>
  <c r="K1077" i="2"/>
  <c r="J1077" i="2"/>
  <c r="G1077" i="2"/>
  <c r="F1077" i="2"/>
  <c r="E1077" i="2"/>
  <c r="B1077" i="2"/>
  <c r="A1077" i="2"/>
  <c r="U1076" i="2"/>
  <c r="T1076" i="2"/>
  <c r="L1076" i="2"/>
  <c r="K1076" i="2"/>
  <c r="J1076" i="2"/>
  <c r="G1076" i="2"/>
  <c r="F1076" i="2"/>
  <c r="E1076" i="2"/>
  <c r="B1076" i="2"/>
  <c r="A1076" i="2"/>
  <c r="U1075" i="2"/>
  <c r="T1075" i="2"/>
  <c r="L1075" i="2"/>
  <c r="K1075" i="2"/>
  <c r="J1075" i="2"/>
  <c r="G1075" i="2"/>
  <c r="F1075" i="2"/>
  <c r="E1075" i="2"/>
  <c r="B1075" i="2"/>
  <c r="A1075" i="2"/>
  <c r="U1074" i="2"/>
  <c r="T1074" i="2"/>
  <c r="L1074" i="2"/>
  <c r="K1074" i="2"/>
  <c r="J1074" i="2"/>
  <c r="G1074" i="2"/>
  <c r="F1074" i="2"/>
  <c r="E1074" i="2"/>
  <c r="B1074" i="2"/>
  <c r="A1074" i="2"/>
  <c r="U1073" i="2"/>
  <c r="T1073" i="2"/>
  <c r="L1073" i="2"/>
  <c r="K1073" i="2"/>
  <c r="J1073" i="2"/>
  <c r="G1073" i="2"/>
  <c r="F1073" i="2"/>
  <c r="E1073" i="2"/>
  <c r="B1073" i="2"/>
  <c r="A1073" i="2"/>
  <c r="U1072" i="2"/>
  <c r="T1072" i="2"/>
  <c r="L1072" i="2"/>
  <c r="K1072" i="2"/>
  <c r="J1072" i="2"/>
  <c r="G1072" i="2"/>
  <c r="F1072" i="2"/>
  <c r="E1072" i="2"/>
  <c r="B1072" i="2"/>
  <c r="A1072" i="2"/>
  <c r="U1071" i="2"/>
  <c r="T1071" i="2"/>
  <c r="L1071" i="2"/>
  <c r="K1071" i="2"/>
  <c r="J1071" i="2"/>
  <c r="G1071" i="2"/>
  <c r="F1071" i="2"/>
  <c r="E1071" i="2"/>
  <c r="B1071" i="2"/>
  <c r="A1071" i="2"/>
  <c r="U1070" i="2"/>
  <c r="T1070" i="2"/>
  <c r="L1070" i="2"/>
  <c r="K1070" i="2"/>
  <c r="J1070" i="2"/>
  <c r="G1070" i="2"/>
  <c r="F1070" i="2"/>
  <c r="E1070" i="2"/>
  <c r="B1070" i="2"/>
  <c r="A1070" i="2"/>
  <c r="U1069" i="2"/>
  <c r="T1069" i="2"/>
  <c r="L1069" i="2"/>
  <c r="K1069" i="2"/>
  <c r="J1069" i="2"/>
  <c r="G1069" i="2"/>
  <c r="F1069" i="2"/>
  <c r="E1069" i="2"/>
  <c r="B1069" i="2"/>
  <c r="A1069" i="2"/>
  <c r="U1068" i="2"/>
  <c r="T1068" i="2"/>
  <c r="L1068" i="2"/>
  <c r="K1068" i="2"/>
  <c r="J1068" i="2"/>
  <c r="G1068" i="2"/>
  <c r="F1068" i="2"/>
  <c r="E1068" i="2"/>
  <c r="B1068" i="2"/>
  <c r="A1068" i="2"/>
  <c r="U1067" i="2"/>
  <c r="T1067" i="2"/>
  <c r="L1067" i="2"/>
  <c r="K1067" i="2"/>
  <c r="J1067" i="2"/>
  <c r="G1067" i="2"/>
  <c r="F1067" i="2"/>
  <c r="E1067" i="2"/>
  <c r="B1067" i="2"/>
  <c r="A1067" i="2"/>
  <c r="U1066" i="2"/>
  <c r="T1066" i="2"/>
  <c r="L1066" i="2"/>
  <c r="K1066" i="2"/>
  <c r="J1066" i="2"/>
  <c r="G1066" i="2"/>
  <c r="F1066" i="2"/>
  <c r="E1066" i="2"/>
  <c r="B1066" i="2"/>
  <c r="A1066" i="2"/>
  <c r="U1065" i="2"/>
  <c r="T1065" i="2"/>
  <c r="L1065" i="2"/>
  <c r="K1065" i="2"/>
  <c r="J1065" i="2"/>
  <c r="G1065" i="2"/>
  <c r="F1065" i="2"/>
  <c r="E1065" i="2"/>
  <c r="B1065" i="2"/>
  <c r="A1065" i="2"/>
  <c r="U1064" i="2"/>
  <c r="T1064" i="2"/>
  <c r="L1064" i="2"/>
  <c r="K1064" i="2"/>
  <c r="J1064" i="2"/>
  <c r="G1064" i="2"/>
  <c r="F1064" i="2"/>
  <c r="E1064" i="2"/>
  <c r="B1064" i="2"/>
  <c r="A1064" i="2"/>
  <c r="U1063" i="2"/>
  <c r="T1063" i="2"/>
  <c r="L1063" i="2"/>
  <c r="K1063" i="2"/>
  <c r="J1063" i="2"/>
  <c r="G1063" i="2"/>
  <c r="F1063" i="2"/>
  <c r="E1063" i="2"/>
  <c r="B1063" i="2"/>
  <c r="A1063" i="2"/>
  <c r="U1062" i="2"/>
  <c r="T1062" i="2"/>
  <c r="L1062" i="2"/>
  <c r="K1062" i="2"/>
  <c r="J1062" i="2"/>
  <c r="G1062" i="2"/>
  <c r="F1062" i="2"/>
  <c r="E1062" i="2"/>
  <c r="B1062" i="2"/>
  <c r="A1062" i="2"/>
  <c r="U1061" i="2"/>
  <c r="T1061" i="2"/>
  <c r="L1061" i="2"/>
  <c r="K1061" i="2"/>
  <c r="J1061" i="2"/>
  <c r="G1061" i="2"/>
  <c r="F1061" i="2"/>
  <c r="E1061" i="2"/>
  <c r="B1061" i="2"/>
  <c r="A1061" i="2"/>
  <c r="U1060" i="2"/>
  <c r="T1060" i="2"/>
  <c r="L1060" i="2"/>
  <c r="K1060" i="2"/>
  <c r="J1060" i="2"/>
  <c r="G1060" i="2"/>
  <c r="F1060" i="2"/>
  <c r="E1060" i="2"/>
  <c r="B1060" i="2"/>
  <c r="A1060" i="2"/>
  <c r="U1059" i="2"/>
  <c r="T1059" i="2"/>
  <c r="L1059" i="2"/>
  <c r="K1059" i="2"/>
  <c r="J1059" i="2"/>
  <c r="G1059" i="2"/>
  <c r="F1059" i="2"/>
  <c r="E1059" i="2"/>
  <c r="B1059" i="2"/>
  <c r="A1059" i="2"/>
  <c r="U1058" i="2"/>
  <c r="T1058" i="2"/>
  <c r="L1058" i="2"/>
  <c r="K1058" i="2"/>
  <c r="J1058" i="2"/>
  <c r="G1058" i="2"/>
  <c r="F1058" i="2"/>
  <c r="E1058" i="2"/>
  <c r="B1058" i="2"/>
  <c r="A1058" i="2"/>
  <c r="U1057" i="2"/>
  <c r="T1057" i="2"/>
  <c r="L1057" i="2"/>
  <c r="K1057" i="2"/>
  <c r="J1057" i="2"/>
  <c r="G1057" i="2"/>
  <c r="F1057" i="2"/>
  <c r="E1057" i="2"/>
  <c r="B1057" i="2"/>
  <c r="A1057" i="2"/>
  <c r="U1056" i="2"/>
  <c r="T1056" i="2"/>
  <c r="L1056" i="2"/>
  <c r="K1056" i="2"/>
  <c r="J1056" i="2"/>
  <c r="G1056" i="2"/>
  <c r="F1056" i="2"/>
  <c r="E1056" i="2"/>
  <c r="B1056" i="2"/>
  <c r="A1056" i="2"/>
  <c r="U1055" i="2"/>
  <c r="T1055" i="2"/>
  <c r="L1055" i="2"/>
  <c r="K1055" i="2"/>
  <c r="J1055" i="2"/>
  <c r="G1055" i="2"/>
  <c r="F1055" i="2"/>
  <c r="E1055" i="2"/>
  <c r="B1055" i="2"/>
  <c r="A1055" i="2"/>
  <c r="U1054" i="2"/>
  <c r="T1054" i="2"/>
  <c r="L1054" i="2"/>
  <c r="K1054" i="2"/>
  <c r="J1054" i="2"/>
  <c r="G1054" i="2"/>
  <c r="F1054" i="2"/>
  <c r="E1054" i="2"/>
  <c r="B1054" i="2"/>
  <c r="A1054" i="2"/>
  <c r="U1053" i="2"/>
  <c r="T1053" i="2"/>
  <c r="L1053" i="2"/>
  <c r="K1053" i="2"/>
  <c r="J1053" i="2"/>
  <c r="G1053" i="2"/>
  <c r="F1053" i="2"/>
  <c r="E1053" i="2"/>
  <c r="B1053" i="2"/>
  <c r="A1053" i="2"/>
  <c r="U1052" i="2"/>
  <c r="T1052" i="2"/>
  <c r="L1052" i="2"/>
  <c r="K1052" i="2"/>
  <c r="J1052" i="2"/>
  <c r="G1052" i="2"/>
  <c r="F1052" i="2"/>
  <c r="E1052" i="2"/>
  <c r="B1052" i="2"/>
  <c r="A1052" i="2"/>
  <c r="U1051" i="2"/>
  <c r="T1051" i="2"/>
  <c r="L1051" i="2"/>
  <c r="K1051" i="2"/>
  <c r="J1051" i="2"/>
  <c r="G1051" i="2"/>
  <c r="F1051" i="2"/>
  <c r="E1051" i="2"/>
  <c r="B1051" i="2"/>
  <c r="A1051" i="2"/>
  <c r="U1050" i="2"/>
  <c r="T1050" i="2"/>
  <c r="L1050" i="2"/>
  <c r="K1050" i="2"/>
  <c r="J1050" i="2"/>
  <c r="G1050" i="2"/>
  <c r="F1050" i="2"/>
  <c r="E1050" i="2"/>
  <c r="B1050" i="2"/>
  <c r="A1050" i="2"/>
  <c r="U1049" i="2"/>
  <c r="T1049" i="2"/>
  <c r="L1049" i="2"/>
  <c r="K1049" i="2"/>
  <c r="J1049" i="2"/>
  <c r="G1049" i="2"/>
  <c r="F1049" i="2"/>
  <c r="E1049" i="2"/>
  <c r="B1049" i="2"/>
  <c r="A1049" i="2"/>
  <c r="U1048" i="2"/>
  <c r="T1048" i="2"/>
  <c r="L1048" i="2"/>
  <c r="K1048" i="2"/>
  <c r="J1048" i="2"/>
  <c r="G1048" i="2"/>
  <c r="F1048" i="2"/>
  <c r="E1048" i="2"/>
  <c r="B1048" i="2"/>
  <c r="A1048" i="2"/>
  <c r="U1047" i="2"/>
  <c r="T1047" i="2"/>
  <c r="L1047" i="2"/>
  <c r="K1047" i="2"/>
  <c r="J1047" i="2"/>
  <c r="G1047" i="2"/>
  <c r="F1047" i="2"/>
  <c r="E1047" i="2"/>
  <c r="B1047" i="2"/>
  <c r="A1047" i="2"/>
  <c r="U1046" i="2"/>
  <c r="T1046" i="2"/>
  <c r="L1046" i="2"/>
  <c r="K1046" i="2"/>
  <c r="J1046" i="2"/>
  <c r="G1046" i="2"/>
  <c r="F1046" i="2"/>
  <c r="E1046" i="2"/>
  <c r="B1046" i="2"/>
  <c r="A1046" i="2"/>
  <c r="U1045" i="2"/>
  <c r="T1045" i="2"/>
  <c r="L1045" i="2"/>
  <c r="K1045" i="2"/>
  <c r="J1045" i="2"/>
  <c r="G1045" i="2"/>
  <c r="F1045" i="2"/>
  <c r="E1045" i="2"/>
  <c r="B1045" i="2"/>
  <c r="A1045" i="2"/>
  <c r="U1044" i="2"/>
  <c r="T1044" i="2"/>
  <c r="L1044" i="2"/>
  <c r="K1044" i="2"/>
  <c r="J1044" i="2"/>
  <c r="G1044" i="2"/>
  <c r="F1044" i="2"/>
  <c r="E1044" i="2"/>
  <c r="B1044" i="2"/>
  <c r="A1044" i="2"/>
  <c r="U1043" i="2"/>
  <c r="T1043" i="2"/>
  <c r="L1043" i="2"/>
  <c r="K1043" i="2"/>
  <c r="J1043" i="2"/>
  <c r="G1043" i="2"/>
  <c r="F1043" i="2"/>
  <c r="E1043" i="2"/>
  <c r="B1043" i="2"/>
  <c r="A1043" i="2"/>
  <c r="U1042" i="2"/>
  <c r="T1042" i="2"/>
  <c r="L1042" i="2"/>
  <c r="K1042" i="2"/>
  <c r="J1042" i="2"/>
  <c r="G1042" i="2"/>
  <c r="F1042" i="2"/>
  <c r="E1042" i="2"/>
  <c r="B1042" i="2"/>
  <c r="A1042" i="2"/>
  <c r="U1041" i="2"/>
  <c r="T1041" i="2"/>
  <c r="L1041" i="2"/>
  <c r="K1041" i="2"/>
  <c r="J1041" i="2"/>
  <c r="G1041" i="2"/>
  <c r="F1041" i="2"/>
  <c r="E1041" i="2"/>
  <c r="B1041" i="2"/>
  <c r="A1041" i="2"/>
  <c r="U1040" i="2"/>
  <c r="T1040" i="2"/>
  <c r="L1040" i="2"/>
  <c r="K1040" i="2"/>
  <c r="J1040" i="2"/>
  <c r="G1040" i="2"/>
  <c r="F1040" i="2"/>
  <c r="E1040" i="2"/>
  <c r="B1040" i="2"/>
  <c r="A1040" i="2"/>
  <c r="U1039" i="2"/>
  <c r="T1039" i="2"/>
  <c r="L1039" i="2"/>
  <c r="K1039" i="2"/>
  <c r="J1039" i="2"/>
  <c r="G1039" i="2"/>
  <c r="F1039" i="2"/>
  <c r="E1039" i="2"/>
  <c r="B1039" i="2"/>
  <c r="A1039" i="2"/>
  <c r="U1038" i="2"/>
  <c r="T1038" i="2"/>
  <c r="L1038" i="2"/>
  <c r="K1038" i="2"/>
  <c r="J1038" i="2"/>
  <c r="G1038" i="2"/>
  <c r="F1038" i="2"/>
  <c r="E1038" i="2"/>
  <c r="B1038" i="2"/>
  <c r="A1038" i="2"/>
  <c r="U1037" i="2"/>
  <c r="T1037" i="2"/>
  <c r="L1037" i="2"/>
  <c r="K1037" i="2"/>
  <c r="J1037" i="2"/>
  <c r="G1037" i="2"/>
  <c r="F1037" i="2"/>
  <c r="E1037" i="2"/>
  <c r="B1037" i="2"/>
  <c r="A1037" i="2"/>
  <c r="U1036" i="2"/>
  <c r="T1036" i="2"/>
  <c r="L1036" i="2"/>
  <c r="K1036" i="2"/>
  <c r="J1036" i="2"/>
  <c r="G1036" i="2"/>
  <c r="F1036" i="2"/>
  <c r="E1036" i="2"/>
  <c r="B1036" i="2"/>
  <c r="A1036" i="2"/>
  <c r="U1035" i="2"/>
  <c r="T1035" i="2"/>
  <c r="L1035" i="2"/>
  <c r="K1035" i="2"/>
  <c r="J1035" i="2"/>
  <c r="G1035" i="2"/>
  <c r="F1035" i="2"/>
  <c r="E1035" i="2"/>
  <c r="B1035" i="2"/>
  <c r="A1035" i="2"/>
  <c r="U1034" i="2"/>
  <c r="T1034" i="2"/>
  <c r="L1034" i="2"/>
  <c r="K1034" i="2"/>
  <c r="J1034" i="2"/>
  <c r="G1034" i="2"/>
  <c r="F1034" i="2"/>
  <c r="E1034" i="2"/>
  <c r="B1034" i="2"/>
  <c r="A1034" i="2"/>
  <c r="U1033" i="2"/>
  <c r="T1033" i="2"/>
  <c r="L1033" i="2"/>
  <c r="K1033" i="2"/>
  <c r="J1033" i="2"/>
  <c r="G1033" i="2"/>
  <c r="F1033" i="2"/>
  <c r="E1033" i="2"/>
  <c r="B1033" i="2"/>
  <c r="A1033" i="2"/>
  <c r="U1032" i="2"/>
  <c r="T1032" i="2"/>
  <c r="L1032" i="2"/>
  <c r="K1032" i="2"/>
  <c r="J1032" i="2"/>
  <c r="G1032" i="2"/>
  <c r="F1032" i="2"/>
  <c r="E1032" i="2"/>
  <c r="B1032" i="2"/>
  <c r="A1032" i="2"/>
  <c r="U1031" i="2"/>
  <c r="T1031" i="2"/>
  <c r="L1031" i="2"/>
  <c r="K1031" i="2"/>
  <c r="J1031" i="2"/>
  <c r="G1031" i="2"/>
  <c r="F1031" i="2"/>
  <c r="E1031" i="2"/>
  <c r="B1031" i="2"/>
  <c r="A1031" i="2"/>
  <c r="U1030" i="2"/>
  <c r="T1030" i="2"/>
  <c r="L1030" i="2"/>
  <c r="K1030" i="2"/>
  <c r="J1030" i="2"/>
  <c r="G1030" i="2"/>
  <c r="F1030" i="2"/>
  <c r="E1030" i="2"/>
  <c r="B1030" i="2"/>
  <c r="A1030" i="2"/>
  <c r="U1029" i="2"/>
  <c r="T1029" i="2"/>
  <c r="L1029" i="2"/>
  <c r="K1029" i="2"/>
  <c r="J1029" i="2"/>
  <c r="G1029" i="2"/>
  <c r="F1029" i="2"/>
  <c r="E1029" i="2"/>
  <c r="B1029" i="2"/>
  <c r="A1029" i="2"/>
  <c r="U1028" i="2"/>
  <c r="T1028" i="2"/>
  <c r="L1028" i="2"/>
  <c r="K1028" i="2"/>
  <c r="J1028" i="2"/>
  <c r="G1028" i="2"/>
  <c r="F1028" i="2"/>
  <c r="E1028" i="2"/>
  <c r="B1028" i="2"/>
  <c r="A1028" i="2"/>
  <c r="U1027" i="2"/>
  <c r="T1027" i="2"/>
  <c r="L1027" i="2"/>
  <c r="K1027" i="2"/>
  <c r="J1027" i="2"/>
  <c r="G1027" i="2"/>
  <c r="F1027" i="2"/>
  <c r="E1027" i="2"/>
  <c r="B1027" i="2"/>
  <c r="A1027" i="2"/>
  <c r="U1026" i="2"/>
  <c r="T1026" i="2"/>
  <c r="L1026" i="2"/>
  <c r="K1026" i="2"/>
  <c r="J1026" i="2"/>
  <c r="G1026" i="2"/>
  <c r="F1026" i="2"/>
  <c r="E1026" i="2"/>
  <c r="B1026" i="2"/>
  <c r="A1026" i="2"/>
  <c r="U1025" i="2"/>
  <c r="T1025" i="2"/>
  <c r="L1025" i="2"/>
  <c r="K1025" i="2"/>
  <c r="J1025" i="2"/>
  <c r="G1025" i="2"/>
  <c r="F1025" i="2"/>
  <c r="E1025" i="2"/>
  <c r="B1025" i="2"/>
  <c r="A1025" i="2"/>
  <c r="U1024" i="2"/>
  <c r="T1024" i="2"/>
  <c r="L1024" i="2"/>
  <c r="K1024" i="2"/>
  <c r="J1024" i="2"/>
  <c r="G1024" i="2"/>
  <c r="F1024" i="2"/>
  <c r="E1024" i="2"/>
  <c r="B1024" i="2"/>
  <c r="A1024" i="2"/>
  <c r="U1023" i="2"/>
  <c r="T1023" i="2"/>
  <c r="L1023" i="2"/>
  <c r="K1023" i="2"/>
  <c r="J1023" i="2"/>
  <c r="G1023" i="2"/>
  <c r="F1023" i="2"/>
  <c r="E1023" i="2"/>
  <c r="B1023" i="2"/>
  <c r="A1023" i="2"/>
  <c r="U1022" i="2"/>
  <c r="T1022" i="2"/>
  <c r="L1022" i="2"/>
  <c r="K1022" i="2"/>
  <c r="J1022" i="2"/>
  <c r="G1022" i="2"/>
  <c r="F1022" i="2"/>
  <c r="E1022" i="2"/>
  <c r="B1022" i="2"/>
  <c r="A1022" i="2"/>
  <c r="U1021" i="2"/>
  <c r="T1021" i="2"/>
  <c r="L1021" i="2"/>
  <c r="K1021" i="2"/>
  <c r="J1021" i="2"/>
  <c r="G1021" i="2"/>
  <c r="F1021" i="2"/>
  <c r="E1021" i="2"/>
  <c r="B1021" i="2"/>
  <c r="A1021" i="2"/>
  <c r="U1020" i="2"/>
  <c r="T1020" i="2"/>
  <c r="L1020" i="2"/>
  <c r="K1020" i="2"/>
  <c r="J1020" i="2"/>
  <c r="G1020" i="2"/>
  <c r="F1020" i="2"/>
  <c r="E1020" i="2"/>
  <c r="B1020" i="2"/>
  <c r="A1020" i="2"/>
  <c r="U1019" i="2"/>
  <c r="T1019" i="2"/>
  <c r="L1019" i="2"/>
  <c r="K1019" i="2"/>
  <c r="J1019" i="2"/>
  <c r="G1019" i="2"/>
  <c r="F1019" i="2"/>
  <c r="E1019" i="2"/>
  <c r="B1019" i="2"/>
  <c r="A1019" i="2"/>
  <c r="U1018" i="2"/>
  <c r="T1018" i="2"/>
  <c r="L1018" i="2"/>
  <c r="K1018" i="2"/>
  <c r="J1018" i="2"/>
  <c r="G1018" i="2"/>
  <c r="F1018" i="2"/>
  <c r="E1018" i="2"/>
  <c r="B1018" i="2"/>
  <c r="A1018" i="2"/>
  <c r="U1017" i="2"/>
  <c r="T1017" i="2"/>
  <c r="L1017" i="2"/>
  <c r="K1017" i="2"/>
  <c r="J1017" i="2"/>
  <c r="G1017" i="2"/>
  <c r="F1017" i="2"/>
  <c r="E1017" i="2"/>
  <c r="B1017" i="2"/>
  <c r="A1017" i="2"/>
  <c r="U1016" i="2"/>
  <c r="T1016" i="2"/>
  <c r="L1016" i="2"/>
  <c r="K1016" i="2"/>
  <c r="J1016" i="2"/>
  <c r="G1016" i="2"/>
  <c r="F1016" i="2"/>
  <c r="E1016" i="2"/>
  <c r="B1016" i="2"/>
  <c r="A1016" i="2"/>
  <c r="U1015" i="2"/>
  <c r="T1015" i="2"/>
  <c r="L1015" i="2"/>
  <c r="K1015" i="2"/>
  <c r="J1015" i="2"/>
  <c r="G1015" i="2"/>
  <c r="F1015" i="2"/>
  <c r="E1015" i="2"/>
  <c r="B1015" i="2"/>
  <c r="A1015" i="2"/>
  <c r="U1014" i="2"/>
  <c r="T1014" i="2"/>
  <c r="L1014" i="2"/>
  <c r="K1014" i="2"/>
  <c r="J1014" i="2"/>
  <c r="G1014" i="2"/>
  <c r="F1014" i="2"/>
  <c r="E1014" i="2"/>
  <c r="B1014" i="2"/>
  <c r="A1014" i="2"/>
  <c r="U1013" i="2"/>
  <c r="T1013" i="2"/>
  <c r="L1013" i="2"/>
  <c r="K1013" i="2"/>
  <c r="J1013" i="2"/>
  <c r="G1013" i="2"/>
  <c r="F1013" i="2"/>
  <c r="E1013" i="2"/>
  <c r="B1013" i="2"/>
  <c r="A1013" i="2"/>
  <c r="U1012" i="2"/>
  <c r="T1012" i="2"/>
  <c r="L1012" i="2"/>
  <c r="K1012" i="2"/>
  <c r="J1012" i="2"/>
  <c r="G1012" i="2"/>
  <c r="F1012" i="2"/>
  <c r="E1012" i="2"/>
  <c r="B1012" i="2"/>
  <c r="A1012" i="2"/>
  <c r="U1011" i="2"/>
  <c r="T1011" i="2"/>
  <c r="L1011" i="2"/>
  <c r="K1011" i="2"/>
  <c r="J1011" i="2"/>
  <c r="G1011" i="2"/>
  <c r="F1011" i="2"/>
  <c r="E1011" i="2"/>
  <c r="B1011" i="2"/>
  <c r="A1011" i="2"/>
  <c r="U1010" i="2"/>
  <c r="T1010" i="2"/>
  <c r="L1010" i="2"/>
  <c r="K1010" i="2"/>
  <c r="J1010" i="2"/>
  <c r="G1010" i="2"/>
  <c r="F1010" i="2"/>
  <c r="E1010" i="2"/>
  <c r="B1010" i="2"/>
  <c r="A1010" i="2"/>
  <c r="U1009" i="2"/>
  <c r="T1009" i="2"/>
  <c r="L1009" i="2"/>
  <c r="K1009" i="2"/>
  <c r="J1009" i="2"/>
  <c r="G1009" i="2"/>
  <c r="F1009" i="2"/>
  <c r="E1009" i="2"/>
  <c r="B1009" i="2"/>
  <c r="A1009" i="2"/>
  <c r="U1008" i="2"/>
  <c r="T1008" i="2"/>
  <c r="L1008" i="2"/>
  <c r="K1008" i="2"/>
  <c r="J1008" i="2"/>
  <c r="G1008" i="2"/>
  <c r="F1008" i="2"/>
  <c r="E1008" i="2"/>
  <c r="B1008" i="2"/>
  <c r="A1008" i="2"/>
  <c r="U1007" i="2"/>
  <c r="T1007" i="2"/>
  <c r="L1007" i="2"/>
  <c r="K1007" i="2"/>
  <c r="J1007" i="2"/>
  <c r="G1007" i="2"/>
  <c r="F1007" i="2"/>
  <c r="E1007" i="2"/>
  <c r="B1007" i="2"/>
  <c r="A1007" i="2"/>
  <c r="U1006" i="2"/>
  <c r="T1006" i="2"/>
  <c r="L1006" i="2"/>
  <c r="K1006" i="2"/>
  <c r="J1006" i="2"/>
  <c r="G1006" i="2"/>
  <c r="F1006" i="2"/>
  <c r="E1006" i="2"/>
  <c r="B1006" i="2"/>
  <c r="A1006" i="2"/>
  <c r="U1005" i="2"/>
  <c r="T1005" i="2"/>
  <c r="L1005" i="2"/>
  <c r="K1005" i="2"/>
  <c r="J1005" i="2"/>
  <c r="G1005" i="2"/>
  <c r="F1005" i="2"/>
  <c r="E1005" i="2"/>
  <c r="B1005" i="2"/>
  <c r="A1005" i="2"/>
  <c r="U1004" i="2"/>
  <c r="T1004" i="2"/>
  <c r="L1004" i="2"/>
  <c r="K1004" i="2"/>
  <c r="J1004" i="2"/>
  <c r="G1004" i="2"/>
  <c r="F1004" i="2"/>
  <c r="E1004" i="2"/>
  <c r="B1004" i="2"/>
  <c r="A1004" i="2"/>
  <c r="U1003" i="2"/>
  <c r="T1003" i="2"/>
  <c r="L1003" i="2"/>
  <c r="K1003" i="2"/>
  <c r="J1003" i="2"/>
  <c r="G1003" i="2"/>
  <c r="F1003" i="2"/>
  <c r="E1003" i="2"/>
  <c r="B1003" i="2"/>
  <c r="A1003" i="2"/>
  <c r="U1002" i="2"/>
  <c r="T1002" i="2"/>
  <c r="L1002" i="2"/>
  <c r="K1002" i="2"/>
  <c r="J1002" i="2"/>
  <c r="G1002" i="2"/>
  <c r="F1002" i="2"/>
  <c r="E1002" i="2"/>
  <c r="B1002" i="2"/>
  <c r="A1002" i="2"/>
  <c r="U1001" i="2"/>
  <c r="T1001" i="2"/>
  <c r="L1001" i="2"/>
  <c r="K1001" i="2"/>
  <c r="J1001" i="2"/>
  <c r="G1001" i="2"/>
  <c r="F1001" i="2"/>
  <c r="E1001" i="2"/>
  <c r="B1001" i="2"/>
  <c r="A1001" i="2"/>
  <c r="U1000" i="2"/>
  <c r="T1000" i="2"/>
  <c r="L1000" i="2"/>
  <c r="K1000" i="2"/>
  <c r="J1000" i="2"/>
  <c r="G1000" i="2"/>
  <c r="F1000" i="2"/>
  <c r="E1000" i="2"/>
  <c r="B1000" i="2"/>
  <c r="A1000" i="2"/>
  <c r="U999" i="2"/>
  <c r="T999" i="2"/>
  <c r="L999" i="2"/>
  <c r="K999" i="2"/>
  <c r="J999" i="2"/>
  <c r="G999" i="2"/>
  <c r="F999" i="2"/>
  <c r="E999" i="2"/>
  <c r="B999" i="2"/>
  <c r="A999" i="2"/>
  <c r="U998" i="2"/>
  <c r="T998" i="2"/>
  <c r="L998" i="2"/>
  <c r="K998" i="2"/>
  <c r="J998" i="2"/>
  <c r="G998" i="2"/>
  <c r="F998" i="2"/>
  <c r="E998" i="2"/>
  <c r="B998" i="2"/>
  <c r="A998" i="2"/>
  <c r="U997" i="2"/>
  <c r="T997" i="2"/>
  <c r="L997" i="2"/>
  <c r="K997" i="2"/>
  <c r="J997" i="2"/>
  <c r="G997" i="2"/>
  <c r="F997" i="2"/>
  <c r="E997" i="2"/>
  <c r="B997" i="2"/>
  <c r="A997" i="2"/>
  <c r="U996" i="2"/>
  <c r="T996" i="2"/>
  <c r="L996" i="2"/>
  <c r="K996" i="2"/>
  <c r="J996" i="2"/>
  <c r="G996" i="2"/>
  <c r="F996" i="2"/>
  <c r="E996" i="2"/>
  <c r="B996" i="2"/>
  <c r="A996" i="2"/>
  <c r="U995" i="2"/>
  <c r="T995" i="2"/>
  <c r="L995" i="2"/>
  <c r="K995" i="2"/>
  <c r="J995" i="2"/>
  <c r="G995" i="2"/>
  <c r="F995" i="2"/>
  <c r="E995" i="2"/>
  <c r="B995" i="2"/>
  <c r="A995" i="2"/>
  <c r="U994" i="2"/>
  <c r="T994" i="2"/>
  <c r="L994" i="2"/>
  <c r="K994" i="2"/>
  <c r="J994" i="2"/>
  <c r="G994" i="2"/>
  <c r="F994" i="2"/>
  <c r="E994" i="2"/>
  <c r="B994" i="2"/>
  <c r="A994" i="2"/>
  <c r="U993" i="2"/>
  <c r="T993" i="2"/>
  <c r="L993" i="2"/>
  <c r="K993" i="2"/>
  <c r="J993" i="2"/>
  <c r="G993" i="2"/>
  <c r="F993" i="2"/>
  <c r="E993" i="2"/>
  <c r="B993" i="2"/>
  <c r="A993" i="2"/>
  <c r="U992" i="2"/>
  <c r="T992" i="2"/>
  <c r="L992" i="2"/>
  <c r="K992" i="2"/>
  <c r="J992" i="2"/>
  <c r="G992" i="2"/>
  <c r="F992" i="2"/>
  <c r="E992" i="2"/>
  <c r="B992" i="2"/>
  <c r="A992" i="2"/>
  <c r="U991" i="2"/>
  <c r="T991" i="2"/>
  <c r="L991" i="2"/>
  <c r="K991" i="2"/>
  <c r="J991" i="2"/>
  <c r="G991" i="2"/>
  <c r="F991" i="2"/>
  <c r="E991" i="2"/>
  <c r="B991" i="2"/>
  <c r="A991" i="2"/>
  <c r="U990" i="2"/>
  <c r="T990" i="2"/>
  <c r="L990" i="2"/>
  <c r="K990" i="2"/>
  <c r="J990" i="2"/>
  <c r="G990" i="2"/>
  <c r="F990" i="2"/>
  <c r="E990" i="2"/>
  <c r="B990" i="2"/>
  <c r="A990" i="2"/>
  <c r="U989" i="2"/>
  <c r="T989" i="2"/>
  <c r="L989" i="2"/>
  <c r="K989" i="2"/>
  <c r="J989" i="2"/>
  <c r="G989" i="2"/>
  <c r="F989" i="2"/>
  <c r="E989" i="2"/>
  <c r="B989" i="2"/>
  <c r="A989" i="2"/>
  <c r="U988" i="2"/>
  <c r="T988" i="2"/>
  <c r="L988" i="2"/>
  <c r="K988" i="2"/>
  <c r="J988" i="2"/>
  <c r="G988" i="2"/>
  <c r="F988" i="2"/>
  <c r="E988" i="2"/>
  <c r="B988" i="2"/>
  <c r="A988" i="2"/>
  <c r="U987" i="2"/>
  <c r="T987" i="2"/>
  <c r="L987" i="2"/>
  <c r="K987" i="2"/>
  <c r="J987" i="2"/>
  <c r="G987" i="2"/>
  <c r="F987" i="2"/>
  <c r="E987" i="2"/>
  <c r="B987" i="2"/>
  <c r="A987" i="2"/>
  <c r="U986" i="2"/>
  <c r="T986" i="2"/>
  <c r="L986" i="2"/>
  <c r="K986" i="2"/>
  <c r="J986" i="2"/>
  <c r="G986" i="2"/>
  <c r="F986" i="2"/>
  <c r="E986" i="2"/>
  <c r="B986" i="2"/>
  <c r="A986" i="2"/>
  <c r="U985" i="2"/>
  <c r="T985" i="2"/>
  <c r="L985" i="2"/>
  <c r="K985" i="2"/>
  <c r="J985" i="2"/>
  <c r="G985" i="2"/>
  <c r="F985" i="2"/>
  <c r="E985" i="2"/>
  <c r="B985" i="2"/>
  <c r="A985" i="2"/>
  <c r="U984" i="2"/>
  <c r="T984" i="2"/>
  <c r="L984" i="2"/>
  <c r="K984" i="2"/>
  <c r="J984" i="2"/>
  <c r="G984" i="2"/>
  <c r="F984" i="2"/>
  <c r="E984" i="2"/>
  <c r="B984" i="2"/>
  <c r="A984" i="2"/>
  <c r="U983" i="2"/>
  <c r="T983" i="2"/>
  <c r="L983" i="2"/>
  <c r="K983" i="2"/>
  <c r="J983" i="2"/>
  <c r="G983" i="2"/>
  <c r="F983" i="2"/>
  <c r="E983" i="2"/>
  <c r="B983" i="2"/>
  <c r="A983" i="2"/>
  <c r="U982" i="2"/>
  <c r="T982" i="2"/>
  <c r="L982" i="2"/>
  <c r="K982" i="2"/>
  <c r="J982" i="2"/>
  <c r="G982" i="2"/>
  <c r="F982" i="2"/>
  <c r="E982" i="2"/>
  <c r="B982" i="2"/>
  <c r="A982" i="2"/>
  <c r="U981" i="2"/>
  <c r="T981" i="2"/>
  <c r="L981" i="2"/>
  <c r="K981" i="2"/>
  <c r="J981" i="2"/>
  <c r="G981" i="2"/>
  <c r="F981" i="2"/>
  <c r="E981" i="2"/>
  <c r="B981" i="2"/>
  <c r="A981" i="2"/>
  <c r="U980" i="2"/>
  <c r="T980" i="2"/>
  <c r="L980" i="2"/>
  <c r="K980" i="2"/>
  <c r="J980" i="2"/>
  <c r="G980" i="2"/>
  <c r="F980" i="2"/>
  <c r="E980" i="2"/>
  <c r="B980" i="2"/>
  <c r="A980" i="2"/>
  <c r="U979" i="2"/>
  <c r="T979" i="2"/>
  <c r="L979" i="2"/>
  <c r="K979" i="2"/>
  <c r="J979" i="2"/>
  <c r="G979" i="2"/>
  <c r="F979" i="2"/>
  <c r="E979" i="2"/>
  <c r="B979" i="2"/>
  <c r="A979" i="2"/>
  <c r="U978" i="2"/>
  <c r="T978" i="2"/>
  <c r="L978" i="2"/>
  <c r="K978" i="2"/>
  <c r="J978" i="2"/>
  <c r="G978" i="2"/>
  <c r="F978" i="2"/>
  <c r="E978" i="2"/>
  <c r="B978" i="2"/>
  <c r="A978" i="2"/>
  <c r="U977" i="2"/>
  <c r="T977" i="2"/>
  <c r="L977" i="2"/>
  <c r="K977" i="2"/>
  <c r="J977" i="2"/>
  <c r="G977" i="2"/>
  <c r="F977" i="2"/>
  <c r="E977" i="2"/>
  <c r="B977" i="2"/>
  <c r="A977" i="2"/>
  <c r="U976" i="2"/>
  <c r="T976" i="2"/>
  <c r="L976" i="2"/>
  <c r="K976" i="2"/>
  <c r="J976" i="2"/>
  <c r="G976" i="2"/>
  <c r="F976" i="2"/>
  <c r="E976" i="2"/>
  <c r="B976" i="2"/>
  <c r="A976" i="2"/>
  <c r="U975" i="2"/>
  <c r="T975" i="2"/>
  <c r="L975" i="2"/>
  <c r="K975" i="2"/>
  <c r="J975" i="2"/>
  <c r="G975" i="2"/>
  <c r="F975" i="2"/>
  <c r="E975" i="2"/>
  <c r="B975" i="2"/>
  <c r="A975" i="2"/>
  <c r="U974" i="2"/>
  <c r="T974" i="2"/>
  <c r="L974" i="2"/>
  <c r="K974" i="2"/>
  <c r="J974" i="2"/>
  <c r="G974" i="2"/>
  <c r="F974" i="2"/>
  <c r="E974" i="2"/>
  <c r="B974" i="2"/>
  <c r="A974" i="2"/>
  <c r="U973" i="2"/>
  <c r="T973" i="2"/>
  <c r="L973" i="2"/>
  <c r="K973" i="2"/>
  <c r="J973" i="2"/>
  <c r="G973" i="2"/>
  <c r="F973" i="2"/>
  <c r="E973" i="2"/>
  <c r="B973" i="2"/>
  <c r="A973" i="2"/>
  <c r="U972" i="2"/>
  <c r="T972" i="2"/>
  <c r="L972" i="2"/>
  <c r="K972" i="2"/>
  <c r="J972" i="2"/>
  <c r="G972" i="2"/>
  <c r="F972" i="2"/>
  <c r="E972" i="2"/>
  <c r="B972" i="2"/>
  <c r="A972" i="2"/>
  <c r="U971" i="2"/>
  <c r="T971" i="2"/>
  <c r="L971" i="2"/>
  <c r="K971" i="2"/>
  <c r="J971" i="2"/>
  <c r="G971" i="2"/>
  <c r="F971" i="2"/>
  <c r="E971" i="2"/>
  <c r="B971" i="2"/>
  <c r="A971" i="2"/>
  <c r="U970" i="2"/>
  <c r="T970" i="2"/>
  <c r="L970" i="2"/>
  <c r="K970" i="2"/>
  <c r="J970" i="2"/>
  <c r="G970" i="2"/>
  <c r="F970" i="2"/>
  <c r="E970" i="2"/>
  <c r="B970" i="2"/>
  <c r="A970" i="2"/>
  <c r="U969" i="2"/>
  <c r="T969" i="2"/>
  <c r="L969" i="2"/>
  <c r="K969" i="2"/>
  <c r="J969" i="2"/>
  <c r="G969" i="2"/>
  <c r="F969" i="2"/>
  <c r="E969" i="2"/>
  <c r="B969" i="2"/>
  <c r="A969" i="2"/>
  <c r="U968" i="2"/>
  <c r="T968" i="2"/>
  <c r="L968" i="2"/>
  <c r="K968" i="2"/>
  <c r="J968" i="2"/>
  <c r="G968" i="2"/>
  <c r="F968" i="2"/>
  <c r="E968" i="2"/>
  <c r="B968" i="2"/>
  <c r="A968" i="2"/>
  <c r="U967" i="2"/>
  <c r="T967" i="2"/>
  <c r="L967" i="2"/>
  <c r="K967" i="2"/>
  <c r="J967" i="2"/>
  <c r="G967" i="2"/>
  <c r="F967" i="2"/>
  <c r="E967" i="2"/>
  <c r="B967" i="2"/>
  <c r="A967" i="2"/>
  <c r="U966" i="2"/>
  <c r="T966" i="2"/>
  <c r="L966" i="2"/>
  <c r="K966" i="2"/>
  <c r="J966" i="2"/>
  <c r="G966" i="2"/>
  <c r="F966" i="2"/>
  <c r="E966" i="2"/>
  <c r="B966" i="2"/>
  <c r="A966" i="2"/>
  <c r="U965" i="2"/>
  <c r="T965" i="2"/>
  <c r="L965" i="2"/>
  <c r="K965" i="2"/>
  <c r="J965" i="2"/>
  <c r="G965" i="2"/>
  <c r="F965" i="2"/>
  <c r="E965" i="2"/>
  <c r="B965" i="2"/>
  <c r="A965" i="2"/>
  <c r="U964" i="2"/>
  <c r="T964" i="2"/>
  <c r="L964" i="2"/>
  <c r="K964" i="2"/>
  <c r="J964" i="2"/>
  <c r="G964" i="2"/>
  <c r="F964" i="2"/>
  <c r="E964" i="2"/>
  <c r="B964" i="2"/>
  <c r="A964" i="2"/>
  <c r="U963" i="2"/>
  <c r="T963" i="2"/>
  <c r="L963" i="2"/>
  <c r="K963" i="2"/>
  <c r="J963" i="2"/>
  <c r="G963" i="2"/>
  <c r="F963" i="2"/>
  <c r="E963" i="2"/>
  <c r="B963" i="2"/>
  <c r="A963" i="2"/>
  <c r="U962" i="2"/>
  <c r="T962" i="2"/>
  <c r="L962" i="2"/>
  <c r="K962" i="2"/>
  <c r="J962" i="2"/>
  <c r="G962" i="2"/>
  <c r="F962" i="2"/>
  <c r="E962" i="2"/>
  <c r="B962" i="2"/>
  <c r="A962" i="2"/>
  <c r="U961" i="2"/>
  <c r="T961" i="2"/>
  <c r="L961" i="2"/>
  <c r="K961" i="2"/>
  <c r="J961" i="2"/>
  <c r="G961" i="2"/>
  <c r="F961" i="2"/>
  <c r="E961" i="2"/>
  <c r="B961" i="2"/>
  <c r="A961" i="2"/>
  <c r="U960" i="2"/>
  <c r="T960" i="2"/>
  <c r="L960" i="2"/>
  <c r="K960" i="2"/>
  <c r="J960" i="2"/>
  <c r="G960" i="2"/>
  <c r="F960" i="2"/>
  <c r="E960" i="2"/>
  <c r="B960" i="2"/>
  <c r="A960" i="2"/>
  <c r="U959" i="2"/>
  <c r="T959" i="2"/>
  <c r="L959" i="2"/>
  <c r="K959" i="2"/>
  <c r="J959" i="2"/>
  <c r="G959" i="2"/>
  <c r="F959" i="2"/>
  <c r="E959" i="2"/>
  <c r="B959" i="2"/>
  <c r="A959" i="2"/>
  <c r="U958" i="2"/>
  <c r="T958" i="2"/>
  <c r="L958" i="2"/>
  <c r="K958" i="2"/>
  <c r="J958" i="2"/>
  <c r="G958" i="2"/>
  <c r="F958" i="2"/>
  <c r="E958" i="2"/>
  <c r="B958" i="2"/>
  <c r="A958" i="2"/>
  <c r="U957" i="2"/>
  <c r="L957" i="2"/>
  <c r="K957" i="2"/>
  <c r="J957" i="2"/>
  <c r="G957" i="2"/>
  <c r="F957" i="2"/>
  <c r="E957" i="2"/>
  <c r="B957" i="2"/>
  <c r="A957" i="2"/>
  <c r="U956" i="2"/>
  <c r="T956" i="2"/>
  <c r="L956" i="2"/>
  <c r="K956" i="2"/>
  <c r="J956" i="2"/>
  <c r="G956" i="2"/>
  <c r="F956" i="2"/>
  <c r="E956" i="2"/>
  <c r="B956" i="2"/>
  <c r="A956" i="2"/>
  <c r="U955" i="2"/>
  <c r="T955" i="2"/>
  <c r="L955" i="2"/>
  <c r="K955" i="2"/>
  <c r="J955" i="2"/>
  <c r="G955" i="2"/>
  <c r="F955" i="2"/>
  <c r="E955" i="2"/>
  <c r="B955" i="2"/>
  <c r="A955" i="2"/>
  <c r="U954" i="2"/>
  <c r="L954" i="2"/>
  <c r="K954" i="2"/>
  <c r="J954" i="2"/>
  <c r="G954" i="2"/>
  <c r="F954" i="2"/>
  <c r="E954" i="2"/>
  <c r="B954" i="2"/>
  <c r="A954" i="2"/>
  <c r="U953" i="2"/>
  <c r="L953" i="2"/>
  <c r="K953" i="2"/>
  <c r="J953" i="2"/>
  <c r="G953" i="2"/>
  <c r="F953" i="2"/>
  <c r="E953" i="2"/>
  <c r="B953" i="2"/>
  <c r="A953" i="2"/>
  <c r="U952" i="2"/>
  <c r="L952" i="2"/>
  <c r="K952" i="2"/>
  <c r="J952" i="2"/>
  <c r="G952" i="2"/>
  <c r="F952" i="2"/>
  <c r="E952" i="2"/>
  <c r="B952" i="2"/>
  <c r="A952" i="2"/>
  <c r="U951" i="2"/>
  <c r="T951" i="2"/>
  <c r="L951" i="2"/>
  <c r="K951" i="2"/>
  <c r="J951" i="2"/>
  <c r="G951" i="2"/>
  <c r="F951" i="2"/>
  <c r="E951" i="2"/>
  <c r="B951" i="2"/>
  <c r="A951" i="2"/>
  <c r="U950" i="2"/>
  <c r="T950" i="2"/>
  <c r="L950" i="2"/>
  <c r="K950" i="2"/>
  <c r="J950" i="2"/>
  <c r="G950" i="2"/>
  <c r="F950" i="2"/>
  <c r="E950" i="2"/>
  <c r="B950" i="2"/>
  <c r="A950" i="2"/>
  <c r="U949" i="2"/>
  <c r="T949" i="2"/>
  <c r="L949" i="2"/>
  <c r="K949" i="2"/>
  <c r="J949" i="2"/>
  <c r="G949" i="2"/>
  <c r="F949" i="2"/>
  <c r="E949" i="2"/>
  <c r="B949" i="2"/>
  <c r="A949" i="2"/>
  <c r="U948" i="2"/>
  <c r="T948" i="2"/>
  <c r="L948" i="2"/>
  <c r="K948" i="2"/>
  <c r="J948" i="2"/>
  <c r="G948" i="2"/>
  <c r="F948" i="2"/>
  <c r="E948" i="2"/>
  <c r="B948" i="2"/>
  <c r="A948" i="2"/>
  <c r="U947" i="2"/>
  <c r="T947" i="2"/>
  <c r="L947" i="2"/>
  <c r="K947" i="2"/>
  <c r="J947" i="2"/>
  <c r="G947" i="2"/>
  <c r="F947" i="2"/>
  <c r="E947" i="2"/>
  <c r="B947" i="2"/>
  <c r="A947" i="2"/>
  <c r="U946" i="2"/>
  <c r="T946" i="2"/>
  <c r="L946" i="2"/>
  <c r="K946" i="2"/>
  <c r="J946" i="2"/>
  <c r="G946" i="2"/>
  <c r="F946" i="2"/>
  <c r="E946" i="2"/>
  <c r="B946" i="2"/>
  <c r="A946" i="2"/>
  <c r="U945" i="2"/>
  <c r="T945" i="2"/>
  <c r="L945" i="2"/>
  <c r="K945" i="2"/>
  <c r="J945" i="2"/>
  <c r="G945" i="2"/>
  <c r="F945" i="2"/>
  <c r="E945" i="2"/>
  <c r="B945" i="2"/>
  <c r="A945" i="2"/>
  <c r="U944" i="2"/>
  <c r="T944" i="2"/>
  <c r="L944" i="2"/>
  <c r="K944" i="2"/>
  <c r="J944" i="2"/>
  <c r="G944" i="2"/>
  <c r="F944" i="2"/>
  <c r="E944" i="2"/>
  <c r="B944" i="2"/>
  <c r="A944" i="2"/>
  <c r="U943" i="2"/>
  <c r="T943" i="2"/>
  <c r="L943" i="2"/>
  <c r="K943" i="2"/>
  <c r="J943" i="2"/>
  <c r="G943" i="2"/>
  <c r="F943" i="2"/>
  <c r="E943" i="2"/>
  <c r="B943" i="2"/>
  <c r="A943" i="2"/>
  <c r="U942" i="2"/>
  <c r="T942" i="2"/>
  <c r="L942" i="2"/>
  <c r="K942" i="2"/>
  <c r="J942" i="2"/>
  <c r="G942" i="2"/>
  <c r="F942" i="2"/>
  <c r="E942" i="2"/>
  <c r="B942" i="2"/>
  <c r="A942" i="2"/>
  <c r="U941" i="2"/>
  <c r="T941" i="2"/>
  <c r="L941" i="2"/>
  <c r="K941" i="2"/>
  <c r="J941" i="2"/>
  <c r="G941" i="2"/>
  <c r="F941" i="2"/>
  <c r="E941" i="2"/>
  <c r="B941" i="2"/>
  <c r="A941" i="2"/>
  <c r="U940" i="2"/>
  <c r="T940" i="2"/>
  <c r="L940" i="2"/>
  <c r="K940" i="2"/>
  <c r="J940" i="2"/>
  <c r="G940" i="2"/>
  <c r="F940" i="2"/>
  <c r="E940" i="2"/>
  <c r="B940" i="2"/>
  <c r="A940" i="2"/>
  <c r="U939" i="2"/>
  <c r="T939" i="2"/>
  <c r="L939" i="2"/>
  <c r="K939" i="2"/>
  <c r="J939" i="2"/>
  <c r="G939" i="2"/>
  <c r="F939" i="2"/>
  <c r="E939" i="2"/>
  <c r="B939" i="2"/>
  <c r="A939" i="2"/>
  <c r="U938" i="2"/>
  <c r="T938" i="2"/>
  <c r="L938" i="2"/>
  <c r="K938" i="2"/>
  <c r="J938" i="2"/>
  <c r="G938" i="2"/>
  <c r="F938" i="2"/>
  <c r="E938" i="2"/>
  <c r="B938" i="2"/>
  <c r="A938" i="2"/>
  <c r="U937" i="2"/>
  <c r="T937" i="2"/>
  <c r="L937" i="2"/>
  <c r="K937" i="2"/>
  <c r="J937" i="2"/>
  <c r="G937" i="2"/>
  <c r="F937" i="2"/>
  <c r="E937" i="2"/>
  <c r="B937" i="2"/>
  <c r="A937" i="2"/>
  <c r="U936" i="2"/>
  <c r="T936" i="2"/>
  <c r="L936" i="2"/>
  <c r="K936" i="2"/>
  <c r="J936" i="2"/>
  <c r="G936" i="2"/>
  <c r="F936" i="2"/>
  <c r="E936" i="2"/>
  <c r="B936" i="2"/>
  <c r="A936" i="2"/>
  <c r="U935" i="2"/>
  <c r="T935" i="2"/>
  <c r="L935" i="2"/>
  <c r="K935" i="2"/>
  <c r="J935" i="2"/>
  <c r="G935" i="2"/>
  <c r="F935" i="2"/>
  <c r="E935" i="2"/>
  <c r="B935" i="2"/>
  <c r="A935" i="2"/>
  <c r="U934" i="2"/>
  <c r="T934" i="2"/>
  <c r="L934" i="2"/>
  <c r="K934" i="2"/>
  <c r="J934" i="2"/>
  <c r="G934" i="2"/>
  <c r="F934" i="2"/>
  <c r="E934" i="2"/>
  <c r="B934" i="2"/>
  <c r="A934" i="2"/>
  <c r="U933" i="2"/>
  <c r="T933" i="2"/>
  <c r="L933" i="2"/>
  <c r="K933" i="2"/>
  <c r="J933" i="2"/>
  <c r="G933" i="2"/>
  <c r="F933" i="2"/>
  <c r="E933" i="2"/>
  <c r="B933" i="2"/>
  <c r="A933" i="2"/>
  <c r="U932" i="2"/>
  <c r="T932" i="2"/>
  <c r="L932" i="2"/>
  <c r="K932" i="2"/>
  <c r="J932" i="2"/>
  <c r="G932" i="2"/>
  <c r="F932" i="2"/>
  <c r="E932" i="2"/>
  <c r="B932" i="2"/>
  <c r="A932" i="2"/>
  <c r="U931" i="2"/>
  <c r="T931" i="2"/>
  <c r="L931" i="2"/>
  <c r="K931" i="2"/>
  <c r="J931" i="2"/>
  <c r="G931" i="2"/>
  <c r="F931" i="2"/>
  <c r="E931" i="2"/>
  <c r="B931" i="2"/>
  <c r="A931" i="2"/>
  <c r="U930" i="2"/>
  <c r="T930" i="2"/>
  <c r="L930" i="2"/>
  <c r="K930" i="2"/>
  <c r="J930" i="2"/>
  <c r="G930" i="2"/>
  <c r="F930" i="2"/>
  <c r="E930" i="2"/>
  <c r="B930" i="2"/>
  <c r="A930" i="2"/>
  <c r="U929" i="2"/>
  <c r="T929" i="2"/>
  <c r="L929" i="2"/>
  <c r="K929" i="2"/>
  <c r="J929" i="2"/>
  <c r="G929" i="2"/>
  <c r="F929" i="2"/>
  <c r="E929" i="2"/>
  <c r="B929" i="2"/>
  <c r="A929" i="2"/>
  <c r="U928" i="2"/>
  <c r="T928" i="2"/>
  <c r="L928" i="2"/>
  <c r="K928" i="2"/>
  <c r="J928" i="2"/>
  <c r="G928" i="2"/>
  <c r="F928" i="2"/>
  <c r="E928" i="2"/>
  <c r="B928" i="2"/>
  <c r="A928" i="2"/>
  <c r="U927" i="2"/>
  <c r="T927" i="2"/>
  <c r="L927" i="2"/>
  <c r="K927" i="2"/>
  <c r="J927" i="2"/>
  <c r="G927" i="2"/>
  <c r="F927" i="2"/>
  <c r="E927" i="2"/>
  <c r="B927" i="2"/>
  <c r="A927" i="2"/>
  <c r="U926" i="2"/>
  <c r="T926" i="2"/>
  <c r="L926" i="2"/>
  <c r="K926" i="2"/>
  <c r="J926" i="2"/>
  <c r="G926" i="2"/>
  <c r="F926" i="2"/>
  <c r="E926" i="2"/>
  <c r="B926" i="2"/>
  <c r="A926" i="2"/>
  <c r="U925" i="2"/>
  <c r="T925" i="2"/>
  <c r="L925" i="2"/>
  <c r="K925" i="2"/>
  <c r="J925" i="2"/>
  <c r="G925" i="2"/>
  <c r="F925" i="2"/>
  <c r="E925" i="2"/>
  <c r="B925" i="2"/>
  <c r="A925" i="2"/>
  <c r="U924" i="2"/>
  <c r="T924" i="2"/>
  <c r="L924" i="2"/>
  <c r="K924" i="2"/>
  <c r="J924" i="2"/>
  <c r="G924" i="2"/>
  <c r="F924" i="2"/>
  <c r="E924" i="2"/>
  <c r="B924" i="2"/>
  <c r="A924" i="2"/>
  <c r="U923" i="2"/>
  <c r="T923" i="2"/>
  <c r="L923" i="2"/>
  <c r="K923" i="2"/>
  <c r="J923" i="2"/>
  <c r="G923" i="2"/>
  <c r="F923" i="2"/>
  <c r="E923" i="2"/>
  <c r="B923" i="2"/>
  <c r="A923" i="2"/>
  <c r="U922" i="2"/>
  <c r="T922" i="2"/>
  <c r="L922" i="2"/>
  <c r="K922" i="2"/>
  <c r="J922" i="2"/>
  <c r="G922" i="2"/>
  <c r="F922" i="2"/>
  <c r="E922" i="2"/>
  <c r="B922" i="2"/>
  <c r="A922" i="2"/>
  <c r="U921" i="2"/>
  <c r="T921" i="2"/>
  <c r="L921" i="2"/>
  <c r="K921" i="2"/>
  <c r="J921" i="2"/>
  <c r="G921" i="2"/>
  <c r="F921" i="2"/>
  <c r="E921" i="2"/>
  <c r="B921" i="2"/>
  <c r="A921" i="2"/>
  <c r="U920" i="2"/>
  <c r="T920" i="2"/>
  <c r="L920" i="2"/>
  <c r="K920" i="2"/>
  <c r="J920" i="2"/>
  <c r="G920" i="2"/>
  <c r="F920" i="2"/>
  <c r="E920" i="2"/>
  <c r="B920" i="2"/>
  <c r="A920" i="2"/>
  <c r="U919" i="2"/>
  <c r="T919" i="2"/>
  <c r="L919" i="2"/>
  <c r="K919" i="2"/>
  <c r="J919" i="2"/>
  <c r="G919" i="2"/>
  <c r="F919" i="2"/>
  <c r="E919" i="2"/>
  <c r="B919" i="2"/>
  <c r="A919" i="2"/>
  <c r="U918" i="2"/>
  <c r="T918" i="2"/>
  <c r="L918" i="2"/>
  <c r="K918" i="2"/>
  <c r="J918" i="2"/>
  <c r="G918" i="2"/>
  <c r="F918" i="2"/>
  <c r="E918" i="2"/>
  <c r="B918" i="2"/>
  <c r="A918" i="2"/>
  <c r="U917" i="2"/>
  <c r="T917" i="2"/>
  <c r="L917" i="2"/>
  <c r="K917" i="2"/>
  <c r="J917" i="2"/>
  <c r="G917" i="2"/>
  <c r="F917" i="2"/>
  <c r="E917" i="2"/>
  <c r="B917" i="2"/>
  <c r="A917" i="2"/>
  <c r="U916" i="2"/>
  <c r="T916" i="2"/>
  <c r="L916" i="2"/>
  <c r="K916" i="2"/>
  <c r="J916" i="2"/>
  <c r="G916" i="2"/>
  <c r="F916" i="2"/>
  <c r="E916" i="2"/>
  <c r="B916" i="2"/>
  <c r="A916" i="2"/>
  <c r="U915" i="2"/>
  <c r="T915" i="2"/>
  <c r="L915" i="2"/>
  <c r="K915" i="2"/>
  <c r="J915" i="2"/>
  <c r="G915" i="2"/>
  <c r="F915" i="2"/>
  <c r="E915" i="2"/>
  <c r="B915" i="2"/>
  <c r="A915" i="2"/>
  <c r="U914" i="2"/>
  <c r="T914" i="2"/>
  <c r="L914" i="2"/>
  <c r="K914" i="2"/>
  <c r="J914" i="2"/>
  <c r="G914" i="2"/>
  <c r="F914" i="2"/>
  <c r="E914" i="2"/>
  <c r="B914" i="2"/>
  <c r="A914" i="2"/>
  <c r="U913" i="2"/>
  <c r="T913" i="2"/>
  <c r="L913" i="2"/>
  <c r="K913" i="2"/>
  <c r="J913" i="2"/>
  <c r="G913" i="2"/>
  <c r="F913" i="2"/>
  <c r="E913" i="2"/>
  <c r="B913" i="2"/>
  <c r="A913" i="2"/>
  <c r="U912" i="2"/>
  <c r="T912" i="2"/>
  <c r="L912" i="2"/>
  <c r="K912" i="2"/>
  <c r="J912" i="2"/>
  <c r="G912" i="2"/>
  <c r="F912" i="2"/>
  <c r="E912" i="2"/>
  <c r="B912" i="2"/>
  <c r="A912" i="2"/>
  <c r="U911" i="2"/>
  <c r="T911" i="2"/>
  <c r="L911" i="2"/>
  <c r="K911" i="2"/>
  <c r="J911" i="2"/>
  <c r="G911" i="2"/>
  <c r="F911" i="2"/>
  <c r="E911" i="2"/>
  <c r="B911" i="2"/>
  <c r="A911" i="2"/>
  <c r="U910" i="2"/>
  <c r="T910" i="2"/>
  <c r="L910" i="2"/>
  <c r="K910" i="2"/>
  <c r="J910" i="2"/>
  <c r="G910" i="2"/>
  <c r="F910" i="2"/>
  <c r="E910" i="2"/>
  <c r="B910" i="2"/>
  <c r="A910" i="2"/>
  <c r="U909" i="2"/>
  <c r="T909" i="2"/>
  <c r="L909" i="2"/>
  <c r="K909" i="2"/>
  <c r="J909" i="2"/>
  <c r="G909" i="2"/>
  <c r="F909" i="2"/>
  <c r="E909" i="2"/>
  <c r="B909" i="2"/>
  <c r="A909" i="2"/>
  <c r="U908" i="2"/>
  <c r="T908" i="2"/>
  <c r="L908" i="2"/>
  <c r="K908" i="2"/>
  <c r="J908" i="2"/>
  <c r="G908" i="2"/>
  <c r="F908" i="2"/>
  <c r="E908" i="2"/>
  <c r="B908" i="2"/>
  <c r="A908" i="2"/>
  <c r="U907" i="2"/>
  <c r="T907" i="2"/>
  <c r="L907" i="2"/>
  <c r="K907" i="2"/>
  <c r="J907" i="2"/>
  <c r="G907" i="2"/>
  <c r="F907" i="2"/>
  <c r="E907" i="2"/>
  <c r="B907" i="2"/>
  <c r="A907" i="2"/>
  <c r="U906" i="2"/>
  <c r="T906" i="2"/>
  <c r="L906" i="2"/>
  <c r="K906" i="2"/>
  <c r="J906" i="2"/>
  <c r="G906" i="2"/>
  <c r="F906" i="2"/>
  <c r="E906" i="2"/>
  <c r="B906" i="2"/>
  <c r="A906" i="2"/>
  <c r="U905" i="2"/>
  <c r="T905" i="2"/>
  <c r="L905" i="2"/>
  <c r="K905" i="2"/>
  <c r="J905" i="2"/>
  <c r="G905" i="2"/>
  <c r="F905" i="2"/>
  <c r="E905" i="2"/>
  <c r="B905" i="2"/>
  <c r="A905" i="2"/>
  <c r="U904" i="2"/>
  <c r="T904" i="2"/>
  <c r="L904" i="2"/>
  <c r="K904" i="2"/>
  <c r="J904" i="2"/>
  <c r="G904" i="2"/>
  <c r="F904" i="2"/>
  <c r="E904" i="2"/>
  <c r="B904" i="2"/>
  <c r="A904" i="2"/>
  <c r="U903" i="2"/>
  <c r="T903" i="2"/>
  <c r="L903" i="2"/>
  <c r="K903" i="2"/>
  <c r="J903" i="2"/>
  <c r="G903" i="2"/>
  <c r="F903" i="2"/>
  <c r="E903" i="2"/>
  <c r="B903" i="2"/>
  <c r="A903" i="2"/>
  <c r="U902" i="2"/>
  <c r="T902" i="2"/>
  <c r="L902" i="2"/>
  <c r="K902" i="2"/>
  <c r="J902" i="2"/>
  <c r="G902" i="2"/>
  <c r="F902" i="2"/>
  <c r="E902" i="2"/>
  <c r="B902" i="2"/>
  <c r="A902" i="2"/>
  <c r="U901" i="2"/>
  <c r="T901" i="2"/>
  <c r="L901" i="2"/>
  <c r="K901" i="2"/>
  <c r="J901" i="2"/>
  <c r="G901" i="2"/>
  <c r="F901" i="2"/>
  <c r="E901" i="2"/>
  <c r="B901" i="2"/>
  <c r="A901" i="2"/>
  <c r="U900" i="2"/>
  <c r="T900" i="2"/>
  <c r="L900" i="2"/>
  <c r="K900" i="2"/>
  <c r="J900" i="2"/>
  <c r="G900" i="2"/>
  <c r="F900" i="2"/>
  <c r="E900" i="2"/>
  <c r="B900" i="2"/>
  <c r="A900" i="2"/>
  <c r="U899" i="2"/>
  <c r="T899" i="2"/>
  <c r="L899" i="2"/>
  <c r="K899" i="2"/>
  <c r="J899" i="2"/>
  <c r="G899" i="2"/>
  <c r="F899" i="2"/>
  <c r="E899" i="2"/>
  <c r="B899" i="2"/>
  <c r="A899" i="2"/>
  <c r="U898" i="2"/>
  <c r="T898" i="2"/>
  <c r="L898" i="2"/>
  <c r="K898" i="2"/>
  <c r="J898" i="2"/>
  <c r="G898" i="2"/>
  <c r="F898" i="2"/>
  <c r="E898" i="2"/>
  <c r="B898" i="2"/>
  <c r="A898" i="2"/>
  <c r="U897" i="2"/>
  <c r="T897" i="2"/>
  <c r="L897" i="2"/>
  <c r="K897" i="2"/>
  <c r="J897" i="2"/>
  <c r="G897" i="2"/>
  <c r="F897" i="2"/>
  <c r="E897" i="2"/>
  <c r="B897" i="2"/>
  <c r="A897" i="2"/>
  <c r="U896" i="2"/>
  <c r="T896" i="2"/>
  <c r="L896" i="2"/>
  <c r="K896" i="2"/>
  <c r="J896" i="2"/>
  <c r="G896" i="2"/>
  <c r="F896" i="2"/>
  <c r="E896" i="2"/>
  <c r="B896" i="2"/>
  <c r="A896" i="2"/>
  <c r="U895" i="2"/>
  <c r="T895" i="2"/>
  <c r="L895" i="2"/>
  <c r="K895" i="2"/>
  <c r="J895" i="2"/>
  <c r="G895" i="2"/>
  <c r="F895" i="2"/>
  <c r="E895" i="2"/>
  <c r="B895" i="2"/>
  <c r="A895" i="2"/>
  <c r="U894" i="2"/>
  <c r="T894" i="2"/>
  <c r="L894" i="2"/>
  <c r="K894" i="2"/>
  <c r="J894" i="2"/>
  <c r="G894" i="2"/>
  <c r="F894" i="2"/>
  <c r="E894" i="2"/>
  <c r="B894" i="2"/>
  <c r="A894" i="2"/>
  <c r="U893" i="2"/>
  <c r="T893" i="2"/>
  <c r="L893" i="2"/>
  <c r="K893" i="2"/>
  <c r="J893" i="2"/>
  <c r="G893" i="2"/>
  <c r="F893" i="2"/>
  <c r="E893" i="2"/>
  <c r="B893" i="2"/>
  <c r="A893" i="2"/>
  <c r="U892" i="2"/>
  <c r="T892" i="2"/>
  <c r="L892" i="2"/>
  <c r="K892" i="2"/>
  <c r="J892" i="2"/>
  <c r="G892" i="2"/>
  <c r="F892" i="2"/>
  <c r="E892" i="2"/>
  <c r="B892" i="2"/>
  <c r="A892" i="2"/>
  <c r="U891" i="2"/>
  <c r="T891" i="2"/>
  <c r="L891" i="2"/>
  <c r="K891" i="2"/>
  <c r="J891" i="2"/>
  <c r="G891" i="2"/>
  <c r="F891" i="2"/>
  <c r="E891" i="2"/>
  <c r="B891" i="2"/>
  <c r="A891" i="2"/>
  <c r="U890" i="2"/>
  <c r="T890" i="2"/>
  <c r="L890" i="2"/>
  <c r="K890" i="2"/>
  <c r="J890" i="2"/>
  <c r="G890" i="2"/>
  <c r="F890" i="2"/>
  <c r="E890" i="2"/>
  <c r="B890" i="2"/>
  <c r="A890" i="2"/>
  <c r="U889" i="2"/>
  <c r="T889" i="2"/>
  <c r="L889" i="2"/>
  <c r="K889" i="2"/>
  <c r="J889" i="2"/>
  <c r="G889" i="2"/>
  <c r="F889" i="2"/>
  <c r="E889" i="2"/>
  <c r="B889" i="2"/>
  <c r="A889" i="2"/>
  <c r="U888" i="2"/>
  <c r="T888" i="2"/>
  <c r="L888" i="2"/>
  <c r="K888" i="2"/>
  <c r="J888" i="2"/>
  <c r="G888" i="2"/>
  <c r="F888" i="2"/>
  <c r="E888" i="2"/>
  <c r="B888" i="2"/>
  <c r="A888" i="2"/>
  <c r="U887" i="2"/>
  <c r="T887" i="2"/>
  <c r="L887" i="2"/>
  <c r="K887" i="2"/>
  <c r="J887" i="2"/>
  <c r="G887" i="2"/>
  <c r="F887" i="2"/>
  <c r="E887" i="2"/>
  <c r="B887" i="2"/>
  <c r="A887" i="2"/>
  <c r="U886" i="2"/>
  <c r="T886" i="2"/>
  <c r="L886" i="2"/>
  <c r="K886" i="2"/>
  <c r="J886" i="2"/>
  <c r="G886" i="2"/>
  <c r="F886" i="2"/>
  <c r="E886" i="2"/>
  <c r="B886" i="2"/>
  <c r="A886" i="2"/>
  <c r="U885" i="2"/>
  <c r="T885" i="2"/>
  <c r="L885" i="2"/>
  <c r="K885" i="2"/>
  <c r="J885" i="2"/>
  <c r="G885" i="2"/>
  <c r="F885" i="2"/>
  <c r="E885" i="2"/>
  <c r="B885" i="2"/>
  <c r="A885" i="2"/>
  <c r="U884" i="2"/>
  <c r="T884" i="2"/>
  <c r="L884" i="2"/>
  <c r="K884" i="2"/>
  <c r="J884" i="2"/>
  <c r="G884" i="2"/>
  <c r="F884" i="2"/>
  <c r="E884" i="2"/>
  <c r="B884" i="2"/>
  <c r="A884" i="2"/>
  <c r="U883" i="2"/>
  <c r="T883" i="2"/>
  <c r="L883" i="2"/>
  <c r="K883" i="2"/>
  <c r="J883" i="2"/>
  <c r="G883" i="2"/>
  <c r="F883" i="2"/>
  <c r="E883" i="2"/>
  <c r="B883" i="2"/>
  <c r="A883" i="2"/>
  <c r="U882" i="2"/>
  <c r="T882" i="2"/>
  <c r="L882" i="2"/>
  <c r="K882" i="2"/>
  <c r="J882" i="2"/>
  <c r="G882" i="2"/>
  <c r="F882" i="2"/>
  <c r="E882" i="2"/>
  <c r="B882" i="2"/>
  <c r="A882" i="2"/>
  <c r="U881" i="2"/>
  <c r="T881" i="2"/>
  <c r="L881" i="2"/>
  <c r="K881" i="2"/>
  <c r="J881" i="2"/>
  <c r="G881" i="2"/>
  <c r="F881" i="2"/>
  <c r="E881" i="2"/>
  <c r="B881" i="2"/>
  <c r="A881" i="2"/>
  <c r="U880" i="2"/>
  <c r="T880" i="2"/>
  <c r="L880" i="2"/>
  <c r="K880" i="2"/>
  <c r="J880" i="2"/>
  <c r="G880" i="2"/>
  <c r="F880" i="2"/>
  <c r="E880" i="2"/>
  <c r="B880" i="2"/>
  <c r="A880" i="2"/>
  <c r="U879" i="2"/>
  <c r="T879" i="2"/>
  <c r="L879" i="2"/>
  <c r="K879" i="2"/>
  <c r="J879" i="2"/>
  <c r="G879" i="2"/>
  <c r="F879" i="2"/>
  <c r="E879" i="2"/>
  <c r="B879" i="2"/>
  <c r="A879" i="2"/>
  <c r="U878" i="2"/>
  <c r="T878" i="2"/>
  <c r="L878" i="2"/>
  <c r="K878" i="2"/>
  <c r="J878" i="2"/>
  <c r="G878" i="2"/>
  <c r="F878" i="2"/>
  <c r="E878" i="2"/>
  <c r="B878" i="2"/>
  <c r="A878" i="2"/>
  <c r="U877" i="2"/>
  <c r="T877" i="2"/>
  <c r="L877" i="2"/>
  <c r="K877" i="2"/>
  <c r="J877" i="2"/>
  <c r="G877" i="2"/>
  <c r="F877" i="2"/>
  <c r="E877" i="2"/>
  <c r="B877" i="2"/>
  <c r="A877" i="2"/>
  <c r="U876" i="2"/>
  <c r="T876" i="2"/>
  <c r="L876" i="2"/>
  <c r="K876" i="2"/>
  <c r="J876" i="2"/>
  <c r="G876" i="2"/>
  <c r="F876" i="2"/>
  <c r="E876" i="2"/>
  <c r="B876" i="2"/>
  <c r="A876" i="2"/>
  <c r="U875" i="2"/>
  <c r="T875" i="2"/>
  <c r="L875" i="2"/>
  <c r="K875" i="2"/>
  <c r="J875" i="2"/>
  <c r="G875" i="2"/>
  <c r="F875" i="2"/>
  <c r="E875" i="2"/>
  <c r="B875" i="2"/>
  <c r="A875" i="2"/>
  <c r="U874" i="2"/>
  <c r="T874" i="2"/>
  <c r="L874" i="2"/>
  <c r="K874" i="2"/>
  <c r="J874" i="2"/>
  <c r="G874" i="2"/>
  <c r="F874" i="2"/>
  <c r="E874" i="2"/>
  <c r="B874" i="2"/>
  <c r="A874" i="2"/>
  <c r="U873" i="2"/>
  <c r="T873" i="2"/>
  <c r="L873" i="2"/>
  <c r="K873" i="2"/>
  <c r="J873" i="2"/>
  <c r="G873" i="2"/>
  <c r="F873" i="2"/>
  <c r="E873" i="2"/>
  <c r="B873" i="2"/>
  <c r="A873" i="2"/>
  <c r="U872" i="2"/>
  <c r="T872" i="2"/>
  <c r="L872" i="2"/>
  <c r="K872" i="2"/>
  <c r="J872" i="2"/>
  <c r="G872" i="2"/>
  <c r="F872" i="2"/>
  <c r="E872" i="2"/>
  <c r="B872" i="2"/>
  <c r="A872" i="2"/>
  <c r="U871" i="2"/>
  <c r="T871" i="2"/>
  <c r="L871" i="2"/>
  <c r="K871" i="2"/>
  <c r="J871" i="2"/>
  <c r="G871" i="2"/>
  <c r="F871" i="2"/>
  <c r="E871" i="2"/>
  <c r="B871" i="2"/>
  <c r="A871" i="2"/>
  <c r="U870" i="2"/>
  <c r="T870" i="2"/>
  <c r="L870" i="2"/>
  <c r="K870" i="2"/>
  <c r="J870" i="2"/>
  <c r="G870" i="2"/>
  <c r="F870" i="2"/>
  <c r="E870" i="2"/>
  <c r="B870" i="2"/>
  <c r="A870" i="2"/>
  <c r="U869" i="2"/>
  <c r="T869" i="2"/>
  <c r="L869" i="2"/>
  <c r="K869" i="2"/>
  <c r="J869" i="2"/>
  <c r="G869" i="2"/>
  <c r="F869" i="2"/>
  <c r="E869" i="2"/>
  <c r="B869" i="2"/>
  <c r="A869" i="2"/>
  <c r="U868" i="2"/>
  <c r="T868" i="2"/>
  <c r="L868" i="2"/>
  <c r="K868" i="2"/>
  <c r="J868" i="2"/>
  <c r="G868" i="2"/>
  <c r="F868" i="2"/>
  <c r="E868" i="2"/>
  <c r="B868" i="2"/>
  <c r="A868" i="2"/>
  <c r="U867" i="2"/>
  <c r="T867" i="2"/>
  <c r="L867" i="2"/>
  <c r="K867" i="2"/>
  <c r="J867" i="2"/>
  <c r="G867" i="2"/>
  <c r="F867" i="2"/>
  <c r="E867" i="2"/>
  <c r="B867" i="2"/>
  <c r="A867" i="2"/>
  <c r="U866" i="2"/>
  <c r="T866" i="2"/>
  <c r="L866" i="2"/>
  <c r="K866" i="2"/>
  <c r="J866" i="2"/>
  <c r="G866" i="2"/>
  <c r="F866" i="2"/>
  <c r="E866" i="2"/>
  <c r="B866" i="2"/>
  <c r="A866" i="2"/>
  <c r="U865" i="2"/>
  <c r="T865" i="2"/>
  <c r="L865" i="2"/>
  <c r="K865" i="2"/>
  <c r="J865" i="2"/>
  <c r="G865" i="2"/>
  <c r="F865" i="2"/>
  <c r="E865" i="2"/>
  <c r="B865" i="2"/>
  <c r="A865" i="2"/>
  <c r="U864" i="2"/>
  <c r="T864" i="2"/>
  <c r="L864" i="2"/>
  <c r="K864" i="2"/>
  <c r="J864" i="2"/>
  <c r="G864" i="2"/>
  <c r="F864" i="2"/>
  <c r="E864" i="2"/>
  <c r="B864" i="2"/>
  <c r="A864" i="2"/>
  <c r="U863" i="2"/>
  <c r="T863" i="2"/>
  <c r="L863" i="2"/>
  <c r="K863" i="2"/>
  <c r="J863" i="2"/>
  <c r="G863" i="2"/>
  <c r="F863" i="2"/>
  <c r="E863" i="2"/>
  <c r="B863" i="2"/>
  <c r="A863" i="2"/>
  <c r="U862" i="2"/>
  <c r="T862" i="2"/>
  <c r="L862" i="2"/>
  <c r="K862" i="2"/>
  <c r="J862" i="2"/>
  <c r="G862" i="2"/>
  <c r="F862" i="2"/>
  <c r="E862" i="2"/>
  <c r="B862" i="2"/>
  <c r="A862" i="2"/>
  <c r="U861" i="2"/>
  <c r="T861" i="2"/>
  <c r="L861" i="2"/>
  <c r="K861" i="2"/>
  <c r="J861" i="2"/>
  <c r="G861" i="2"/>
  <c r="F861" i="2"/>
  <c r="E861" i="2"/>
  <c r="B861" i="2"/>
  <c r="A861" i="2"/>
  <c r="U860" i="2"/>
  <c r="T860" i="2"/>
  <c r="L860" i="2"/>
  <c r="K860" i="2"/>
  <c r="J860" i="2"/>
  <c r="G860" i="2"/>
  <c r="F860" i="2"/>
  <c r="E860" i="2"/>
  <c r="B860" i="2"/>
  <c r="A860" i="2"/>
  <c r="U859" i="2"/>
  <c r="T859" i="2"/>
  <c r="L859" i="2"/>
  <c r="K859" i="2"/>
  <c r="J859" i="2"/>
  <c r="G859" i="2"/>
  <c r="F859" i="2"/>
  <c r="E859" i="2"/>
  <c r="B859" i="2"/>
  <c r="A859" i="2"/>
  <c r="U858" i="2"/>
  <c r="T858" i="2"/>
  <c r="L858" i="2"/>
  <c r="K858" i="2"/>
  <c r="J858" i="2"/>
  <c r="G858" i="2"/>
  <c r="F858" i="2"/>
  <c r="E858" i="2"/>
  <c r="B858" i="2"/>
  <c r="A858" i="2"/>
  <c r="U857" i="2"/>
  <c r="T857" i="2"/>
  <c r="L857" i="2"/>
  <c r="K857" i="2"/>
  <c r="J857" i="2"/>
  <c r="G857" i="2"/>
  <c r="F857" i="2"/>
  <c r="E857" i="2"/>
  <c r="B857" i="2"/>
  <c r="A857" i="2"/>
  <c r="U856" i="2"/>
  <c r="T856" i="2"/>
  <c r="L856" i="2"/>
  <c r="K856" i="2"/>
  <c r="J856" i="2"/>
  <c r="G856" i="2"/>
  <c r="F856" i="2"/>
  <c r="E856" i="2"/>
  <c r="B856" i="2"/>
  <c r="A856" i="2"/>
  <c r="U855" i="2"/>
  <c r="T855" i="2"/>
  <c r="L855" i="2"/>
  <c r="K855" i="2"/>
  <c r="J855" i="2"/>
  <c r="G855" i="2"/>
  <c r="F855" i="2"/>
  <c r="E855" i="2"/>
  <c r="B855" i="2"/>
  <c r="A855" i="2"/>
  <c r="U854" i="2"/>
  <c r="T854" i="2"/>
  <c r="L854" i="2"/>
  <c r="K854" i="2"/>
  <c r="J854" i="2"/>
  <c r="G854" i="2"/>
  <c r="F854" i="2"/>
  <c r="E854" i="2"/>
  <c r="B854" i="2"/>
  <c r="A854" i="2"/>
  <c r="U853" i="2"/>
  <c r="T853" i="2"/>
  <c r="L853" i="2"/>
  <c r="K853" i="2"/>
  <c r="J853" i="2"/>
  <c r="G853" i="2"/>
  <c r="F853" i="2"/>
  <c r="E853" i="2"/>
  <c r="B853" i="2"/>
  <c r="A853" i="2"/>
  <c r="U852" i="2"/>
  <c r="T852" i="2"/>
  <c r="L852" i="2"/>
  <c r="K852" i="2"/>
  <c r="J852" i="2"/>
  <c r="G852" i="2"/>
  <c r="F852" i="2"/>
  <c r="E852" i="2"/>
  <c r="B852" i="2"/>
  <c r="A852" i="2"/>
  <c r="U851" i="2"/>
  <c r="T851" i="2"/>
  <c r="L851" i="2"/>
  <c r="K851" i="2"/>
  <c r="J851" i="2"/>
  <c r="G851" i="2"/>
  <c r="F851" i="2"/>
  <c r="E851" i="2"/>
  <c r="B851" i="2"/>
  <c r="A851" i="2"/>
  <c r="U850" i="2"/>
  <c r="T850" i="2"/>
  <c r="L850" i="2"/>
  <c r="K850" i="2"/>
  <c r="J850" i="2"/>
  <c r="G850" i="2"/>
  <c r="F850" i="2"/>
  <c r="E850" i="2"/>
  <c r="B850" i="2"/>
  <c r="A850" i="2"/>
  <c r="U849" i="2"/>
  <c r="T849" i="2"/>
  <c r="L849" i="2"/>
  <c r="K849" i="2"/>
  <c r="J849" i="2"/>
  <c r="G849" i="2"/>
  <c r="F849" i="2"/>
  <c r="E849" i="2"/>
  <c r="B849" i="2"/>
  <c r="A849" i="2"/>
  <c r="U848" i="2"/>
  <c r="T848" i="2"/>
  <c r="L848" i="2"/>
  <c r="K848" i="2"/>
  <c r="J848" i="2"/>
  <c r="G848" i="2"/>
  <c r="F848" i="2"/>
  <c r="E848" i="2"/>
  <c r="B848" i="2"/>
  <c r="A848" i="2"/>
  <c r="U847" i="2"/>
  <c r="T847" i="2"/>
  <c r="L847" i="2"/>
  <c r="K847" i="2"/>
  <c r="J847" i="2"/>
  <c r="G847" i="2"/>
  <c r="F847" i="2"/>
  <c r="E847" i="2"/>
  <c r="B847" i="2"/>
  <c r="A847" i="2"/>
  <c r="U846" i="2"/>
  <c r="T846" i="2"/>
  <c r="L846" i="2"/>
  <c r="K846" i="2"/>
  <c r="J846" i="2"/>
  <c r="G846" i="2"/>
  <c r="F846" i="2"/>
  <c r="E846" i="2"/>
  <c r="B846" i="2"/>
  <c r="A846" i="2"/>
  <c r="U845" i="2"/>
  <c r="T845" i="2"/>
  <c r="L845" i="2"/>
  <c r="K845" i="2"/>
  <c r="J845" i="2"/>
  <c r="G845" i="2"/>
  <c r="F845" i="2"/>
  <c r="E845" i="2"/>
  <c r="B845" i="2"/>
  <c r="A845" i="2"/>
  <c r="U844" i="2"/>
  <c r="T844" i="2"/>
  <c r="L844" i="2"/>
  <c r="K844" i="2"/>
  <c r="J844" i="2"/>
  <c r="G844" i="2"/>
  <c r="F844" i="2"/>
  <c r="E844" i="2"/>
  <c r="B844" i="2"/>
  <c r="A844" i="2"/>
  <c r="U843" i="2"/>
  <c r="T843" i="2"/>
  <c r="L843" i="2"/>
  <c r="K843" i="2"/>
  <c r="J843" i="2"/>
  <c r="G843" i="2"/>
  <c r="F843" i="2"/>
  <c r="E843" i="2"/>
  <c r="B843" i="2"/>
  <c r="A843" i="2"/>
  <c r="U842" i="2"/>
  <c r="T842" i="2"/>
  <c r="L842" i="2"/>
  <c r="K842" i="2"/>
  <c r="J842" i="2"/>
  <c r="G842" i="2"/>
  <c r="F842" i="2"/>
  <c r="E842" i="2"/>
  <c r="B842" i="2"/>
  <c r="A842" i="2"/>
  <c r="U841" i="2"/>
  <c r="T841" i="2"/>
  <c r="L841" i="2"/>
  <c r="K841" i="2"/>
  <c r="J841" i="2"/>
  <c r="G841" i="2"/>
  <c r="F841" i="2"/>
  <c r="E841" i="2"/>
  <c r="B841" i="2"/>
  <c r="A841" i="2"/>
  <c r="U840" i="2"/>
  <c r="T840" i="2"/>
  <c r="L840" i="2"/>
  <c r="K840" i="2"/>
  <c r="J840" i="2"/>
  <c r="G840" i="2"/>
  <c r="F840" i="2"/>
  <c r="E840" i="2"/>
  <c r="B840" i="2"/>
  <c r="A840" i="2"/>
  <c r="U839" i="2"/>
  <c r="T839" i="2"/>
  <c r="L839" i="2"/>
  <c r="K839" i="2"/>
  <c r="J839" i="2"/>
  <c r="G839" i="2"/>
  <c r="F839" i="2"/>
  <c r="E839" i="2"/>
  <c r="B839" i="2"/>
  <c r="A839" i="2"/>
  <c r="U838" i="2"/>
  <c r="T838" i="2"/>
  <c r="L838" i="2"/>
  <c r="K838" i="2"/>
  <c r="J838" i="2"/>
  <c r="G838" i="2"/>
  <c r="F838" i="2"/>
  <c r="E838" i="2"/>
  <c r="B838" i="2"/>
  <c r="A838" i="2"/>
  <c r="U837" i="2"/>
  <c r="T837" i="2"/>
  <c r="L837" i="2"/>
  <c r="K837" i="2"/>
  <c r="J837" i="2"/>
  <c r="G837" i="2"/>
  <c r="F837" i="2"/>
  <c r="E837" i="2"/>
  <c r="B837" i="2"/>
  <c r="A837" i="2"/>
  <c r="U836" i="2"/>
  <c r="T836" i="2"/>
  <c r="L836" i="2"/>
  <c r="K836" i="2"/>
  <c r="J836" i="2"/>
  <c r="G836" i="2"/>
  <c r="F836" i="2"/>
  <c r="E836" i="2"/>
  <c r="B836" i="2"/>
  <c r="A836" i="2"/>
  <c r="U835" i="2"/>
  <c r="T835" i="2"/>
  <c r="L835" i="2"/>
  <c r="K835" i="2"/>
  <c r="J835" i="2"/>
  <c r="G835" i="2"/>
  <c r="F835" i="2"/>
  <c r="E835" i="2"/>
  <c r="B835" i="2"/>
  <c r="A835" i="2"/>
  <c r="U834" i="2"/>
  <c r="T834" i="2"/>
  <c r="L834" i="2"/>
  <c r="K834" i="2"/>
  <c r="J834" i="2"/>
  <c r="G834" i="2"/>
  <c r="F834" i="2"/>
  <c r="E834" i="2"/>
  <c r="B834" i="2"/>
  <c r="A834" i="2"/>
  <c r="U833" i="2"/>
  <c r="T833" i="2"/>
  <c r="L833" i="2"/>
  <c r="K833" i="2"/>
  <c r="J833" i="2"/>
  <c r="G833" i="2"/>
  <c r="F833" i="2"/>
  <c r="E833" i="2"/>
  <c r="B833" i="2"/>
  <c r="A833" i="2"/>
  <c r="U832" i="2"/>
  <c r="T832" i="2"/>
  <c r="L832" i="2"/>
  <c r="K832" i="2"/>
  <c r="J832" i="2"/>
  <c r="G832" i="2"/>
  <c r="F832" i="2"/>
  <c r="E832" i="2"/>
  <c r="B832" i="2"/>
  <c r="A832" i="2"/>
  <c r="U831" i="2"/>
  <c r="T831" i="2"/>
  <c r="L831" i="2"/>
  <c r="K831" i="2"/>
  <c r="J831" i="2"/>
  <c r="G831" i="2"/>
  <c r="F831" i="2"/>
  <c r="E831" i="2"/>
  <c r="B831" i="2"/>
  <c r="A831" i="2"/>
  <c r="U830" i="2"/>
  <c r="T830" i="2"/>
  <c r="L830" i="2"/>
  <c r="K830" i="2"/>
  <c r="J830" i="2"/>
  <c r="G830" i="2"/>
  <c r="F830" i="2"/>
  <c r="E830" i="2"/>
  <c r="B830" i="2"/>
  <c r="A830" i="2"/>
  <c r="U829" i="2"/>
  <c r="T829" i="2"/>
  <c r="L829" i="2"/>
  <c r="K829" i="2"/>
  <c r="J829" i="2"/>
  <c r="G829" i="2"/>
  <c r="F829" i="2"/>
  <c r="E829" i="2"/>
  <c r="B829" i="2"/>
  <c r="A829" i="2"/>
  <c r="U828" i="2"/>
  <c r="T828" i="2"/>
  <c r="L828" i="2"/>
  <c r="K828" i="2"/>
  <c r="J828" i="2"/>
  <c r="G828" i="2"/>
  <c r="F828" i="2"/>
  <c r="E828" i="2"/>
  <c r="B828" i="2"/>
  <c r="A828" i="2"/>
  <c r="U827" i="2"/>
  <c r="T827" i="2"/>
  <c r="L827" i="2"/>
  <c r="K827" i="2"/>
  <c r="J827" i="2"/>
  <c r="G827" i="2"/>
  <c r="F827" i="2"/>
  <c r="E827" i="2"/>
  <c r="B827" i="2"/>
  <c r="A827" i="2"/>
  <c r="U826" i="2"/>
  <c r="T826" i="2"/>
  <c r="L826" i="2"/>
  <c r="K826" i="2"/>
  <c r="J826" i="2"/>
  <c r="G826" i="2"/>
  <c r="F826" i="2"/>
  <c r="E826" i="2"/>
  <c r="B826" i="2"/>
  <c r="A826" i="2"/>
  <c r="U825" i="2"/>
  <c r="T825" i="2"/>
  <c r="L825" i="2"/>
  <c r="K825" i="2"/>
  <c r="J825" i="2"/>
  <c r="G825" i="2"/>
  <c r="F825" i="2"/>
  <c r="E825" i="2"/>
  <c r="B825" i="2"/>
  <c r="A825" i="2"/>
  <c r="U824" i="2"/>
  <c r="T824" i="2"/>
  <c r="L824" i="2"/>
  <c r="K824" i="2"/>
  <c r="J824" i="2"/>
  <c r="G824" i="2"/>
  <c r="F824" i="2"/>
  <c r="E824" i="2"/>
  <c r="B824" i="2"/>
  <c r="A824" i="2"/>
  <c r="U823" i="2"/>
  <c r="T823" i="2"/>
  <c r="L823" i="2"/>
  <c r="K823" i="2"/>
  <c r="J823" i="2"/>
  <c r="G823" i="2"/>
  <c r="F823" i="2"/>
  <c r="E823" i="2"/>
  <c r="B823" i="2"/>
  <c r="A823" i="2"/>
  <c r="U822" i="2"/>
  <c r="T822" i="2"/>
  <c r="L822" i="2"/>
  <c r="K822" i="2"/>
  <c r="J822" i="2"/>
  <c r="G822" i="2"/>
  <c r="F822" i="2"/>
  <c r="E822" i="2"/>
  <c r="B822" i="2"/>
  <c r="A822" i="2"/>
  <c r="U821" i="2"/>
  <c r="T821" i="2"/>
  <c r="L821" i="2"/>
  <c r="K821" i="2"/>
  <c r="J821" i="2"/>
  <c r="G821" i="2"/>
  <c r="F821" i="2"/>
  <c r="E821" i="2"/>
  <c r="B821" i="2"/>
  <c r="A821" i="2"/>
  <c r="U820" i="2"/>
  <c r="T820" i="2"/>
  <c r="L820" i="2"/>
  <c r="K820" i="2"/>
  <c r="J820" i="2"/>
  <c r="G820" i="2"/>
  <c r="F820" i="2"/>
  <c r="E820" i="2"/>
  <c r="B820" i="2"/>
  <c r="A820" i="2"/>
  <c r="U819" i="2"/>
  <c r="T819" i="2"/>
  <c r="L819" i="2"/>
  <c r="K819" i="2"/>
  <c r="J819" i="2"/>
  <c r="G819" i="2"/>
  <c r="F819" i="2"/>
  <c r="E819" i="2"/>
  <c r="B819" i="2"/>
  <c r="A819" i="2"/>
  <c r="U818" i="2"/>
  <c r="T818" i="2"/>
  <c r="L818" i="2"/>
  <c r="K818" i="2"/>
  <c r="J818" i="2"/>
  <c r="G818" i="2"/>
  <c r="F818" i="2"/>
  <c r="E818" i="2"/>
  <c r="B818" i="2"/>
  <c r="A818" i="2"/>
  <c r="U817" i="2"/>
  <c r="T817" i="2"/>
  <c r="L817" i="2"/>
  <c r="K817" i="2"/>
  <c r="J817" i="2"/>
  <c r="G817" i="2"/>
  <c r="F817" i="2"/>
  <c r="E817" i="2"/>
  <c r="B817" i="2"/>
  <c r="A817" i="2"/>
  <c r="U816" i="2"/>
  <c r="T816" i="2"/>
  <c r="L816" i="2"/>
  <c r="K816" i="2"/>
  <c r="J816" i="2"/>
  <c r="G816" i="2"/>
  <c r="F816" i="2"/>
  <c r="E816" i="2"/>
  <c r="B816" i="2"/>
  <c r="A816" i="2"/>
  <c r="U815" i="2"/>
  <c r="T815" i="2"/>
  <c r="L815" i="2"/>
  <c r="K815" i="2"/>
  <c r="J815" i="2"/>
  <c r="G815" i="2"/>
  <c r="F815" i="2"/>
  <c r="E815" i="2"/>
  <c r="B815" i="2"/>
  <c r="A815" i="2"/>
  <c r="U814" i="2"/>
  <c r="T814" i="2"/>
  <c r="L814" i="2"/>
  <c r="K814" i="2"/>
  <c r="J814" i="2"/>
  <c r="G814" i="2"/>
  <c r="F814" i="2"/>
  <c r="E814" i="2"/>
  <c r="B814" i="2"/>
  <c r="A814" i="2"/>
  <c r="U813" i="2"/>
  <c r="T813" i="2"/>
  <c r="L813" i="2"/>
  <c r="K813" i="2"/>
  <c r="J813" i="2"/>
  <c r="G813" i="2"/>
  <c r="F813" i="2"/>
  <c r="E813" i="2"/>
  <c r="B813" i="2"/>
  <c r="A813" i="2"/>
  <c r="U812" i="2"/>
  <c r="T812" i="2"/>
  <c r="L812" i="2"/>
  <c r="K812" i="2"/>
  <c r="J812" i="2"/>
  <c r="G812" i="2"/>
  <c r="F812" i="2"/>
  <c r="E812" i="2"/>
  <c r="B812" i="2"/>
  <c r="A812" i="2"/>
  <c r="U811" i="2"/>
  <c r="T811" i="2"/>
  <c r="L811" i="2"/>
  <c r="K811" i="2"/>
  <c r="J811" i="2"/>
  <c r="G811" i="2"/>
  <c r="F811" i="2"/>
  <c r="E811" i="2"/>
  <c r="B811" i="2"/>
  <c r="A811" i="2"/>
  <c r="U810" i="2"/>
  <c r="T810" i="2"/>
  <c r="L810" i="2"/>
  <c r="K810" i="2"/>
  <c r="J810" i="2"/>
  <c r="G810" i="2"/>
  <c r="F810" i="2"/>
  <c r="E810" i="2"/>
  <c r="B810" i="2"/>
  <c r="A810" i="2"/>
  <c r="U809" i="2"/>
  <c r="T809" i="2"/>
  <c r="L809" i="2"/>
  <c r="K809" i="2"/>
  <c r="J809" i="2"/>
  <c r="G809" i="2"/>
  <c r="F809" i="2"/>
  <c r="E809" i="2"/>
  <c r="B809" i="2"/>
  <c r="A809" i="2"/>
  <c r="U808" i="2"/>
  <c r="T808" i="2"/>
  <c r="L808" i="2"/>
  <c r="K808" i="2"/>
  <c r="J808" i="2"/>
  <c r="G808" i="2"/>
  <c r="F808" i="2"/>
  <c r="E808" i="2"/>
  <c r="B808" i="2"/>
  <c r="A808" i="2"/>
  <c r="U807" i="2"/>
  <c r="T807" i="2"/>
  <c r="L807" i="2"/>
  <c r="K807" i="2"/>
  <c r="J807" i="2"/>
  <c r="G807" i="2"/>
  <c r="F807" i="2"/>
  <c r="E807" i="2"/>
  <c r="B807" i="2"/>
  <c r="A807" i="2"/>
  <c r="U806" i="2"/>
  <c r="T806" i="2"/>
  <c r="L806" i="2"/>
  <c r="K806" i="2"/>
  <c r="J806" i="2"/>
  <c r="G806" i="2"/>
  <c r="F806" i="2"/>
  <c r="E806" i="2"/>
  <c r="B806" i="2"/>
  <c r="A806" i="2"/>
  <c r="U805" i="2"/>
  <c r="T805" i="2"/>
  <c r="L805" i="2"/>
  <c r="K805" i="2"/>
  <c r="J805" i="2"/>
  <c r="G805" i="2"/>
  <c r="F805" i="2"/>
  <c r="E805" i="2"/>
  <c r="B805" i="2"/>
  <c r="A805" i="2"/>
  <c r="U804" i="2"/>
  <c r="T804" i="2"/>
  <c r="L804" i="2"/>
  <c r="K804" i="2"/>
  <c r="J804" i="2"/>
  <c r="G804" i="2"/>
  <c r="F804" i="2"/>
  <c r="E804" i="2"/>
  <c r="B804" i="2"/>
  <c r="A804" i="2"/>
  <c r="U803" i="2"/>
  <c r="T803" i="2"/>
  <c r="L803" i="2"/>
  <c r="K803" i="2"/>
  <c r="J803" i="2"/>
  <c r="G803" i="2"/>
  <c r="F803" i="2"/>
  <c r="E803" i="2"/>
  <c r="B803" i="2"/>
  <c r="A803" i="2"/>
  <c r="U802" i="2"/>
  <c r="T802" i="2"/>
  <c r="L802" i="2"/>
  <c r="K802" i="2"/>
  <c r="J802" i="2"/>
  <c r="G802" i="2"/>
  <c r="F802" i="2"/>
  <c r="E802" i="2"/>
  <c r="B802" i="2"/>
  <c r="A802" i="2"/>
  <c r="U801" i="2"/>
  <c r="T801" i="2"/>
  <c r="L801" i="2"/>
  <c r="K801" i="2"/>
  <c r="J801" i="2"/>
  <c r="G801" i="2"/>
  <c r="F801" i="2"/>
  <c r="E801" i="2"/>
  <c r="B801" i="2"/>
  <c r="A801" i="2"/>
  <c r="U800" i="2"/>
  <c r="T800" i="2"/>
  <c r="L800" i="2"/>
  <c r="K800" i="2"/>
  <c r="J800" i="2"/>
  <c r="G800" i="2"/>
  <c r="F800" i="2"/>
  <c r="E800" i="2"/>
  <c r="B800" i="2"/>
  <c r="A800" i="2"/>
  <c r="U799" i="2"/>
  <c r="T799" i="2"/>
  <c r="L799" i="2"/>
  <c r="K799" i="2"/>
  <c r="J799" i="2"/>
  <c r="G799" i="2"/>
  <c r="F799" i="2"/>
  <c r="E799" i="2"/>
  <c r="B799" i="2"/>
  <c r="A799" i="2"/>
  <c r="U798" i="2"/>
  <c r="T798" i="2"/>
  <c r="L798" i="2"/>
  <c r="K798" i="2"/>
  <c r="J798" i="2"/>
  <c r="G798" i="2"/>
  <c r="F798" i="2"/>
  <c r="E798" i="2"/>
  <c r="B798" i="2"/>
  <c r="A798" i="2"/>
  <c r="U797" i="2"/>
  <c r="T797" i="2"/>
  <c r="L797" i="2"/>
  <c r="K797" i="2"/>
  <c r="J797" i="2"/>
  <c r="G797" i="2"/>
  <c r="F797" i="2"/>
  <c r="E797" i="2"/>
  <c r="B797" i="2"/>
  <c r="A797" i="2"/>
  <c r="U796" i="2"/>
  <c r="T796" i="2"/>
  <c r="L796" i="2"/>
  <c r="K796" i="2"/>
  <c r="J796" i="2"/>
  <c r="G796" i="2"/>
  <c r="F796" i="2"/>
  <c r="E796" i="2"/>
  <c r="B796" i="2"/>
  <c r="A796" i="2"/>
  <c r="U795" i="2"/>
  <c r="T795" i="2"/>
  <c r="L795" i="2"/>
  <c r="K795" i="2"/>
  <c r="J795" i="2"/>
  <c r="G795" i="2"/>
  <c r="F795" i="2"/>
  <c r="E795" i="2"/>
  <c r="B795" i="2"/>
  <c r="A795" i="2"/>
  <c r="U794" i="2"/>
  <c r="T794" i="2"/>
  <c r="L794" i="2"/>
  <c r="K794" i="2"/>
  <c r="J794" i="2"/>
  <c r="G794" i="2"/>
  <c r="F794" i="2"/>
  <c r="E794" i="2"/>
  <c r="B794" i="2"/>
  <c r="A794" i="2"/>
  <c r="U793" i="2"/>
  <c r="T793" i="2"/>
  <c r="L793" i="2"/>
  <c r="K793" i="2"/>
  <c r="J793" i="2"/>
  <c r="G793" i="2"/>
  <c r="F793" i="2"/>
  <c r="E793" i="2"/>
  <c r="B793" i="2"/>
  <c r="A793" i="2"/>
  <c r="U792" i="2"/>
  <c r="T792" i="2"/>
  <c r="L792" i="2"/>
  <c r="K792" i="2"/>
  <c r="J792" i="2"/>
  <c r="G792" i="2"/>
  <c r="F792" i="2"/>
  <c r="E792" i="2"/>
  <c r="B792" i="2"/>
  <c r="A792" i="2"/>
  <c r="U791" i="2"/>
  <c r="T791" i="2"/>
  <c r="L791" i="2"/>
  <c r="K791" i="2"/>
  <c r="J791" i="2"/>
  <c r="G791" i="2"/>
  <c r="F791" i="2"/>
  <c r="E791" i="2"/>
  <c r="B791" i="2"/>
  <c r="A791" i="2"/>
  <c r="U790" i="2"/>
  <c r="T790" i="2"/>
  <c r="L790" i="2"/>
  <c r="K790" i="2"/>
  <c r="J790" i="2"/>
  <c r="G790" i="2"/>
  <c r="F790" i="2"/>
  <c r="E790" i="2"/>
  <c r="B790" i="2"/>
  <c r="A790" i="2"/>
  <c r="U789" i="2"/>
  <c r="T789" i="2"/>
  <c r="L789" i="2"/>
  <c r="K789" i="2"/>
  <c r="J789" i="2"/>
  <c r="G789" i="2"/>
  <c r="F789" i="2"/>
  <c r="E789" i="2"/>
  <c r="B789" i="2"/>
  <c r="A789" i="2"/>
  <c r="U788" i="2"/>
  <c r="T788" i="2"/>
  <c r="L788" i="2"/>
  <c r="K788" i="2"/>
  <c r="J788" i="2"/>
  <c r="G788" i="2"/>
  <c r="F788" i="2"/>
  <c r="E788" i="2"/>
  <c r="B788" i="2"/>
  <c r="A788" i="2"/>
  <c r="U787" i="2"/>
  <c r="T787" i="2"/>
  <c r="L787" i="2"/>
  <c r="K787" i="2"/>
  <c r="J787" i="2"/>
  <c r="G787" i="2"/>
  <c r="F787" i="2"/>
  <c r="E787" i="2"/>
  <c r="B787" i="2"/>
  <c r="A787" i="2"/>
  <c r="U786" i="2"/>
  <c r="T786" i="2"/>
  <c r="L786" i="2"/>
  <c r="K786" i="2"/>
  <c r="J786" i="2"/>
  <c r="G786" i="2"/>
  <c r="F786" i="2"/>
  <c r="E786" i="2"/>
  <c r="B786" i="2"/>
  <c r="A786" i="2"/>
  <c r="U785" i="2"/>
  <c r="T785" i="2"/>
  <c r="L785" i="2"/>
  <c r="K785" i="2"/>
  <c r="J785" i="2"/>
  <c r="G785" i="2"/>
  <c r="F785" i="2"/>
  <c r="E785" i="2"/>
  <c r="B785" i="2"/>
  <c r="A785" i="2"/>
  <c r="U784" i="2"/>
  <c r="T784" i="2"/>
  <c r="L784" i="2"/>
  <c r="K784" i="2"/>
  <c r="J784" i="2"/>
  <c r="G784" i="2"/>
  <c r="F784" i="2"/>
  <c r="E784" i="2"/>
  <c r="B784" i="2"/>
  <c r="A784" i="2"/>
  <c r="U783" i="2"/>
  <c r="T783" i="2"/>
  <c r="L783" i="2"/>
  <c r="K783" i="2"/>
  <c r="J783" i="2"/>
  <c r="G783" i="2"/>
  <c r="F783" i="2"/>
  <c r="E783" i="2"/>
  <c r="B783" i="2"/>
  <c r="A783" i="2"/>
  <c r="U782" i="2"/>
  <c r="T782" i="2"/>
  <c r="L782" i="2"/>
  <c r="K782" i="2"/>
  <c r="J782" i="2"/>
  <c r="G782" i="2"/>
  <c r="F782" i="2"/>
  <c r="E782" i="2"/>
  <c r="B782" i="2"/>
  <c r="A782" i="2"/>
  <c r="U781" i="2"/>
  <c r="T781" i="2"/>
  <c r="L781" i="2"/>
  <c r="K781" i="2"/>
  <c r="J781" i="2"/>
  <c r="G781" i="2"/>
  <c r="F781" i="2"/>
  <c r="E781" i="2"/>
  <c r="B781" i="2"/>
  <c r="A781" i="2"/>
  <c r="U780" i="2"/>
  <c r="T780" i="2"/>
  <c r="L780" i="2"/>
  <c r="K780" i="2"/>
  <c r="J780" i="2"/>
  <c r="G780" i="2"/>
  <c r="F780" i="2"/>
  <c r="E780" i="2"/>
  <c r="B780" i="2"/>
  <c r="A780" i="2"/>
  <c r="U779" i="2"/>
  <c r="T779" i="2"/>
  <c r="L779" i="2"/>
  <c r="K779" i="2"/>
  <c r="J779" i="2"/>
  <c r="G779" i="2"/>
  <c r="F779" i="2"/>
  <c r="E779" i="2"/>
  <c r="B779" i="2"/>
  <c r="A779" i="2"/>
  <c r="U778" i="2"/>
  <c r="T778" i="2"/>
  <c r="L778" i="2"/>
  <c r="K778" i="2"/>
  <c r="J778" i="2"/>
  <c r="G778" i="2"/>
  <c r="F778" i="2"/>
  <c r="E778" i="2"/>
  <c r="B778" i="2"/>
  <c r="A778" i="2"/>
  <c r="U777" i="2"/>
  <c r="T777" i="2"/>
  <c r="L777" i="2"/>
  <c r="K777" i="2"/>
  <c r="J777" i="2"/>
  <c r="G777" i="2"/>
  <c r="F777" i="2"/>
  <c r="E777" i="2"/>
  <c r="B777" i="2"/>
  <c r="A777" i="2"/>
  <c r="U776" i="2"/>
  <c r="T776" i="2"/>
  <c r="L776" i="2"/>
  <c r="K776" i="2"/>
  <c r="J776" i="2"/>
  <c r="G776" i="2"/>
  <c r="F776" i="2"/>
  <c r="E776" i="2"/>
  <c r="B776" i="2"/>
  <c r="A776" i="2"/>
  <c r="U775" i="2"/>
  <c r="T775" i="2"/>
  <c r="L775" i="2"/>
  <c r="K775" i="2"/>
  <c r="J775" i="2"/>
  <c r="G775" i="2"/>
  <c r="F775" i="2"/>
  <c r="E775" i="2"/>
  <c r="B775" i="2"/>
  <c r="A775" i="2"/>
  <c r="U774" i="2"/>
  <c r="T774" i="2"/>
  <c r="L774" i="2"/>
  <c r="K774" i="2"/>
  <c r="J774" i="2"/>
  <c r="G774" i="2"/>
  <c r="F774" i="2"/>
  <c r="E774" i="2"/>
  <c r="B774" i="2"/>
  <c r="A774" i="2"/>
  <c r="U773" i="2"/>
  <c r="T773" i="2"/>
  <c r="L773" i="2"/>
  <c r="K773" i="2"/>
  <c r="J773" i="2"/>
  <c r="G773" i="2"/>
  <c r="F773" i="2"/>
  <c r="E773" i="2"/>
  <c r="B773" i="2"/>
  <c r="A773" i="2"/>
  <c r="U772" i="2"/>
  <c r="T772" i="2"/>
  <c r="L772" i="2"/>
  <c r="K772" i="2"/>
  <c r="J772" i="2"/>
  <c r="G772" i="2"/>
  <c r="F772" i="2"/>
  <c r="E772" i="2"/>
  <c r="B772" i="2"/>
  <c r="A772" i="2"/>
  <c r="U771" i="2"/>
  <c r="T771" i="2"/>
  <c r="L771" i="2"/>
  <c r="K771" i="2"/>
  <c r="J771" i="2"/>
  <c r="G771" i="2"/>
  <c r="F771" i="2"/>
  <c r="E771" i="2"/>
  <c r="B771" i="2"/>
  <c r="A771" i="2"/>
  <c r="U770" i="2"/>
  <c r="T770" i="2"/>
  <c r="L770" i="2"/>
  <c r="K770" i="2"/>
  <c r="J770" i="2"/>
  <c r="G770" i="2"/>
  <c r="F770" i="2"/>
  <c r="E770" i="2"/>
  <c r="B770" i="2"/>
  <c r="A770" i="2"/>
  <c r="U769" i="2"/>
  <c r="T769" i="2"/>
  <c r="L769" i="2"/>
  <c r="K769" i="2"/>
  <c r="J769" i="2"/>
  <c r="G769" i="2"/>
  <c r="F769" i="2"/>
  <c r="E769" i="2"/>
  <c r="B769" i="2"/>
  <c r="A769" i="2"/>
  <c r="U768" i="2"/>
  <c r="T768" i="2"/>
  <c r="L768" i="2"/>
  <c r="K768" i="2"/>
  <c r="J768" i="2"/>
  <c r="G768" i="2"/>
  <c r="F768" i="2"/>
  <c r="E768" i="2"/>
  <c r="B768" i="2"/>
  <c r="A768" i="2"/>
  <c r="U767" i="2"/>
  <c r="T767" i="2"/>
  <c r="L767" i="2"/>
  <c r="K767" i="2"/>
  <c r="J767" i="2"/>
  <c r="G767" i="2"/>
  <c r="F767" i="2"/>
  <c r="E767" i="2"/>
  <c r="B767" i="2"/>
  <c r="A767" i="2"/>
  <c r="U766" i="2"/>
  <c r="T766" i="2"/>
  <c r="L766" i="2"/>
  <c r="K766" i="2"/>
  <c r="J766" i="2"/>
  <c r="G766" i="2"/>
  <c r="F766" i="2"/>
  <c r="E766" i="2"/>
  <c r="B766" i="2"/>
  <c r="A766" i="2"/>
  <c r="U765" i="2"/>
  <c r="T765" i="2"/>
  <c r="L765" i="2"/>
  <c r="K765" i="2"/>
  <c r="J765" i="2"/>
  <c r="G765" i="2"/>
  <c r="F765" i="2"/>
  <c r="E765" i="2"/>
  <c r="B765" i="2"/>
  <c r="A765" i="2"/>
  <c r="U764" i="2"/>
  <c r="T764" i="2"/>
  <c r="L764" i="2"/>
  <c r="K764" i="2"/>
  <c r="J764" i="2"/>
  <c r="G764" i="2"/>
  <c r="F764" i="2"/>
  <c r="E764" i="2"/>
  <c r="B764" i="2"/>
  <c r="A764" i="2"/>
  <c r="U763" i="2"/>
  <c r="T763" i="2"/>
  <c r="L763" i="2"/>
  <c r="K763" i="2"/>
  <c r="J763" i="2"/>
  <c r="G763" i="2"/>
  <c r="F763" i="2"/>
  <c r="E763" i="2"/>
  <c r="B763" i="2"/>
  <c r="A763" i="2"/>
  <c r="U762" i="2"/>
  <c r="T762" i="2"/>
  <c r="L762" i="2"/>
  <c r="K762" i="2"/>
  <c r="J762" i="2"/>
  <c r="G762" i="2"/>
  <c r="F762" i="2"/>
  <c r="E762" i="2"/>
  <c r="B762" i="2"/>
  <c r="A762" i="2"/>
  <c r="U761" i="2"/>
  <c r="T761" i="2"/>
  <c r="L761" i="2"/>
  <c r="K761" i="2"/>
  <c r="J761" i="2"/>
  <c r="G761" i="2"/>
  <c r="F761" i="2"/>
  <c r="E761" i="2"/>
  <c r="B761" i="2"/>
  <c r="A761" i="2"/>
  <c r="U760" i="2"/>
  <c r="T760" i="2"/>
  <c r="L760" i="2"/>
  <c r="K760" i="2"/>
  <c r="J760" i="2"/>
  <c r="G760" i="2"/>
  <c r="F760" i="2"/>
  <c r="E760" i="2"/>
  <c r="B760" i="2"/>
  <c r="A760" i="2"/>
  <c r="U759" i="2"/>
  <c r="T759" i="2"/>
  <c r="L759" i="2"/>
  <c r="K759" i="2"/>
  <c r="J759" i="2"/>
  <c r="G759" i="2"/>
  <c r="F759" i="2"/>
  <c r="E759" i="2"/>
  <c r="B759" i="2"/>
  <c r="A759" i="2"/>
  <c r="U758" i="2"/>
  <c r="T758" i="2"/>
  <c r="L758" i="2"/>
  <c r="K758" i="2"/>
  <c r="J758" i="2"/>
  <c r="G758" i="2"/>
  <c r="F758" i="2"/>
  <c r="E758" i="2"/>
  <c r="B758" i="2"/>
  <c r="A758" i="2"/>
  <c r="U757" i="2"/>
  <c r="T757" i="2"/>
  <c r="L757" i="2"/>
  <c r="K757" i="2"/>
  <c r="J757" i="2"/>
  <c r="G757" i="2"/>
  <c r="F757" i="2"/>
  <c r="E757" i="2"/>
  <c r="B757" i="2"/>
  <c r="A757" i="2"/>
  <c r="U756" i="2"/>
  <c r="T756" i="2"/>
  <c r="L756" i="2"/>
  <c r="K756" i="2"/>
  <c r="J756" i="2"/>
  <c r="G756" i="2"/>
  <c r="F756" i="2"/>
  <c r="E756" i="2"/>
  <c r="B756" i="2"/>
  <c r="A756" i="2"/>
  <c r="U755" i="2"/>
  <c r="T755" i="2"/>
  <c r="L755" i="2"/>
  <c r="K755" i="2"/>
  <c r="J755" i="2"/>
  <c r="G755" i="2"/>
  <c r="F755" i="2"/>
  <c r="E755" i="2"/>
  <c r="B755" i="2"/>
  <c r="A755" i="2"/>
  <c r="U754" i="2"/>
  <c r="T754" i="2"/>
  <c r="L754" i="2"/>
  <c r="K754" i="2"/>
  <c r="J754" i="2"/>
  <c r="G754" i="2"/>
  <c r="F754" i="2"/>
  <c r="E754" i="2"/>
  <c r="B754" i="2"/>
  <c r="A754" i="2"/>
  <c r="U753" i="2"/>
  <c r="T753" i="2"/>
  <c r="L753" i="2"/>
  <c r="K753" i="2"/>
  <c r="J753" i="2"/>
  <c r="G753" i="2"/>
  <c r="F753" i="2"/>
  <c r="E753" i="2"/>
  <c r="B753" i="2"/>
  <c r="A753" i="2"/>
  <c r="U752" i="2"/>
  <c r="T752" i="2"/>
  <c r="L752" i="2"/>
  <c r="K752" i="2"/>
  <c r="J752" i="2"/>
  <c r="G752" i="2"/>
  <c r="F752" i="2"/>
  <c r="E752" i="2"/>
  <c r="B752" i="2"/>
  <c r="A752" i="2"/>
  <c r="U751" i="2"/>
  <c r="T751" i="2"/>
  <c r="L751" i="2"/>
  <c r="K751" i="2"/>
  <c r="J751" i="2"/>
  <c r="G751" i="2"/>
  <c r="F751" i="2"/>
  <c r="E751" i="2"/>
  <c r="B751" i="2"/>
  <c r="A751" i="2"/>
  <c r="U750" i="2"/>
  <c r="T750" i="2"/>
  <c r="L750" i="2"/>
  <c r="K750" i="2"/>
  <c r="J750" i="2"/>
  <c r="G750" i="2"/>
  <c r="F750" i="2"/>
  <c r="E750" i="2"/>
  <c r="B750" i="2"/>
  <c r="A750" i="2"/>
  <c r="U749" i="2"/>
  <c r="T749" i="2"/>
  <c r="L749" i="2"/>
  <c r="K749" i="2"/>
  <c r="J749" i="2"/>
  <c r="G749" i="2"/>
  <c r="F749" i="2"/>
  <c r="E749" i="2"/>
  <c r="B749" i="2"/>
  <c r="A749" i="2"/>
  <c r="U748" i="2"/>
  <c r="T748" i="2"/>
  <c r="L748" i="2"/>
  <c r="K748" i="2"/>
  <c r="J748" i="2"/>
  <c r="G748" i="2"/>
  <c r="F748" i="2"/>
  <c r="E748" i="2"/>
  <c r="B748" i="2"/>
  <c r="A748" i="2"/>
  <c r="U747" i="2"/>
  <c r="T747" i="2"/>
  <c r="L747" i="2"/>
  <c r="K747" i="2"/>
  <c r="J747" i="2"/>
  <c r="G747" i="2"/>
  <c r="F747" i="2"/>
  <c r="E747" i="2"/>
  <c r="B747" i="2"/>
  <c r="A747" i="2"/>
  <c r="U746" i="2"/>
  <c r="T746" i="2"/>
  <c r="L746" i="2"/>
  <c r="K746" i="2"/>
  <c r="J746" i="2"/>
  <c r="G746" i="2"/>
  <c r="F746" i="2"/>
  <c r="E746" i="2"/>
  <c r="B746" i="2"/>
  <c r="A746" i="2"/>
  <c r="U745" i="2"/>
  <c r="T745" i="2"/>
  <c r="L745" i="2"/>
  <c r="K745" i="2"/>
  <c r="J745" i="2"/>
  <c r="G745" i="2"/>
  <c r="F745" i="2"/>
  <c r="E745" i="2"/>
  <c r="B745" i="2"/>
  <c r="A745" i="2"/>
  <c r="U744" i="2"/>
  <c r="T744" i="2"/>
  <c r="L744" i="2"/>
  <c r="K744" i="2"/>
  <c r="J744" i="2"/>
  <c r="G744" i="2"/>
  <c r="F744" i="2"/>
  <c r="E744" i="2"/>
  <c r="B744" i="2"/>
  <c r="A744" i="2"/>
  <c r="U743" i="2"/>
  <c r="T743" i="2"/>
  <c r="L743" i="2"/>
  <c r="K743" i="2"/>
  <c r="J743" i="2"/>
  <c r="G743" i="2"/>
  <c r="F743" i="2"/>
  <c r="E743" i="2"/>
  <c r="B743" i="2"/>
  <c r="A743" i="2"/>
  <c r="U742" i="2"/>
  <c r="T742" i="2"/>
  <c r="L742" i="2"/>
  <c r="K742" i="2"/>
  <c r="J742" i="2"/>
  <c r="G742" i="2"/>
  <c r="F742" i="2"/>
  <c r="E742" i="2"/>
  <c r="B742" i="2"/>
  <c r="A742" i="2"/>
  <c r="U741" i="2"/>
  <c r="T741" i="2"/>
  <c r="L741" i="2"/>
  <c r="K741" i="2"/>
  <c r="J741" i="2"/>
  <c r="G741" i="2"/>
  <c r="F741" i="2"/>
  <c r="E741" i="2"/>
  <c r="B741" i="2"/>
  <c r="A741" i="2"/>
  <c r="U740" i="2"/>
  <c r="L740" i="2"/>
  <c r="K740" i="2"/>
  <c r="J740" i="2"/>
  <c r="G740" i="2"/>
  <c r="F740" i="2"/>
  <c r="E740" i="2"/>
  <c r="B740" i="2"/>
  <c r="A740" i="2"/>
  <c r="U739" i="2"/>
  <c r="L739" i="2"/>
  <c r="K739" i="2"/>
  <c r="J739" i="2"/>
  <c r="G739" i="2"/>
  <c r="F739" i="2"/>
  <c r="E739" i="2"/>
  <c r="B739" i="2"/>
  <c r="A739" i="2"/>
  <c r="U738" i="2"/>
  <c r="L738" i="2"/>
  <c r="K738" i="2"/>
  <c r="J738" i="2"/>
  <c r="G738" i="2"/>
  <c r="F738" i="2"/>
  <c r="E738" i="2"/>
  <c r="B738" i="2"/>
  <c r="A738" i="2"/>
  <c r="U737" i="2"/>
  <c r="T737" i="2"/>
  <c r="L737" i="2"/>
  <c r="K737" i="2"/>
  <c r="J737" i="2"/>
  <c r="G737" i="2"/>
  <c r="F737" i="2"/>
  <c r="E737" i="2"/>
  <c r="B737" i="2"/>
  <c r="A737" i="2"/>
  <c r="U736" i="2"/>
  <c r="T736" i="2"/>
  <c r="L736" i="2"/>
  <c r="K736" i="2"/>
  <c r="J736" i="2"/>
  <c r="G736" i="2"/>
  <c r="F736" i="2"/>
  <c r="E736" i="2"/>
  <c r="B736" i="2"/>
  <c r="A736" i="2"/>
  <c r="U735" i="2"/>
  <c r="T735" i="2"/>
  <c r="L735" i="2"/>
  <c r="K735" i="2"/>
  <c r="J735" i="2"/>
  <c r="G735" i="2"/>
  <c r="F735" i="2"/>
  <c r="E735" i="2"/>
  <c r="B735" i="2"/>
  <c r="A735" i="2"/>
  <c r="U734" i="2"/>
  <c r="T734" i="2"/>
  <c r="L734" i="2"/>
  <c r="K734" i="2"/>
  <c r="J734" i="2"/>
  <c r="G734" i="2"/>
  <c r="F734" i="2"/>
  <c r="E734" i="2"/>
  <c r="B734" i="2"/>
  <c r="A734" i="2"/>
  <c r="U733" i="2"/>
  <c r="T733" i="2"/>
  <c r="L733" i="2"/>
  <c r="K733" i="2"/>
  <c r="J733" i="2"/>
  <c r="G733" i="2"/>
  <c r="F733" i="2"/>
  <c r="E733" i="2"/>
  <c r="B733" i="2"/>
  <c r="A733" i="2"/>
  <c r="U732" i="2"/>
  <c r="T732" i="2"/>
  <c r="L732" i="2"/>
  <c r="K732" i="2"/>
  <c r="J732" i="2"/>
  <c r="G732" i="2"/>
  <c r="F732" i="2"/>
  <c r="E732" i="2"/>
  <c r="B732" i="2"/>
  <c r="A732" i="2"/>
  <c r="U731" i="2"/>
  <c r="T731" i="2"/>
  <c r="L731" i="2"/>
  <c r="K731" i="2"/>
  <c r="J731" i="2"/>
  <c r="G731" i="2"/>
  <c r="F731" i="2"/>
  <c r="E731" i="2"/>
  <c r="B731" i="2"/>
  <c r="A731" i="2"/>
  <c r="U730" i="2"/>
  <c r="T730" i="2"/>
  <c r="L730" i="2"/>
  <c r="K730" i="2"/>
  <c r="J730" i="2"/>
  <c r="G730" i="2"/>
  <c r="F730" i="2"/>
  <c r="E730" i="2"/>
  <c r="B730" i="2"/>
  <c r="A730" i="2"/>
  <c r="U729" i="2"/>
  <c r="T729" i="2"/>
  <c r="L729" i="2"/>
  <c r="K729" i="2"/>
  <c r="J729" i="2"/>
  <c r="G729" i="2"/>
  <c r="F729" i="2"/>
  <c r="E729" i="2"/>
  <c r="B729" i="2"/>
  <c r="A729" i="2"/>
  <c r="U728" i="2"/>
  <c r="T728" i="2"/>
  <c r="L728" i="2"/>
  <c r="K728" i="2"/>
  <c r="J728" i="2"/>
  <c r="G728" i="2"/>
  <c r="F728" i="2"/>
  <c r="E728" i="2"/>
  <c r="B728" i="2"/>
  <c r="A728" i="2"/>
  <c r="U727" i="2"/>
  <c r="T727" i="2"/>
  <c r="L727" i="2"/>
  <c r="K727" i="2"/>
  <c r="J727" i="2"/>
  <c r="G727" i="2"/>
  <c r="F727" i="2"/>
  <c r="E727" i="2"/>
  <c r="B727" i="2"/>
  <c r="A727" i="2"/>
  <c r="U726" i="2"/>
  <c r="T726" i="2"/>
  <c r="L726" i="2"/>
  <c r="K726" i="2"/>
  <c r="J726" i="2"/>
  <c r="G726" i="2"/>
  <c r="F726" i="2"/>
  <c r="E726" i="2"/>
  <c r="B726" i="2"/>
  <c r="A726" i="2"/>
  <c r="U725" i="2"/>
  <c r="T725" i="2"/>
  <c r="L725" i="2"/>
  <c r="K725" i="2"/>
  <c r="J725" i="2"/>
  <c r="G725" i="2"/>
  <c r="F725" i="2"/>
  <c r="E725" i="2"/>
  <c r="B725" i="2"/>
  <c r="A725" i="2"/>
  <c r="U724" i="2"/>
  <c r="T724" i="2"/>
  <c r="L724" i="2"/>
  <c r="K724" i="2"/>
  <c r="J724" i="2"/>
  <c r="G724" i="2"/>
  <c r="F724" i="2"/>
  <c r="E724" i="2"/>
  <c r="B724" i="2"/>
  <c r="A724" i="2"/>
  <c r="U723" i="2"/>
  <c r="T723" i="2"/>
  <c r="L723" i="2"/>
  <c r="K723" i="2"/>
  <c r="J723" i="2"/>
  <c r="G723" i="2"/>
  <c r="F723" i="2"/>
  <c r="E723" i="2"/>
  <c r="B723" i="2"/>
  <c r="A723" i="2"/>
  <c r="U722" i="2"/>
  <c r="T722" i="2"/>
  <c r="L722" i="2"/>
  <c r="K722" i="2"/>
  <c r="J722" i="2"/>
  <c r="G722" i="2"/>
  <c r="F722" i="2"/>
  <c r="E722" i="2"/>
  <c r="B722" i="2"/>
  <c r="A722" i="2"/>
  <c r="U721" i="2"/>
  <c r="T721" i="2"/>
  <c r="L721" i="2"/>
  <c r="K721" i="2"/>
  <c r="J721" i="2"/>
  <c r="G721" i="2"/>
  <c r="F721" i="2"/>
  <c r="E721" i="2"/>
  <c r="B721" i="2"/>
  <c r="A721" i="2"/>
  <c r="U720" i="2"/>
  <c r="T720" i="2"/>
  <c r="L720" i="2"/>
  <c r="K720" i="2"/>
  <c r="J720" i="2"/>
  <c r="G720" i="2"/>
  <c r="F720" i="2"/>
  <c r="E720" i="2"/>
  <c r="B720" i="2"/>
  <c r="A720" i="2"/>
  <c r="U719" i="2"/>
  <c r="T719" i="2"/>
  <c r="L719" i="2"/>
  <c r="K719" i="2"/>
  <c r="J719" i="2"/>
  <c r="G719" i="2"/>
  <c r="F719" i="2"/>
  <c r="E719" i="2"/>
  <c r="B719" i="2"/>
  <c r="A719" i="2"/>
  <c r="U718" i="2"/>
  <c r="T718" i="2"/>
  <c r="L718" i="2"/>
  <c r="K718" i="2"/>
  <c r="J718" i="2"/>
  <c r="G718" i="2"/>
  <c r="F718" i="2"/>
  <c r="E718" i="2"/>
  <c r="B718" i="2"/>
  <c r="A718" i="2"/>
  <c r="U717" i="2"/>
  <c r="T717" i="2"/>
  <c r="L717" i="2"/>
  <c r="K717" i="2"/>
  <c r="J717" i="2"/>
  <c r="G717" i="2"/>
  <c r="F717" i="2"/>
  <c r="E717" i="2"/>
  <c r="B717" i="2"/>
  <c r="A717" i="2"/>
  <c r="U716" i="2"/>
  <c r="T716" i="2"/>
  <c r="L716" i="2"/>
  <c r="K716" i="2"/>
  <c r="J716" i="2"/>
  <c r="G716" i="2"/>
  <c r="F716" i="2"/>
  <c r="E716" i="2"/>
  <c r="B716" i="2"/>
  <c r="A716" i="2"/>
  <c r="U715" i="2"/>
  <c r="T715" i="2"/>
  <c r="L715" i="2"/>
  <c r="K715" i="2"/>
  <c r="J715" i="2"/>
  <c r="G715" i="2"/>
  <c r="F715" i="2"/>
  <c r="E715" i="2"/>
  <c r="B715" i="2"/>
  <c r="A715" i="2"/>
  <c r="U714" i="2"/>
  <c r="T714" i="2"/>
  <c r="L714" i="2"/>
  <c r="K714" i="2"/>
  <c r="J714" i="2"/>
  <c r="G714" i="2"/>
  <c r="F714" i="2"/>
  <c r="E714" i="2"/>
  <c r="B714" i="2"/>
  <c r="A714" i="2"/>
  <c r="U713" i="2"/>
  <c r="T713" i="2"/>
  <c r="L713" i="2"/>
  <c r="K713" i="2"/>
  <c r="J713" i="2"/>
  <c r="G713" i="2"/>
  <c r="F713" i="2"/>
  <c r="E713" i="2"/>
  <c r="B713" i="2"/>
  <c r="A713" i="2"/>
  <c r="U712" i="2"/>
  <c r="T712" i="2"/>
  <c r="L712" i="2"/>
  <c r="K712" i="2"/>
  <c r="J712" i="2"/>
  <c r="G712" i="2"/>
  <c r="F712" i="2"/>
  <c r="E712" i="2"/>
  <c r="B712" i="2"/>
  <c r="A712" i="2"/>
  <c r="U711" i="2"/>
  <c r="T711" i="2"/>
  <c r="L711" i="2"/>
  <c r="K711" i="2"/>
  <c r="J711" i="2"/>
  <c r="G711" i="2"/>
  <c r="F711" i="2"/>
  <c r="E711" i="2"/>
  <c r="B711" i="2"/>
  <c r="A711" i="2"/>
  <c r="U710" i="2"/>
  <c r="T710" i="2"/>
  <c r="L710" i="2"/>
  <c r="K710" i="2"/>
  <c r="J710" i="2"/>
  <c r="G710" i="2"/>
  <c r="F710" i="2"/>
  <c r="E710" i="2"/>
  <c r="B710" i="2"/>
  <c r="A710" i="2"/>
  <c r="U709" i="2"/>
  <c r="T709" i="2"/>
  <c r="L709" i="2"/>
  <c r="K709" i="2"/>
  <c r="J709" i="2"/>
  <c r="G709" i="2"/>
  <c r="F709" i="2"/>
  <c r="E709" i="2"/>
  <c r="B709" i="2"/>
  <c r="A709" i="2"/>
  <c r="U708" i="2"/>
  <c r="T708" i="2"/>
  <c r="L708" i="2"/>
  <c r="K708" i="2"/>
  <c r="J708" i="2"/>
  <c r="G708" i="2"/>
  <c r="F708" i="2"/>
  <c r="E708" i="2"/>
  <c r="B708" i="2"/>
  <c r="A708" i="2"/>
  <c r="U707" i="2"/>
  <c r="T707" i="2"/>
  <c r="L707" i="2"/>
  <c r="K707" i="2"/>
  <c r="J707" i="2"/>
  <c r="G707" i="2"/>
  <c r="F707" i="2"/>
  <c r="E707" i="2"/>
  <c r="B707" i="2"/>
  <c r="A707" i="2"/>
  <c r="U706" i="2"/>
  <c r="T706" i="2"/>
  <c r="L706" i="2"/>
  <c r="K706" i="2"/>
  <c r="J706" i="2"/>
  <c r="G706" i="2"/>
  <c r="F706" i="2"/>
  <c r="E706" i="2"/>
  <c r="B706" i="2"/>
  <c r="A706" i="2"/>
  <c r="U705" i="2"/>
  <c r="T705" i="2"/>
  <c r="L705" i="2"/>
  <c r="K705" i="2"/>
  <c r="J705" i="2"/>
  <c r="G705" i="2"/>
  <c r="F705" i="2"/>
  <c r="E705" i="2"/>
  <c r="B705" i="2"/>
  <c r="A705" i="2"/>
  <c r="U704" i="2"/>
  <c r="T704" i="2"/>
  <c r="L704" i="2"/>
  <c r="K704" i="2"/>
  <c r="J704" i="2"/>
  <c r="G704" i="2"/>
  <c r="F704" i="2"/>
  <c r="E704" i="2"/>
  <c r="B704" i="2"/>
  <c r="A704" i="2"/>
  <c r="U703" i="2"/>
  <c r="T703" i="2"/>
  <c r="L703" i="2"/>
  <c r="K703" i="2"/>
  <c r="J703" i="2"/>
  <c r="G703" i="2"/>
  <c r="F703" i="2"/>
  <c r="E703" i="2"/>
  <c r="B703" i="2"/>
  <c r="A703" i="2"/>
  <c r="U702" i="2"/>
  <c r="T702" i="2"/>
  <c r="L702" i="2"/>
  <c r="K702" i="2"/>
  <c r="J702" i="2"/>
  <c r="G702" i="2"/>
  <c r="F702" i="2"/>
  <c r="E702" i="2"/>
  <c r="B702" i="2"/>
  <c r="A702" i="2"/>
  <c r="U701" i="2"/>
  <c r="T701" i="2"/>
  <c r="L701" i="2"/>
  <c r="K701" i="2"/>
  <c r="J701" i="2"/>
  <c r="G701" i="2"/>
  <c r="F701" i="2"/>
  <c r="E701" i="2"/>
  <c r="B701" i="2"/>
  <c r="A701" i="2"/>
  <c r="U700" i="2"/>
  <c r="T700" i="2"/>
  <c r="L700" i="2"/>
  <c r="K700" i="2"/>
  <c r="J700" i="2"/>
  <c r="G700" i="2"/>
  <c r="F700" i="2"/>
  <c r="E700" i="2"/>
  <c r="B700" i="2"/>
  <c r="A700" i="2"/>
  <c r="U699" i="2"/>
  <c r="T699" i="2"/>
  <c r="L699" i="2"/>
  <c r="K699" i="2"/>
  <c r="J699" i="2"/>
  <c r="G699" i="2"/>
  <c r="F699" i="2"/>
  <c r="E699" i="2"/>
  <c r="B699" i="2"/>
  <c r="A699" i="2"/>
  <c r="U698" i="2"/>
  <c r="T698" i="2"/>
  <c r="L698" i="2"/>
  <c r="K698" i="2"/>
  <c r="J698" i="2"/>
  <c r="G698" i="2"/>
  <c r="F698" i="2"/>
  <c r="E698" i="2"/>
  <c r="B698" i="2"/>
  <c r="A698" i="2"/>
  <c r="U697" i="2"/>
  <c r="T697" i="2"/>
  <c r="L697" i="2"/>
  <c r="K697" i="2"/>
  <c r="J697" i="2"/>
  <c r="G697" i="2"/>
  <c r="F697" i="2"/>
  <c r="E697" i="2"/>
  <c r="B697" i="2"/>
  <c r="A697" i="2"/>
  <c r="U696" i="2"/>
  <c r="T696" i="2"/>
  <c r="L696" i="2"/>
  <c r="K696" i="2"/>
  <c r="J696" i="2"/>
  <c r="G696" i="2"/>
  <c r="F696" i="2"/>
  <c r="E696" i="2"/>
  <c r="B696" i="2"/>
  <c r="A696" i="2"/>
  <c r="U695" i="2"/>
  <c r="T695" i="2"/>
  <c r="L695" i="2"/>
  <c r="K695" i="2"/>
  <c r="J695" i="2"/>
  <c r="G695" i="2"/>
  <c r="F695" i="2"/>
  <c r="E695" i="2"/>
  <c r="B695" i="2"/>
  <c r="A695" i="2"/>
  <c r="U694" i="2"/>
  <c r="T694" i="2"/>
  <c r="L694" i="2"/>
  <c r="K694" i="2"/>
  <c r="J694" i="2"/>
  <c r="G694" i="2"/>
  <c r="F694" i="2"/>
  <c r="E694" i="2"/>
  <c r="B694" i="2"/>
  <c r="A694" i="2"/>
  <c r="U693" i="2"/>
  <c r="T693" i="2"/>
  <c r="L693" i="2"/>
  <c r="K693" i="2"/>
  <c r="J693" i="2"/>
  <c r="G693" i="2"/>
  <c r="F693" i="2"/>
  <c r="E693" i="2"/>
  <c r="B693" i="2"/>
  <c r="A693" i="2"/>
  <c r="U692" i="2"/>
  <c r="T692" i="2"/>
  <c r="L692" i="2"/>
  <c r="K692" i="2"/>
  <c r="J692" i="2"/>
  <c r="G692" i="2"/>
  <c r="F692" i="2"/>
  <c r="E692" i="2"/>
  <c r="B692" i="2"/>
  <c r="A692" i="2"/>
  <c r="U691" i="2"/>
  <c r="T691" i="2"/>
  <c r="L691" i="2"/>
  <c r="K691" i="2"/>
  <c r="J691" i="2"/>
  <c r="G691" i="2"/>
  <c r="F691" i="2"/>
  <c r="E691" i="2"/>
  <c r="B691" i="2"/>
  <c r="A691" i="2"/>
  <c r="U690" i="2"/>
  <c r="T690" i="2"/>
  <c r="L690" i="2"/>
  <c r="K690" i="2"/>
  <c r="J690" i="2"/>
  <c r="G690" i="2"/>
  <c r="F690" i="2"/>
  <c r="E690" i="2"/>
  <c r="B690" i="2"/>
  <c r="A690" i="2"/>
  <c r="U689" i="2"/>
  <c r="T689" i="2"/>
  <c r="L689" i="2"/>
  <c r="K689" i="2"/>
  <c r="J689" i="2"/>
  <c r="G689" i="2"/>
  <c r="F689" i="2"/>
  <c r="E689" i="2"/>
  <c r="B689" i="2"/>
  <c r="A689" i="2"/>
  <c r="U688" i="2"/>
  <c r="T688" i="2"/>
  <c r="L688" i="2"/>
  <c r="K688" i="2"/>
  <c r="J688" i="2"/>
  <c r="G688" i="2"/>
  <c r="F688" i="2"/>
  <c r="E688" i="2"/>
  <c r="B688" i="2"/>
  <c r="A688" i="2"/>
  <c r="U687" i="2"/>
  <c r="T687" i="2"/>
  <c r="L687" i="2"/>
  <c r="K687" i="2"/>
  <c r="J687" i="2"/>
  <c r="G687" i="2"/>
  <c r="F687" i="2"/>
  <c r="E687" i="2"/>
  <c r="B687" i="2"/>
  <c r="A687" i="2"/>
  <c r="U686" i="2"/>
  <c r="T686" i="2"/>
  <c r="L686" i="2"/>
  <c r="K686" i="2"/>
  <c r="J686" i="2"/>
  <c r="G686" i="2"/>
  <c r="F686" i="2"/>
  <c r="E686" i="2"/>
  <c r="B686" i="2"/>
  <c r="A686" i="2"/>
  <c r="U685" i="2"/>
  <c r="T685" i="2"/>
  <c r="L685" i="2"/>
  <c r="K685" i="2"/>
  <c r="J685" i="2"/>
  <c r="G685" i="2"/>
  <c r="F685" i="2"/>
  <c r="E685" i="2"/>
  <c r="B685" i="2"/>
  <c r="A685" i="2"/>
  <c r="U684" i="2"/>
  <c r="T684" i="2"/>
  <c r="L684" i="2"/>
  <c r="K684" i="2"/>
  <c r="J684" i="2"/>
  <c r="G684" i="2"/>
  <c r="F684" i="2"/>
  <c r="E684" i="2"/>
  <c r="B684" i="2"/>
  <c r="A684" i="2"/>
  <c r="U683" i="2"/>
  <c r="T683" i="2"/>
  <c r="L683" i="2"/>
  <c r="K683" i="2"/>
  <c r="J683" i="2"/>
  <c r="G683" i="2"/>
  <c r="F683" i="2"/>
  <c r="E683" i="2"/>
  <c r="B683" i="2"/>
  <c r="A683" i="2"/>
  <c r="U682" i="2"/>
  <c r="T682" i="2"/>
  <c r="L682" i="2"/>
  <c r="K682" i="2"/>
  <c r="J682" i="2"/>
  <c r="G682" i="2"/>
  <c r="F682" i="2"/>
  <c r="E682" i="2"/>
  <c r="B682" i="2"/>
  <c r="A682" i="2"/>
  <c r="U681" i="2"/>
  <c r="L681" i="2"/>
  <c r="K681" i="2"/>
  <c r="J681" i="2"/>
  <c r="G681" i="2"/>
  <c r="F681" i="2"/>
  <c r="E681" i="2"/>
  <c r="B681" i="2"/>
  <c r="A681" i="2"/>
  <c r="U680" i="2"/>
  <c r="T680" i="2"/>
  <c r="L680" i="2"/>
  <c r="K680" i="2"/>
  <c r="J680" i="2"/>
  <c r="G680" i="2"/>
  <c r="F680" i="2"/>
  <c r="E680" i="2"/>
  <c r="B680" i="2"/>
  <c r="A680" i="2"/>
  <c r="U679" i="2"/>
  <c r="T679" i="2"/>
  <c r="L679" i="2"/>
  <c r="K679" i="2"/>
  <c r="J679" i="2"/>
  <c r="G679" i="2"/>
  <c r="F679" i="2"/>
  <c r="E679" i="2"/>
  <c r="B679" i="2"/>
  <c r="A679" i="2"/>
  <c r="U678" i="2"/>
  <c r="T678" i="2"/>
  <c r="L678" i="2"/>
  <c r="K678" i="2"/>
  <c r="J678" i="2"/>
  <c r="G678" i="2"/>
  <c r="F678" i="2"/>
  <c r="E678" i="2"/>
  <c r="B678" i="2"/>
  <c r="A678" i="2"/>
  <c r="U677" i="2"/>
  <c r="T677" i="2"/>
  <c r="L677" i="2"/>
  <c r="K677" i="2"/>
  <c r="J677" i="2"/>
  <c r="G677" i="2"/>
  <c r="F677" i="2"/>
  <c r="E677" i="2"/>
  <c r="B677" i="2"/>
  <c r="A677" i="2"/>
  <c r="U676" i="2"/>
  <c r="T676" i="2"/>
  <c r="L676" i="2"/>
  <c r="K676" i="2"/>
  <c r="J676" i="2"/>
  <c r="G676" i="2"/>
  <c r="F676" i="2"/>
  <c r="E676" i="2"/>
  <c r="B676" i="2"/>
  <c r="A676" i="2"/>
  <c r="U675" i="2"/>
  <c r="T675" i="2"/>
  <c r="L675" i="2"/>
  <c r="K675" i="2"/>
  <c r="J675" i="2"/>
  <c r="G675" i="2"/>
  <c r="F675" i="2"/>
  <c r="E675" i="2"/>
  <c r="B675" i="2"/>
  <c r="A675" i="2"/>
  <c r="U674" i="2"/>
  <c r="T674" i="2"/>
  <c r="L674" i="2"/>
  <c r="K674" i="2"/>
  <c r="J674" i="2"/>
  <c r="G674" i="2"/>
  <c r="F674" i="2"/>
  <c r="E674" i="2"/>
  <c r="B674" i="2"/>
  <c r="A674" i="2"/>
  <c r="U673" i="2"/>
  <c r="T673" i="2"/>
  <c r="L673" i="2"/>
  <c r="K673" i="2"/>
  <c r="J673" i="2"/>
  <c r="G673" i="2"/>
  <c r="F673" i="2"/>
  <c r="E673" i="2"/>
  <c r="B673" i="2"/>
  <c r="A673" i="2"/>
  <c r="U672" i="2"/>
  <c r="T672" i="2"/>
  <c r="L672" i="2"/>
  <c r="K672" i="2"/>
  <c r="J672" i="2"/>
  <c r="G672" i="2"/>
  <c r="F672" i="2"/>
  <c r="E672" i="2"/>
  <c r="B672" i="2"/>
  <c r="A672" i="2"/>
  <c r="U671" i="2"/>
  <c r="T671" i="2"/>
  <c r="L671" i="2"/>
  <c r="K671" i="2"/>
  <c r="J671" i="2"/>
  <c r="G671" i="2"/>
  <c r="F671" i="2"/>
  <c r="E671" i="2"/>
  <c r="B671" i="2"/>
  <c r="A671" i="2"/>
  <c r="U670" i="2"/>
  <c r="T670" i="2"/>
  <c r="L670" i="2"/>
  <c r="K670" i="2"/>
  <c r="J670" i="2"/>
  <c r="G670" i="2"/>
  <c r="F670" i="2"/>
  <c r="E670" i="2"/>
  <c r="B670" i="2"/>
  <c r="A670" i="2"/>
  <c r="U669" i="2"/>
  <c r="T669" i="2"/>
  <c r="L669" i="2"/>
  <c r="K669" i="2"/>
  <c r="J669" i="2"/>
  <c r="G669" i="2"/>
  <c r="F669" i="2"/>
  <c r="E669" i="2"/>
  <c r="B669" i="2"/>
  <c r="A669" i="2"/>
  <c r="U668" i="2"/>
  <c r="T668" i="2"/>
  <c r="L668" i="2"/>
  <c r="K668" i="2"/>
  <c r="J668" i="2"/>
  <c r="G668" i="2"/>
  <c r="F668" i="2"/>
  <c r="E668" i="2"/>
  <c r="B668" i="2"/>
  <c r="A668" i="2"/>
  <c r="U667" i="2"/>
  <c r="T667" i="2"/>
  <c r="L667" i="2"/>
  <c r="K667" i="2"/>
  <c r="J667" i="2"/>
  <c r="G667" i="2"/>
  <c r="F667" i="2"/>
  <c r="E667" i="2"/>
  <c r="B667" i="2"/>
  <c r="A667" i="2"/>
  <c r="U666" i="2"/>
  <c r="T666" i="2"/>
  <c r="L666" i="2"/>
  <c r="K666" i="2"/>
  <c r="J666" i="2"/>
  <c r="G666" i="2"/>
  <c r="F666" i="2"/>
  <c r="E666" i="2"/>
  <c r="B666" i="2"/>
  <c r="A666" i="2"/>
  <c r="U665" i="2"/>
  <c r="T665" i="2"/>
  <c r="L665" i="2"/>
  <c r="K665" i="2"/>
  <c r="J665" i="2"/>
  <c r="G665" i="2"/>
  <c r="F665" i="2"/>
  <c r="E665" i="2"/>
  <c r="B665" i="2"/>
  <c r="A665" i="2"/>
  <c r="U664" i="2"/>
  <c r="T664" i="2"/>
  <c r="L664" i="2"/>
  <c r="K664" i="2"/>
  <c r="J664" i="2"/>
  <c r="G664" i="2"/>
  <c r="F664" i="2"/>
  <c r="E664" i="2"/>
  <c r="B664" i="2"/>
  <c r="A664" i="2"/>
  <c r="U663" i="2"/>
  <c r="T663" i="2"/>
  <c r="L663" i="2"/>
  <c r="K663" i="2"/>
  <c r="J663" i="2"/>
  <c r="G663" i="2"/>
  <c r="F663" i="2"/>
  <c r="E663" i="2"/>
  <c r="B663" i="2"/>
  <c r="A663" i="2"/>
  <c r="U662" i="2"/>
  <c r="T662" i="2"/>
  <c r="L662" i="2"/>
  <c r="K662" i="2"/>
  <c r="J662" i="2"/>
  <c r="G662" i="2"/>
  <c r="F662" i="2"/>
  <c r="E662" i="2"/>
  <c r="B662" i="2"/>
  <c r="A662" i="2"/>
  <c r="U661" i="2"/>
  <c r="T661" i="2"/>
  <c r="L661" i="2"/>
  <c r="K661" i="2"/>
  <c r="J661" i="2"/>
  <c r="G661" i="2"/>
  <c r="F661" i="2"/>
  <c r="E661" i="2"/>
  <c r="B661" i="2"/>
  <c r="A661" i="2"/>
  <c r="U660" i="2"/>
  <c r="T660" i="2"/>
  <c r="L660" i="2"/>
  <c r="K660" i="2"/>
  <c r="J660" i="2"/>
  <c r="G660" i="2"/>
  <c r="F660" i="2"/>
  <c r="E660" i="2"/>
  <c r="B660" i="2"/>
  <c r="A660" i="2"/>
  <c r="U659" i="2"/>
  <c r="T659" i="2"/>
  <c r="L659" i="2"/>
  <c r="K659" i="2"/>
  <c r="J659" i="2"/>
  <c r="G659" i="2"/>
  <c r="F659" i="2"/>
  <c r="E659" i="2"/>
  <c r="B659" i="2"/>
  <c r="A659" i="2"/>
  <c r="U658" i="2"/>
  <c r="T658" i="2"/>
  <c r="L658" i="2"/>
  <c r="K658" i="2"/>
  <c r="J658" i="2"/>
  <c r="G658" i="2"/>
  <c r="F658" i="2"/>
  <c r="E658" i="2"/>
  <c r="B658" i="2"/>
  <c r="A658" i="2"/>
  <c r="U657" i="2"/>
  <c r="T657" i="2"/>
  <c r="L657" i="2"/>
  <c r="K657" i="2"/>
  <c r="J657" i="2"/>
  <c r="G657" i="2"/>
  <c r="F657" i="2"/>
  <c r="E657" i="2"/>
  <c r="B657" i="2"/>
  <c r="A657" i="2"/>
  <c r="U656" i="2"/>
  <c r="T656" i="2"/>
  <c r="L656" i="2"/>
  <c r="K656" i="2"/>
  <c r="J656" i="2"/>
  <c r="G656" i="2"/>
  <c r="F656" i="2"/>
  <c r="E656" i="2"/>
  <c r="B656" i="2"/>
  <c r="A656" i="2"/>
  <c r="U655" i="2"/>
  <c r="T655" i="2"/>
  <c r="L655" i="2"/>
  <c r="K655" i="2"/>
  <c r="J655" i="2"/>
  <c r="G655" i="2"/>
  <c r="F655" i="2"/>
  <c r="E655" i="2"/>
  <c r="B655" i="2"/>
  <c r="A655" i="2"/>
  <c r="U654" i="2"/>
  <c r="T654" i="2"/>
  <c r="L654" i="2"/>
  <c r="K654" i="2"/>
  <c r="J654" i="2"/>
  <c r="G654" i="2"/>
  <c r="F654" i="2"/>
  <c r="E654" i="2"/>
  <c r="B654" i="2"/>
  <c r="A654" i="2"/>
  <c r="U653" i="2"/>
  <c r="T653" i="2"/>
  <c r="L653" i="2"/>
  <c r="K653" i="2"/>
  <c r="J653" i="2"/>
  <c r="G653" i="2"/>
  <c r="F653" i="2"/>
  <c r="E653" i="2"/>
  <c r="B653" i="2"/>
  <c r="A653" i="2"/>
  <c r="U652" i="2"/>
  <c r="T652" i="2"/>
  <c r="L652" i="2"/>
  <c r="K652" i="2"/>
  <c r="J652" i="2"/>
  <c r="G652" i="2"/>
  <c r="F652" i="2"/>
  <c r="E652" i="2"/>
  <c r="B652" i="2"/>
  <c r="A652" i="2"/>
  <c r="U651" i="2"/>
  <c r="T651" i="2"/>
  <c r="L651" i="2"/>
  <c r="K651" i="2"/>
  <c r="J651" i="2"/>
  <c r="G651" i="2"/>
  <c r="F651" i="2"/>
  <c r="E651" i="2"/>
  <c r="B651" i="2"/>
  <c r="A651" i="2"/>
  <c r="U650" i="2"/>
  <c r="T650" i="2"/>
  <c r="L650" i="2"/>
  <c r="K650" i="2"/>
  <c r="J650" i="2"/>
  <c r="G650" i="2"/>
  <c r="F650" i="2"/>
  <c r="E650" i="2"/>
  <c r="B650" i="2"/>
  <c r="A650" i="2"/>
  <c r="U649" i="2"/>
  <c r="T649" i="2"/>
  <c r="L649" i="2"/>
  <c r="K649" i="2"/>
  <c r="J649" i="2"/>
  <c r="G649" i="2"/>
  <c r="F649" i="2"/>
  <c r="E649" i="2"/>
  <c r="B649" i="2"/>
  <c r="A649" i="2"/>
  <c r="U648" i="2"/>
  <c r="T648" i="2"/>
  <c r="L648" i="2"/>
  <c r="K648" i="2"/>
  <c r="J648" i="2"/>
  <c r="G648" i="2"/>
  <c r="F648" i="2"/>
  <c r="E648" i="2"/>
  <c r="B648" i="2"/>
  <c r="A648" i="2"/>
  <c r="U647" i="2"/>
  <c r="T647" i="2"/>
  <c r="L647" i="2"/>
  <c r="K647" i="2"/>
  <c r="J647" i="2"/>
  <c r="G647" i="2"/>
  <c r="F647" i="2"/>
  <c r="E647" i="2"/>
  <c r="B647" i="2"/>
  <c r="A647" i="2"/>
  <c r="U646" i="2"/>
  <c r="T646" i="2"/>
  <c r="L646" i="2"/>
  <c r="K646" i="2"/>
  <c r="J646" i="2"/>
  <c r="G646" i="2"/>
  <c r="F646" i="2"/>
  <c r="E646" i="2"/>
  <c r="B646" i="2"/>
  <c r="A646" i="2"/>
  <c r="U645" i="2"/>
  <c r="T645" i="2"/>
  <c r="L645" i="2"/>
  <c r="K645" i="2"/>
  <c r="J645" i="2"/>
  <c r="G645" i="2"/>
  <c r="F645" i="2"/>
  <c r="E645" i="2"/>
  <c r="B645" i="2"/>
  <c r="A645" i="2"/>
  <c r="U644" i="2"/>
  <c r="T644" i="2"/>
  <c r="L644" i="2"/>
  <c r="K644" i="2"/>
  <c r="J644" i="2"/>
  <c r="G644" i="2"/>
  <c r="F644" i="2"/>
  <c r="E644" i="2"/>
  <c r="B644" i="2"/>
  <c r="A644" i="2"/>
  <c r="U643" i="2"/>
  <c r="T643" i="2"/>
  <c r="L643" i="2"/>
  <c r="K643" i="2"/>
  <c r="J643" i="2"/>
  <c r="G643" i="2"/>
  <c r="F643" i="2"/>
  <c r="E643" i="2"/>
  <c r="B643" i="2"/>
  <c r="A643" i="2"/>
  <c r="U642" i="2"/>
  <c r="T642" i="2"/>
  <c r="L642" i="2"/>
  <c r="K642" i="2"/>
  <c r="J642" i="2"/>
  <c r="G642" i="2"/>
  <c r="F642" i="2"/>
  <c r="E642" i="2"/>
  <c r="B642" i="2"/>
  <c r="A642" i="2"/>
  <c r="U641" i="2"/>
  <c r="T641" i="2"/>
  <c r="L641" i="2"/>
  <c r="K641" i="2"/>
  <c r="J641" i="2"/>
  <c r="G641" i="2"/>
  <c r="F641" i="2"/>
  <c r="E641" i="2"/>
  <c r="B641" i="2"/>
  <c r="A641" i="2"/>
  <c r="U640" i="2"/>
  <c r="T640" i="2"/>
  <c r="L640" i="2"/>
  <c r="K640" i="2"/>
  <c r="J640" i="2"/>
  <c r="G640" i="2"/>
  <c r="F640" i="2"/>
  <c r="E640" i="2"/>
  <c r="B640" i="2"/>
  <c r="A640" i="2"/>
  <c r="U639" i="2"/>
  <c r="T639" i="2"/>
  <c r="L639" i="2"/>
  <c r="K639" i="2"/>
  <c r="J639" i="2"/>
  <c r="G639" i="2"/>
  <c r="F639" i="2"/>
  <c r="E639" i="2"/>
  <c r="B639" i="2"/>
  <c r="A639" i="2"/>
  <c r="U638" i="2"/>
  <c r="T638" i="2"/>
  <c r="L638" i="2"/>
  <c r="K638" i="2"/>
  <c r="J638" i="2"/>
  <c r="G638" i="2"/>
  <c r="F638" i="2"/>
  <c r="E638" i="2"/>
  <c r="B638" i="2"/>
  <c r="A638" i="2"/>
  <c r="U637" i="2"/>
  <c r="T637" i="2"/>
  <c r="L637" i="2"/>
  <c r="K637" i="2"/>
  <c r="J637" i="2"/>
  <c r="G637" i="2"/>
  <c r="F637" i="2"/>
  <c r="E637" i="2"/>
  <c r="B637" i="2"/>
  <c r="A637" i="2"/>
  <c r="U636" i="2"/>
  <c r="T636" i="2"/>
  <c r="L636" i="2"/>
  <c r="K636" i="2"/>
  <c r="J636" i="2"/>
  <c r="G636" i="2"/>
  <c r="F636" i="2"/>
  <c r="E636" i="2"/>
  <c r="B636" i="2"/>
  <c r="A636" i="2"/>
  <c r="U635" i="2"/>
  <c r="T635" i="2"/>
  <c r="L635" i="2"/>
  <c r="K635" i="2"/>
  <c r="J635" i="2"/>
  <c r="G635" i="2"/>
  <c r="F635" i="2"/>
  <c r="E635" i="2"/>
  <c r="B635" i="2"/>
  <c r="A635" i="2"/>
  <c r="U634" i="2"/>
  <c r="T634" i="2"/>
  <c r="L634" i="2"/>
  <c r="K634" i="2"/>
  <c r="J634" i="2"/>
  <c r="G634" i="2"/>
  <c r="F634" i="2"/>
  <c r="E634" i="2"/>
  <c r="B634" i="2"/>
  <c r="A634" i="2"/>
  <c r="U633" i="2"/>
  <c r="T633" i="2"/>
  <c r="L633" i="2"/>
  <c r="K633" i="2"/>
  <c r="J633" i="2"/>
  <c r="G633" i="2"/>
  <c r="F633" i="2"/>
  <c r="E633" i="2"/>
  <c r="B633" i="2"/>
  <c r="A633" i="2"/>
  <c r="U632" i="2"/>
  <c r="T632" i="2"/>
  <c r="L632" i="2"/>
  <c r="K632" i="2"/>
  <c r="J632" i="2"/>
  <c r="G632" i="2"/>
  <c r="F632" i="2"/>
  <c r="E632" i="2"/>
  <c r="B632" i="2"/>
  <c r="A632" i="2"/>
  <c r="U631" i="2"/>
  <c r="T631" i="2"/>
  <c r="L631" i="2"/>
  <c r="K631" i="2"/>
  <c r="J631" i="2"/>
  <c r="G631" i="2"/>
  <c r="F631" i="2"/>
  <c r="E631" i="2"/>
  <c r="B631" i="2"/>
  <c r="A631" i="2"/>
  <c r="U630" i="2"/>
  <c r="L630" i="2"/>
  <c r="K630" i="2"/>
  <c r="J630" i="2"/>
  <c r="G630" i="2"/>
  <c r="F630" i="2"/>
  <c r="E630" i="2"/>
  <c r="B630" i="2"/>
  <c r="A630" i="2"/>
  <c r="U629" i="2"/>
  <c r="L629" i="2"/>
  <c r="K629" i="2"/>
  <c r="J629" i="2"/>
  <c r="G629" i="2"/>
  <c r="F629" i="2"/>
  <c r="E629" i="2"/>
  <c r="B629" i="2"/>
  <c r="A629" i="2"/>
  <c r="U628" i="2"/>
  <c r="L628" i="2"/>
  <c r="K628" i="2"/>
  <c r="J628" i="2"/>
  <c r="G628" i="2"/>
  <c r="F628" i="2"/>
  <c r="E628" i="2"/>
  <c r="B628" i="2"/>
  <c r="A628" i="2"/>
  <c r="U627" i="2"/>
  <c r="L627" i="2"/>
  <c r="K627" i="2"/>
  <c r="J627" i="2"/>
  <c r="G627" i="2"/>
  <c r="F627" i="2"/>
  <c r="E627" i="2"/>
  <c r="B627" i="2"/>
  <c r="A627" i="2"/>
  <c r="U626" i="2"/>
  <c r="T626" i="2"/>
  <c r="L626" i="2"/>
  <c r="K626" i="2"/>
  <c r="J626" i="2"/>
  <c r="G626" i="2"/>
  <c r="F626" i="2"/>
  <c r="E626" i="2"/>
  <c r="B626" i="2"/>
  <c r="A626" i="2"/>
  <c r="U625" i="2"/>
  <c r="T625" i="2"/>
  <c r="L625" i="2"/>
  <c r="K625" i="2"/>
  <c r="J625" i="2"/>
  <c r="G625" i="2"/>
  <c r="F625" i="2"/>
  <c r="E625" i="2"/>
  <c r="B625" i="2"/>
  <c r="A625" i="2"/>
  <c r="U624" i="2"/>
  <c r="T624" i="2"/>
  <c r="L624" i="2"/>
  <c r="K624" i="2"/>
  <c r="J624" i="2"/>
  <c r="G624" i="2"/>
  <c r="F624" i="2"/>
  <c r="E624" i="2"/>
  <c r="B624" i="2"/>
  <c r="A624" i="2"/>
  <c r="U623" i="2"/>
  <c r="T623" i="2"/>
  <c r="L623" i="2"/>
  <c r="K623" i="2"/>
  <c r="J623" i="2"/>
  <c r="G623" i="2"/>
  <c r="F623" i="2"/>
  <c r="E623" i="2"/>
  <c r="B623" i="2"/>
  <c r="A623" i="2"/>
  <c r="U622" i="2"/>
  <c r="T622" i="2"/>
  <c r="L622" i="2"/>
  <c r="K622" i="2"/>
  <c r="J622" i="2"/>
  <c r="G622" i="2"/>
  <c r="F622" i="2"/>
  <c r="E622" i="2"/>
  <c r="B622" i="2"/>
  <c r="A622" i="2"/>
  <c r="U621" i="2"/>
  <c r="T621" i="2"/>
  <c r="L621" i="2"/>
  <c r="K621" i="2"/>
  <c r="J621" i="2"/>
  <c r="G621" i="2"/>
  <c r="F621" i="2"/>
  <c r="E621" i="2"/>
  <c r="B621" i="2"/>
  <c r="A621" i="2"/>
  <c r="U620" i="2"/>
  <c r="T620" i="2"/>
  <c r="L620" i="2"/>
  <c r="K620" i="2"/>
  <c r="J620" i="2"/>
  <c r="G620" i="2"/>
  <c r="F620" i="2"/>
  <c r="E620" i="2"/>
  <c r="B620" i="2"/>
  <c r="A620" i="2"/>
  <c r="U619" i="2"/>
  <c r="T619" i="2"/>
  <c r="L619" i="2"/>
  <c r="K619" i="2"/>
  <c r="J619" i="2"/>
  <c r="G619" i="2"/>
  <c r="F619" i="2"/>
  <c r="E619" i="2"/>
  <c r="B619" i="2"/>
  <c r="A619" i="2"/>
  <c r="U618" i="2"/>
  <c r="T618" i="2"/>
  <c r="L618" i="2"/>
  <c r="K618" i="2"/>
  <c r="J618" i="2"/>
  <c r="G618" i="2"/>
  <c r="F618" i="2"/>
  <c r="E618" i="2"/>
  <c r="B618" i="2"/>
  <c r="A618" i="2"/>
  <c r="U617" i="2"/>
  <c r="T617" i="2"/>
  <c r="L617" i="2"/>
  <c r="K617" i="2"/>
  <c r="J617" i="2"/>
  <c r="G617" i="2"/>
  <c r="F617" i="2"/>
  <c r="E617" i="2"/>
  <c r="B617" i="2"/>
  <c r="A617" i="2"/>
  <c r="U616" i="2"/>
  <c r="T616" i="2"/>
  <c r="L616" i="2"/>
  <c r="K616" i="2"/>
  <c r="J616" i="2"/>
  <c r="G616" i="2"/>
  <c r="F616" i="2"/>
  <c r="E616" i="2"/>
  <c r="B616" i="2"/>
  <c r="A616" i="2"/>
  <c r="U615" i="2"/>
  <c r="T615" i="2"/>
  <c r="L615" i="2"/>
  <c r="K615" i="2"/>
  <c r="J615" i="2"/>
  <c r="G615" i="2"/>
  <c r="F615" i="2"/>
  <c r="E615" i="2"/>
  <c r="B615" i="2"/>
  <c r="A615" i="2"/>
  <c r="U614" i="2"/>
  <c r="T614" i="2"/>
  <c r="L614" i="2"/>
  <c r="K614" i="2"/>
  <c r="J614" i="2"/>
  <c r="G614" i="2"/>
  <c r="F614" i="2"/>
  <c r="E614" i="2"/>
  <c r="B614" i="2"/>
  <c r="A614" i="2"/>
  <c r="U613" i="2"/>
  <c r="T613" i="2"/>
  <c r="L613" i="2"/>
  <c r="K613" i="2"/>
  <c r="J613" i="2"/>
  <c r="G613" i="2"/>
  <c r="F613" i="2"/>
  <c r="E613" i="2"/>
  <c r="B613" i="2"/>
  <c r="A613" i="2"/>
  <c r="U612" i="2"/>
  <c r="T612" i="2"/>
  <c r="L612" i="2"/>
  <c r="K612" i="2"/>
  <c r="J612" i="2"/>
  <c r="G612" i="2"/>
  <c r="F612" i="2"/>
  <c r="E612" i="2"/>
  <c r="B612" i="2"/>
  <c r="A612" i="2"/>
  <c r="U611" i="2"/>
  <c r="T611" i="2"/>
  <c r="L611" i="2"/>
  <c r="K611" i="2"/>
  <c r="J611" i="2"/>
  <c r="G611" i="2"/>
  <c r="F611" i="2"/>
  <c r="E611" i="2"/>
  <c r="B611" i="2"/>
  <c r="A611" i="2"/>
  <c r="U610" i="2"/>
  <c r="T610" i="2"/>
  <c r="L610" i="2"/>
  <c r="K610" i="2"/>
  <c r="J610" i="2"/>
  <c r="G610" i="2"/>
  <c r="F610" i="2"/>
  <c r="E610" i="2"/>
  <c r="B610" i="2"/>
  <c r="A610" i="2"/>
  <c r="U609" i="2"/>
  <c r="T609" i="2"/>
  <c r="L609" i="2"/>
  <c r="K609" i="2"/>
  <c r="J609" i="2"/>
  <c r="G609" i="2"/>
  <c r="F609" i="2"/>
  <c r="E609" i="2"/>
  <c r="B609" i="2"/>
  <c r="A609" i="2"/>
  <c r="U608" i="2"/>
  <c r="T608" i="2"/>
  <c r="L608" i="2"/>
  <c r="K608" i="2"/>
  <c r="J608" i="2"/>
  <c r="G608" i="2"/>
  <c r="F608" i="2"/>
  <c r="E608" i="2"/>
  <c r="B608" i="2"/>
  <c r="A608" i="2"/>
  <c r="U607" i="2"/>
  <c r="T607" i="2"/>
  <c r="L607" i="2"/>
  <c r="K607" i="2"/>
  <c r="J607" i="2"/>
  <c r="G607" i="2"/>
  <c r="F607" i="2"/>
  <c r="E607" i="2"/>
  <c r="B607" i="2"/>
  <c r="A607" i="2"/>
  <c r="U606" i="2"/>
  <c r="T606" i="2"/>
  <c r="L606" i="2"/>
  <c r="K606" i="2"/>
  <c r="J606" i="2"/>
  <c r="G606" i="2"/>
  <c r="F606" i="2"/>
  <c r="E606" i="2"/>
  <c r="B606" i="2"/>
  <c r="A606" i="2"/>
  <c r="U605" i="2"/>
  <c r="T605" i="2"/>
  <c r="L605" i="2"/>
  <c r="K605" i="2"/>
  <c r="J605" i="2"/>
  <c r="G605" i="2"/>
  <c r="F605" i="2"/>
  <c r="E605" i="2"/>
  <c r="B605" i="2"/>
  <c r="A605" i="2"/>
  <c r="U604" i="2"/>
  <c r="T604" i="2"/>
  <c r="L604" i="2"/>
  <c r="K604" i="2"/>
  <c r="J604" i="2"/>
  <c r="G604" i="2"/>
  <c r="F604" i="2"/>
  <c r="E604" i="2"/>
  <c r="B604" i="2"/>
  <c r="A604" i="2"/>
  <c r="U603" i="2"/>
  <c r="T603" i="2"/>
  <c r="L603" i="2"/>
  <c r="K603" i="2"/>
  <c r="J603" i="2"/>
  <c r="G603" i="2"/>
  <c r="F603" i="2"/>
  <c r="E603" i="2"/>
  <c r="B603" i="2"/>
  <c r="A603" i="2"/>
  <c r="U602" i="2"/>
  <c r="T602" i="2"/>
  <c r="L602" i="2"/>
  <c r="K602" i="2"/>
  <c r="J602" i="2"/>
  <c r="G602" i="2"/>
  <c r="F602" i="2"/>
  <c r="E602" i="2"/>
  <c r="B602" i="2"/>
  <c r="A602" i="2"/>
  <c r="U601" i="2"/>
  <c r="T601" i="2"/>
  <c r="L601" i="2"/>
  <c r="K601" i="2"/>
  <c r="J601" i="2"/>
  <c r="G601" i="2"/>
  <c r="F601" i="2"/>
  <c r="E601" i="2"/>
  <c r="B601" i="2"/>
  <c r="A601" i="2"/>
  <c r="U600" i="2"/>
  <c r="T600" i="2"/>
  <c r="L600" i="2"/>
  <c r="K600" i="2"/>
  <c r="J600" i="2"/>
  <c r="G600" i="2"/>
  <c r="F600" i="2"/>
  <c r="E600" i="2"/>
  <c r="B600" i="2"/>
  <c r="A600" i="2"/>
  <c r="U599" i="2"/>
  <c r="T599" i="2"/>
  <c r="L599" i="2"/>
  <c r="K599" i="2"/>
  <c r="J599" i="2"/>
  <c r="G599" i="2"/>
  <c r="F599" i="2"/>
  <c r="E599" i="2"/>
  <c r="B599" i="2"/>
  <c r="A599" i="2"/>
  <c r="U598" i="2"/>
  <c r="T598" i="2"/>
  <c r="L598" i="2"/>
  <c r="K598" i="2"/>
  <c r="J598" i="2"/>
  <c r="G598" i="2"/>
  <c r="F598" i="2"/>
  <c r="E598" i="2"/>
  <c r="B598" i="2"/>
  <c r="A598" i="2"/>
  <c r="U597" i="2"/>
  <c r="T597" i="2"/>
  <c r="L597" i="2"/>
  <c r="K597" i="2"/>
  <c r="J597" i="2"/>
  <c r="G597" i="2"/>
  <c r="F597" i="2"/>
  <c r="E597" i="2"/>
  <c r="B597" i="2"/>
  <c r="A597" i="2"/>
  <c r="U596" i="2"/>
  <c r="T596" i="2"/>
  <c r="L596" i="2"/>
  <c r="K596" i="2"/>
  <c r="J596" i="2"/>
  <c r="G596" i="2"/>
  <c r="F596" i="2"/>
  <c r="E596" i="2"/>
  <c r="B596" i="2"/>
  <c r="A596" i="2"/>
  <c r="U595" i="2"/>
  <c r="T595" i="2"/>
  <c r="L595" i="2"/>
  <c r="K595" i="2"/>
  <c r="J595" i="2"/>
  <c r="G595" i="2"/>
  <c r="F595" i="2"/>
  <c r="E595" i="2"/>
  <c r="B595" i="2"/>
  <c r="A595" i="2"/>
  <c r="U594" i="2"/>
  <c r="T594" i="2"/>
  <c r="L594" i="2"/>
  <c r="K594" i="2"/>
  <c r="J594" i="2"/>
  <c r="G594" i="2"/>
  <c r="F594" i="2"/>
  <c r="E594" i="2"/>
  <c r="B594" i="2"/>
  <c r="A594" i="2"/>
  <c r="U593" i="2"/>
  <c r="T593" i="2"/>
  <c r="L593" i="2"/>
  <c r="K593" i="2"/>
  <c r="J593" i="2"/>
  <c r="G593" i="2"/>
  <c r="F593" i="2"/>
  <c r="E593" i="2"/>
  <c r="B593" i="2"/>
  <c r="A593" i="2"/>
  <c r="U592" i="2"/>
  <c r="T592" i="2"/>
  <c r="L592" i="2"/>
  <c r="K592" i="2"/>
  <c r="J592" i="2"/>
  <c r="G592" i="2"/>
  <c r="F592" i="2"/>
  <c r="E592" i="2"/>
  <c r="B592" i="2"/>
  <c r="A592" i="2"/>
  <c r="U591" i="2"/>
  <c r="T591" i="2"/>
  <c r="L591" i="2"/>
  <c r="K591" i="2"/>
  <c r="J591" i="2"/>
  <c r="G591" i="2"/>
  <c r="F591" i="2"/>
  <c r="E591" i="2"/>
  <c r="B591" i="2"/>
  <c r="A591" i="2"/>
  <c r="U590" i="2"/>
  <c r="T590" i="2"/>
  <c r="L590" i="2"/>
  <c r="K590" i="2"/>
  <c r="J590" i="2"/>
  <c r="G590" i="2"/>
  <c r="F590" i="2"/>
  <c r="E590" i="2"/>
  <c r="B590" i="2"/>
  <c r="A590" i="2"/>
  <c r="U589" i="2"/>
  <c r="T589" i="2"/>
  <c r="L589" i="2"/>
  <c r="K589" i="2"/>
  <c r="J589" i="2"/>
  <c r="G589" i="2"/>
  <c r="F589" i="2"/>
  <c r="E589" i="2"/>
  <c r="B589" i="2"/>
  <c r="A589" i="2"/>
  <c r="U588" i="2"/>
  <c r="T588" i="2"/>
  <c r="L588" i="2"/>
  <c r="K588" i="2"/>
  <c r="J588" i="2"/>
  <c r="G588" i="2"/>
  <c r="F588" i="2"/>
  <c r="E588" i="2"/>
  <c r="B588" i="2"/>
  <c r="A588" i="2"/>
  <c r="U587" i="2"/>
  <c r="T587" i="2"/>
  <c r="L587" i="2"/>
  <c r="K587" i="2"/>
  <c r="J587" i="2"/>
  <c r="G587" i="2"/>
  <c r="F587" i="2"/>
  <c r="E587" i="2"/>
  <c r="B587" i="2"/>
  <c r="A587" i="2"/>
  <c r="U586" i="2"/>
  <c r="T586" i="2"/>
  <c r="L586" i="2"/>
  <c r="K586" i="2"/>
  <c r="J586" i="2"/>
  <c r="G586" i="2"/>
  <c r="F586" i="2"/>
  <c r="E586" i="2"/>
  <c r="B586" i="2"/>
  <c r="A586" i="2"/>
  <c r="U585" i="2"/>
  <c r="T585" i="2"/>
  <c r="L585" i="2"/>
  <c r="K585" i="2"/>
  <c r="J585" i="2"/>
  <c r="G585" i="2"/>
  <c r="F585" i="2"/>
  <c r="E585" i="2"/>
  <c r="B585" i="2"/>
  <c r="A585" i="2"/>
  <c r="U584" i="2"/>
  <c r="T584" i="2"/>
  <c r="L584" i="2"/>
  <c r="K584" i="2"/>
  <c r="J584" i="2"/>
  <c r="G584" i="2"/>
  <c r="F584" i="2"/>
  <c r="E584" i="2"/>
  <c r="B584" i="2"/>
  <c r="A584" i="2"/>
  <c r="U583" i="2"/>
  <c r="T583" i="2"/>
  <c r="L583" i="2"/>
  <c r="K583" i="2"/>
  <c r="J583" i="2"/>
  <c r="G583" i="2"/>
  <c r="F583" i="2"/>
  <c r="E583" i="2"/>
  <c r="B583" i="2"/>
  <c r="A583" i="2"/>
  <c r="U582" i="2"/>
  <c r="T582" i="2"/>
  <c r="L582" i="2"/>
  <c r="K582" i="2"/>
  <c r="J582" i="2"/>
  <c r="G582" i="2"/>
  <c r="F582" i="2"/>
  <c r="E582" i="2"/>
  <c r="B582" i="2"/>
  <c r="A582" i="2"/>
  <c r="U581" i="2"/>
  <c r="T581" i="2"/>
  <c r="L581" i="2"/>
  <c r="K581" i="2"/>
  <c r="J581" i="2"/>
  <c r="G581" i="2"/>
  <c r="F581" i="2"/>
  <c r="E581" i="2"/>
  <c r="B581" i="2"/>
  <c r="A581" i="2"/>
  <c r="U580" i="2"/>
  <c r="L580" i="2"/>
  <c r="K580" i="2"/>
  <c r="J580" i="2"/>
  <c r="G580" i="2"/>
  <c r="F580" i="2"/>
  <c r="E580" i="2"/>
  <c r="B580" i="2"/>
  <c r="A580" i="2"/>
  <c r="U579" i="2"/>
  <c r="T579" i="2"/>
  <c r="L579" i="2"/>
  <c r="K579" i="2"/>
  <c r="J579" i="2"/>
  <c r="G579" i="2"/>
  <c r="F579" i="2"/>
  <c r="E579" i="2"/>
  <c r="B579" i="2"/>
  <c r="A579" i="2"/>
  <c r="U578" i="2"/>
  <c r="T578" i="2"/>
  <c r="L578" i="2"/>
  <c r="K578" i="2"/>
  <c r="J578" i="2"/>
  <c r="G578" i="2"/>
  <c r="F578" i="2"/>
  <c r="E578" i="2"/>
  <c r="B578" i="2"/>
  <c r="A578" i="2"/>
  <c r="U577" i="2"/>
  <c r="T577" i="2"/>
  <c r="L577" i="2"/>
  <c r="K577" i="2"/>
  <c r="J577" i="2"/>
  <c r="G577" i="2"/>
  <c r="F577" i="2"/>
  <c r="E577" i="2"/>
  <c r="B577" i="2"/>
  <c r="A577" i="2"/>
  <c r="U576" i="2"/>
  <c r="T576" i="2"/>
  <c r="L576" i="2"/>
  <c r="K576" i="2"/>
  <c r="J576" i="2"/>
  <c r="G576" i="2"/>
  <c r="F576" i="2"/>
  <c r="E576" i="2"/>
  <c r="B576" i="2"/>
  <c r="A576" i="2"/>
  <c r="U575" i="2"/>
  <c r="T575" i="2"/>
  <c r="L575" i="2"/>
  <c r="K575" i="2"/>
  <c r="J575" i="2"/>
  <c r="G575" i="2"/>
  <c r="F575" i="2"/>
  <c r="E575" i="2"/>
  <c r="B575" i="2"/>
  <c r="A575" i="2"/>
  <c r="U574" i="2"/>
  <c r="T574" i="2"/>
  <c r="L574" i="2"/>
  <c r="K574" i="2"/>
  <c r="J574" i="2"/>
  <c r="G574" i="2"/>
  <c r="F574" i="2"/>
  <c r="E574" i="2"/>
  <c r="B574" i="2"/>
  <c r="A574" i="2"/>
  <c r="U573" i="2"/>
  <c r="T573" i="2"/>
  <c r="L573" i="2"/>
  <c r="K573" i="2"/>
  <c r="J573" i="2"/>
  <c r="G573" i="2"/>
  <c r="F573" i="2"/>
  <c r="E573" i="2"/>
  <c r="B573" i="2"/>
  <c r="A573" i="2"/>
  <c r="U572" i="2"/>
  <c r="T572" i="2"/>
  <c r="L572" i="2"/>
  <c r="K572" i="2"/>
  <c r="J572" i="2"/>
  <c r="G572" i="2"/>
  <c r="F572" i="2"/>
  <c r="E572" i="2"/>
  <c r="B572" i="2"/>
  <c r="A572" i="2"/>
  <c r="U571" i="2"/>
  <c r="T571" i="2"/>
  <c r="L571" i="2"/>
  <c r="K571" i="2"/>
  <c r="J571" i="2"/>
  <c r="G571" i="2"/>
  <c r="F571" i="2"/>
  <c r="E571" i="2"/>
  <c r="B571" i="2"/>
  <c r="A571" i="2"/>
  <c r="U570" i="2"/>
  <c r="T570" i="2"/>
  <c r="L570" i="2"/>
  <c r="K570" i="2"/>
  <c r="J570" i="2"/>
  <c r="G570" i="2"/>
  <c r="F570" i="2"/>
  <c r="E570" i="2"/>
  <c r="B570" i="2"/>
  <c r="A570" i="2"/>
  <c r="U569" i="2"/>
  <c r="T569" i="2"/>
  <c r="L569" i="2"/>
  <c r="K569" i="2"/>
  <c r="J569" i="2"/>
  <c r="G569" i="2"/>
  <c r="F569" i="2"/>
  <c r="E569" i="2"/>
  <c r="B569" i="2"/>
  <c r="A569" i="2"/>
  <c r="U568" i="2"/>
  <c r="T568" i="2"/>
  <c r="L568" i="2"/>
  <c r="K568" i="2"/>
  <c r="J568" i="2"/>
  <c r="G568" i="2"/>
  <c r="F568" i="2"/>
  <c r="E568" i="2"/>
  <c r="B568" i="2"/>
  <c r="A568" i="2"/>
  <c r="U567" i="2"/>
  <c r="T567" i="2"/>
  <c r="L567" i="2"/>
  <c r="K567" i="2"/>
  <c r="J567" i="2"/>
  <c r="G567" i="2"/>
  <c r="F567" i="2"/>
  <c r="E567" i="2"/>
  <c r="B567" i="2"/>
  <c r="A567" i="2"/>
  <c r="U566" i="2"/>
  <c r="T566" i="2"/>
  <c r="L566" i="2"/>
  <c r="K566" i="2"/>
  <c r="J566" i="2"/>
  <c r="G566" i="2"/>
  <c r="F566" i="2"/>
  <c r="E566" i="2"/>
  <c r="B566" i="2"/>
  <c r="A566" i="2"/>
  <c r="U565" i="2"/>
  <c r="T565" i="2"/>
  <c r="L565" i="2"/>
  <c r="K565" i="2"/>
  <c r="J565" i="2"/>
  <c r="G565" i="2"/>
  <c r="F565" i="2"/>
  <c r="E565" i="2"/>
  <c r="B565" i="2"/>
  <c r="A565" i="2"/>
  <c r="U564" i="2"/>
  <c r="T564" i="2"/>
  <c r="L564" i="2"/>
  <c r="K564" i="2"/>
  <c r="J564" i="2"/>
  <c r="G564" i="2"/>
  <c r="F564" i="2"/>
  <c r="E564" i="2"/>
  <c r="B564" i="2"/>
  <c r="A564" i="2"/>
  <c r="U563" i="2"/>
  <c r="T563" i="2"/>
  <c r="L563" i="2"/>
  <c r="K563" i="2"/>
  <c r="J563" i="2"/>
  <c r="G563" i="2"/>
  <c r="F563" i="2"/>
  <c r="E563" i="2"/>
  <c r="B563" i="2"/>
  <c r="A563" i="2"/>
  <c r="U562" i="2"/>
  <c r="T562" i="2"/>
  <c r="L562" i="2"/>
  <c r="K562" i="2"/>
  <c r="J562" i="2"/>
  <c r="G562" i="2"/>
  <c r="F562" i="2"/>
  <c r="E562" i="2"/>
  <c r="B562" i="2"/>
  <c r="A562" i="2"/>
  <c r="U561" i="2"/>
  <c r="T561" i="2"/>
  <c r="L561" i="2"/>
  <c r="K561" i="2"/>
  <c r="J561" i="2"/>
  <c r="G561" i="2"/>
  <c r="F561" i="2"/>
  <c r="E561" i="2"/>
  <c r="B561" i="2"/>
  <c r="A561" i="2"/>
  <c r="U560" i="2"/>
  <c r="T560" i="2"/>
  <c r="L560" i="2"/>
  <c r="K560" i="2"/>
  <c r="J560" i="2"/>
  <c r="G560" i="2"/>
  <c r="F560" i="2"/>
  <c r="E560" i="2"/>
  <c r="B560" i="2"/>
  <c r="A560" i="2"/>
  <c r="U559" i="2"/>
  <c r="T559" i="2"/>
  <c r="L559" i="2"/>
  <c r="K559" i="2"/>
  <c r="J559" i="2"/>
  <c r="G559" i="2"/>
  <c r="F559" i="2"/>
  <c r="E559" i="2"/>
  <c r="B559" i="2"/>
  <c r="A559" i="2"/>
  <c r="U558" i="2"/>
  <c r="T558" i="2"/>
  <c r="L558" i="2"/>
  <c r="K558" i="2"/>
  <c r="J558" i="2"/>
  <c r="G558" i="2"/>
  <c r="F558" i="2"/>
  <c r="E558" i="2"/>
  <c r="B558" i="2"/>
  <c r="A558" i="2"/>
  <c r="U557" i="2"/>
  <c r="T557" i="2"/>
  <c r="L557" i="2"/>
  <c r="K557" i="2"/>
  <c r="J557" i="2"/>
  <c r="G557" i="2"/>
  <c r="F557" i="2"/>
  <c r="E557" i="2"/>
  <c r="B557" i="2"/>
  <c r="A557" i="2"/>
  <c r="U556" i="2"/>
  <c r="T556" i="2"/>
  <c r="L556" i="2"/>
  <c r="K556" i="2"/>
  <c r="J556" i="2"/>
  <c r="G556" i="2"/>
  <c r="F556" i="2"/>
  <c r="E556" i="2"/>
  <c r="B556" i="2"/>
  <c r="A556" i="2"/>
  <c r="U555" i="2"/>
  <c r="T555" i="2"/>
  <c r="L555" i="2"/>
  <c r="K555" i="2"/>
  <c r="J555" i="2"/>
  <c r="G555" i="2"/>
  <c r="F555" i="2"/>
  <c r="E555" i="2"/>
  <c r="B555" i="2"/>
  <c r="A555" i="2"/>
  <c r="U554" i="2"/>
  <c r="T554" i="2"/>
  <c r="L554" i="2"/>
  <c r="K554" i="2"/>
  <c r="J554" i="2"/>
  <c r="G554" i="2"/>
  <c r="F554" i="2"/>
  <c r="E554" i="2"/>
  <c r="B554" i="2"/>
  <c r="A554" i="2"/>
  <c r="U553" i="2"/>
  <c r="T553" i="2"/>
  <c r="L553" i="2"/>
  <c r="K553" i="2"/>
  <c r="J553" i="2"/>
  <c r="G553" i="2"/>
  <c r="F553" i="2"/>
  <c r="E553" i="2"/>
  <c r="B553" i="2"/>
  <c r="A553" i="2"/>
  <c r="U552" i="2"/>
  <c r="T552" i="2"/>
  <c r="L552" i="2"/>
  <c r="K552" i="2"/>
  <c r="J552" i="2"/>
  <c r="G552" i="2"/>
  <c r="F552" i="2"/>
  <c r="E552" i="2"/>
  <c r="B552" i="2"/>
  <c r="A552" i="2"/>
  <c r="U551" i="2"/>
  <c r="T551" i="2"/>
  <c r="L551" i="2"/>
  <c r="K551" i="2"/>
  <c r="J551" i="2"/>
  <c r="G551" i="2"/>
  <c r="F551" i="2"/>
  <c r="E551" i="2"/>
  <c r="B551" i="2"/>
  <c r="A551" i="2"/>
  <c r="U550" i="2"/>
  <c r="T550" i="2"/>
  <c r="L550" i="2"/>
  <c r="K550" i="2"/>
  <c r="J550" i="2"/>
  <c r="G550" i="2"/>
  <c r="F550" i="2"/>
  <c r="E550" i="2"/>
  <c r="B550" i="2"/>
  <c r="A550" i="2"/>
  <c r="U549" i="2"/>
  <c r="T549" i="2"/>
  <c r="L549" i="2"/>
  <c r="K549" i="2"/>
  <c r="J549" i="2"/>
  <c r="G549" i="2"/>
  <c r="F549" i="2"/>
  <c r="E549" i="2"/>
  <c r="B549" i="2"/>
  <c r="A549" i="2"/>
  <c r="U548" i="2"/>
  <c r="T548" i="2"/>
  <c r="L548" i="2"/>
  <c r="K548" i="2"/>
  <c r="J548" i="2"/>
  <c r="G548" i="2"/>
  <c r="F548" i="2"/>
  <c r="E548" i="2"/>
  <c r="B548" i="2"/>
  <c r="A548" i="2"/>
  <c r="U547" i="2"/>
  <c r="T547" i="2"/>
  <c r="L547" i="2"/>
  <c r="K547" i="2"/>
  <c r="J547" i="2"/>
  <c r="G547" i="2"/>
  <c r="F547" i="2"/>
  <c r="E547" i="2"/>
  <c r="B547" i="2"/>
  <c r="A547" i="2"/>
  <c r="U546" i="2"/>
  <c r="T546" i="2"/>
  <c r="L546" i="2"/>
  <c r="K546" i="2"/>
  <c r="J546" i="2"/>
  <c r="G546" i="2"/>
  <c r="F546" i="2"/>
  <c r="E546" i="2"/>
  <c r="B546" i="2"/>
  <c r="A546" i="2"/>
  <c r="U545" i="2"/>
  <c r="T545" i="2"/>
  <c r="L545" i="2"/>
  <c r="K545" i="2"/>
  <c r="J545" i="2"/>
  <c r="G545" i="2"/>
  <c r="F545" i="2"/>
  <c r="E545" i="2"/>
  <c r="B545" i="2"/>
  <c r="A545" i="2"/>
  <c r="U544" i="2"/>
  <c r="T544" i="2"/>
  <c r="L544" i="2"/>
  <c r="K544" i="2"/>
  <c r="J544" i="2"/>
  <c r="G544" i="2"/>
  <c r="F544" i="2"/>
  <c r="E544" i="2"/>
  <c r="B544" i="2"/>
  <c r="A544" i="2"/>
  <c r="U543" i="2"/>
  <c r="T543" i="2"/>
  <c r="L543" i="2"/>
  <c r="K543" i="2"/>
  <c r="J543" i="2"/>
  <c r="G543" i="2"/>
  <c r="F543" i="2"/>
  <c r="E543" i="2"/>
  <c r="B543" i="2"/>
  <c r="A543" i="2"/>
  <c r="U542" i="2"/>
  <c r="T542" i="2"/>
  <c r="L542" i="2"/>
  <c r="K542" i="2"/>
  <c r="J542" i="2"/>
  <c r="G542" i="2"/>
  <c r="F542" i="2"/>
  <c r="E542" i="2"/>
  <c r="B542" i="2"/>
  <c r="A542" i="2"/>
  <c r="U541" i="2"/>
  <c r="T541" i="2"/>
  <c r="L541" i="2"/>
  <c r="K541" i="2"/>
  <c r="J541" i="2"/>
  <c r="G541" i="2"/>
  <c r="F541" i="2"/>
  <c r="E541" i="2"/>
  <c r="B541" i="2"/>
  <c r="A541" i="2"/>
  <c r="U540" i="2"/>
  <c r="T540" i="2"/>
  <c r="L540" i="2"/>
  <c r="K540" i="2"/>
  <c r="J540" i="2"/>
  <c r="G540" i="2"/>
  <c r="F540" i="2"/>
  <c r="E540" i="2"/>
  <c r="B540" i="2"/>
  <c r="A540" i="2"/>
  <c r="U539" i="2"/>
  <c r="T539" i="2"/>
  <c r="L539" i="2"/>
  <c r="K539" i="2"/>
  <c r="J539" i="2"/>
  <c r="G539" i="2"/>
  <c r="F539" i="2"/>
  <c r="E539" i="2"/>
  <c r="B539" i="2"/>
  <c r="A539" i="2"/>
  <c r="U538" i="2"/>
  <c r="T538" i="2"/>
  <c r="L538" i="2"/>
  <c r="K538" i="2"/>
  <c r="J538" i="2"/>
  <c r="G538" i="2"/>
  <c r="F538" i="2"/>
  <c r="E538" i="2"/>
  <c r="B538" i="2"/>
  <c r="A538" i="2"/>
  <c r="U537" i="2"/>
  <c r="T537" i="2"/>
  <c r="L537" i="2"/>
  <c r="K537" i="2"/>
  <c r="J537" i="2"/>
  <c r="G537" i="2"/>
  <c r="F537" i="2"/>
  <c r="E537" i="2"/>
  <c r="B537" i="2"/>
  <c r="A537" i="2"/>
  <c r="U536" i="2"/>
  <c r="T536" i="2"/>
  <c r="L536" i="2"/>
  <c r="K536" i="2"/>
  <c r="J536" i="2"/>
  <c r="G536" i="2"/>
  <c r="F536" i="2"/>
  <c r="E536" i="2"/>
  <c r="B536" i="2"/>
  <c r="A536" i="2"/>
  <c r="U535" i="2"/>
  <c r="T535" i="2"/>
  <c r="L535" i="2"/>
  <c r="K535" i="2"/>
  <c r="J535" i="2"/>
  <c r="G535" i="2"/>
  <c r="F535" i="2"/>
  <c r="E535" i="2"/>
  <c r="B535" i="2"/>
  <c r="A535" i="2"/>
  <c r="U534" i="2"/>
  <c r="T534" i="2"/>
  <c r="L534" i="2"/>
  <c r="K534" i="2"/>
  <c r="J534" i="2"/>
  <c r="G534" i="2"/>
  <c r="F534" i="2"/>
  <c r="E534" i="2"/>
  <c r="B534" i="2"/>
  <c r="A534" i="2"/>
  <c r="U533" i="2"/>
  <c r="T533" i="2"/>
  <c r="L533" i="2"/>
  <c r="K533" i="2"/>
  <c r="J533" i="2"/>
  <c r="G533" i="2"/>
  <c r="F533" i="2"/>
  <c r="E533" i="2"/>
  <c r="B533" i="2"/>
  <c r="A533" i="2"/>
  <c r="U532" i="2"/>
  <c r="T532" i="2"/>
  <c r="L532" i="2"/>
  <c r="K532" i="2"/>
  <c r="J532" i="2"/>
  <c r="G532" i="2"/>
  <c r="F532" i="2"/>
  <c r="E532" i="2"/>
  <c r="B532" i="2"/>
  <c r="A532" i="2"/>
  <c r="U531" i="2"/>
  <c r="T531" i="2"/>
  <c r="L531" i="2"/>
  <c r="K531" i="2"/>
  <c r="J531" i="2"/>
  <c r="G531" i="2"/>
  <c r="F531" i="2"/>
  <c r="E531" i="2"/>
  <c r="B531" i="2"/>
  <c r="A531" i="2"/>
  <c r="U530" i="2"/>
  <c r="T530" i="2"/>
  <c r="L530" i="2"/>
  <c r="K530" i="2"/>
  <c r="J530" i="2"/>
  <c r="G530" i="2"/>
  <c r="F530" i="2"/>
  <c r="E530" i="2"/>
  <c r="B530" i="2"/>
  <c r="A530" i="2"/>
  <c r="U529" i="2"/>
  <c r="T529" i="2"/>
  <c r="L529" i="2"/>
  <c r="K529" i="2"/>
  <c r="J529" i="2"/>
  <c r="G529" i="2"/>
  <c r="F529" i="2"/>
  <c r="E529" i="2"/>
  <c r="B529" i="2"/>
  <c r="A529" i="2"/>
  <c r="U528" i="2"/>
  <c r="T528" i="2"/>
  <c r="L528" i="2"/>
  <c r="K528" i="2"/>
  <c r="J528" i="2"/>
  <c r="G528" i="2"/>
  <c r="F528" i="2"/>
  <c r="E528" i="2"/>
  <c r="B528" i="2"/>
  <c r="A528" i="2"/>
  <c r="U527" i="2"/>
  <c r="T527" i="2"/>
  <c r="L527" i="2"/>
  <c r="K527" i="2"/>
  <c r="J527" i="2"/>
  <c r="G527" i="2"/>
  <c r="F527" i="2"/>
  <c r="E527" i="2"/>
  <c r="B527" i="2"/>
  <c r="A527" i="2"/>
  <c r="U526" i="2"/>
  <c r="T526" i="2"/>
  <c r="L526" i="2"/>
  <c r="K526" i="2"/>
  <c r="J526" i="2"/>
  <c r="G526" i="2"/>
  <c r="F526" i="2"/>
  <c r="E526" i="2"/>
  <c r="B526" i="2"/>
  <c r="A526" i="2"/>
  <c r="U525" i="2"/>
  <c r="T525" i="2"/>
  <c r="L525" i="2"/>
  <c r="K525" i="2"/>
  <c r="J525" i="2"/>
  <c r="G525" i="2"/>
  <c r="F525" i="2"/>
  <c r="E525" i="2"/>
  <c r="B525" i="2"/>
  <c r="A525" i="2"/>
  <c r="U524" i="2"/>
  <c r="T524" i="2"/>
  <c r="L524" i="2"/>
  <c r="K524" i="2"/>
  <c r="J524" i="2"/>
  <c r="G524" i="2"/>
  <c r="F524" i="2"/>
  <c r="E524" i="2"/>
  <c r="B524" i="2"/>
  <c r="A524" i="2"/>
  <c r="U523" i="2"/>
  <c r="T523" i="2"/>
  <c r="L523" i="2"/>
  <c r="K523" i="2"/>
  <c r="J523" i="2"/>
  <c r="G523" i="2"/>
  <c r="F523" i="2"/>
  <c r="E523" i="2"/>
  <c r="B523" i="2"/>
  <c r="A523" i="2"/>
  <c r="U522" i="2"/>
  <c r="T522" i="2"/>
  <c r="L522" i="2"/>
  <c r="K522" i="2"/>
  <c r="J522" i="2"/>
  <c r="G522" i="2"/>
  <c r="F522" i="2"/>
  <c r="E522" i="2"/>
  <c r="B522" i="2"/>
  <c r="A522" i="2"/>
  <c r="U521" i="2"/>
  <c r="T521" i="2"/>
  <c r="L521" i="2"/>
  <c r="K521" i="2"/>
  <c r="J521" i="2"/>
  <c r="G521" i="2"/>
  <c r="F521" i="2"/>
  <c r="E521" i="2"/>
  <c r="B521" i="2"/>
  <c r="A521" i="2"/>
  <c r="U520" i="2"/>
  <c r="T520" i="2"/>
  <c r="L520" i="2"/>
  <c r="K520" i="2"/>
  <c r="J520" i="2"/>
  <c r="G520" i="2"/>
  <c r="F520" i="2"/>
  <c r="E520" i="2"/>
  <c r="B520" i="2"/>
  <c r="A520" i="2"/>
  <c r="U519" i="2"/>
  <c r="T519" i="2"/>
  <c r="L519" i="2"/>
  <c r="K519" i="2"/>
  <c r="J519" i="2"/>
  <c r="G519" i="2"/>
  <c r="F519" i="2"/>
  <c r="E519" i="2"/>
  <c r="B519" i="2"/>
  <c r="A519" i="2"/>
  <c r="U518" i="2"/>
  <c r="T518" i="2"/>
  <c r="L518" i="2"/>
  <c r="K518" i="2"/>
  <c r="J518" i="2"/>
  <c r="G518" i="2"/>
  <c r="F518" i="2"/>
  <c r="E518" i="2"/>
  <c r="B518" i="2"/>
  <c r="A518" i="2"/>
  <c r="U517" i="2"/>
  <c r="T517" i="2"/>
  <c r="L517" i="2"/>
  <c r="K517" i="2"/>
  <c r="J517" i="2"/>
  <c r="G517" i="2"/>
  <c r="F517" i="2"/>
  <c r="E517" i="2"/>
  <c r="B517" i="2"/>
  <c r="A517" i="2"/>
  <c r="U516" i="2"/>
  <c r="T516" i="2"/>
  <c r="L516" i="2"/>
  <c r="K516" i="2"/>
  <c r="J516" i="2"/>
  <c r="G516" i="2"/>
  <c r="F516" i="2"/>
  <c r="E516" i="2"/>
  <c r="B516" i="2"/>
  <c r="A516" i="2"/>
  <c r="U515" i="2"/>
  <c r="T515" i="2"/>
  <c r="L515" i="2"/>
  <c r="K515" i="2"/>
  <c r="J515" i="2"/>
  <c r="G515" i="2"/>
  <c r="F515" i="2"/>
  <c r="E515" i="2"/>
  <c r="B515" i="2"/>
  <c r="A515" i="2"/>
  <c r="U514" i="2"/>
  <c r="T514" i="2"/>
  <c r="L514" i="2"/>
  <c r="K514" i="2"/>
  <c r="J514" i="2"/>
  <c r="G514" i="2"/>
  <c r="F514" i="2"/>
  <c r="E514" i="2"/>
  <c r="B514" i="2"/>
  <c r="A514" i="2"/>
  <c r="U513" i="2"/>
  <c r="T513" i="2"/>
  <c r="L513" i="2"/>
  <c r="K513" i="2"/>
  <c r="J513" i="2"/>
  <c r="G513" i="2"/>
  <c r="F513" i="2"/>
  <c r="E513" i="2"/>
  <c r="B513" i="2"/>
  <c r="A513" i="2"/>
  <c r="U512" i="2"/>
  <c r="T512" i="2"/>
  <c r="L512" i="2"/>
  <c r="K512" i="2"/>
  <c r="J512" i="2"/>
  <c r="G512" i="2"/>
  <c r="F512" i="2"/>
  <c r="E512" i="2"/>
  <c r="B512" i="2"/>
  <c r="A512" i="2"/>
  <c r="U511" i="2"/>
  <c r="T511" i="2"/>
  <c r="L511" i="2"/>
  <c r="K511" i="2"/>
  <c r="J511" i="2"/>
  <c r="G511" i="2"/>
  <c r="F511" i="2"/>
  <c r="E511" i="2"/>
  <c r="B511" i="2"/>
  <c r="A511" i="2"/>
  <c r="U510" i="2"/>
  <c r="T510" i="2"/>
  <c r="L510" i="2"/>
  <c r="K510" i="2"/>
  <c r="J510" i="2"/>
  <c r="G510" i="2"/>
  <c r="F510" i="2"/>
  <c r="E510" i="2"/>
  <c r="B510" i="2"/>
  <c r="A510" i="2"/>
  <c r="U509" i="2"/>
  <c r="T509" i="2"/>
  <c r="L509" i="2"/>
  <c r="K509" i="2"/>
  <c r="J509" i="2"/>
  <c r="G509" i="2"/>
  <c r="F509" i="2"/>
  <c r="E509" i="2"/>
  <c r="B509" i="2"/>
  <c r="A509" i="2"/>
  <c r="U508" i="2"/>
  <c r="T508" i="2"/>
  <c r="L508" i="2"/>
  <c r="K508" i="2"/>
  <c r="J508" i="2"/>
  <c r="G508" i="2"/>
  <c r="F508" i="2"/>
  <c r="E508" i="2"/>
  <c r="B508" i="2"/>
  <c r="A508" i="2"/>
  <c r="U507" i="2"/>
  <c r="T507" i="2"/>
  <c r="L507" i="2"/>
  <c r="K507" i="2"/>
  <c r="J507" i="2"/>
  <c r="G507" i="2"/>
  <c r="F507" i="2"/>
  <c r="E507" i="2"/>
  <c r="B507" i="2"/>
  <c r="A507" i="2"/>
  <c r="U506" i="2"/>
  <c r="T506" i="2"/>
  <c r="L506" i="2"/>
  <c r="K506" i="2"/>
  <c r="J506" i="2"/>
  <c r="G506" i="2"/>
  <c r="F506" i="2"/>
  <c r="E506" i="2"/>
  <c r="B506" i="2"/>
  <c r="A506" i="2"/>
  <c r="U505" i="2"/>
  <c r="T505" i="2"/>
  <c r="L505" i="2"/>
  <c r="K505" i="2"/>
  <c r="J505" i="2"/>
  <c r="G505" i="2"/>
  <c r="F505" i="2"/>
  <c r="E505" i="2"/>
  <c r="B505" i="2"/>
  <c r="A505" i="2"/>
  <c r="U504" i="2"/>
  <c r="T504" i="2"/>
  <c r="L504" i="2"/>
  <c r="K504" i="2"/>
  <c r="J504" i="2"/>
  <c r="G504" i="2"/>
  <c r="F504" i="2"/>
  <c r="E504" i="2"/>
  <c r="B504" i="2"/>
  <c r="A504" i="2"/>
  <c r="U503" i="2"/>
  <c r="T503" i="2"/>
  <c r="L503" i="2"/>
  <c r="K503" i="2"/>
  <c r="J503" i="2"/>
  <c r="G503" i="2"/>
  <c r="F503" i="2"/>
  <c r="E503" i="2"/>
  <c r="B503" i="2"/>
  <c r="A503" i="2"/>
  <c r="U502" i="2"/>
  <c r="T502" i="2"/>
  <c r="L502" i="2"/>
  <c r="K502" i="2"/>
  <c r="J502" i="2"/>
  <c r="G502" i="2"/>
  <c r="F502" i="2"/>
  <c r="E502" i="2"/>
  <c r="B502" i="2"/>
  <c r="A502" i="2"/>
  <c r="U501" i="2"/>
  <c r="T501" i="2"/>
  <c r="L501" i="2"/>
  <c r="K501" i="2"/>
  <c r="J501" i="2"/>
  <c r="G501" i="2"/>
  <c r="F501" i="2"/>
  <c r="E501" i="2"/>
  <c r="B501" i="2"/>
  <c r="A501" i="2"/>
  <c r="U500" i="2"/>
  <c r="T500" i="2"/>
  <c r="L500" i="2"/>
  <c r="K500" i="2"/>
  <c r="J500" i="2"/>
  <c r="G500" i="2"/>
  <c r="F500" i="2"/>
  <c r="E500" i="2"/>
  <c r="B500" i="2"/>
  <c r="A500" i="2"/>
  <c r="U499" i="2"/>
  <c r="T499" i="2"/>
  <c r="L499" i="2"/>
  <c r="K499" i="2"/>
  <c r="J499" i="2"/>
  <c r="G499" i="2"/>
  <c r="F499" i="2"/>
  <c r="E499" i="2"/>
  <c r="B499" i="2"/>
  <c r="A499" i="2"/>
  <c r="U498" i="2"/>
  <c r="T498" i="2"/>
  <c r="L498" i="2"/>
  <c r="K498" i="2"/>
  <c r="J498" i="2"/>
  <c r="G498" i="2"/>
  <c r="F498" i="2"/>
  <c r="E498" i="2"/>
  <c r="B498" i="2"/>
  <c r="A498" i="2"/>
  <c r="U497" i="2"/>
  <c r="T497" i="2"/>
  <c r="L497" i="2"/>
  <c r="K497" i="2"/>
  <c r="J497" i="2"/>
  <c r="G497" i="2"/>
  <c r="F497" i="2"/>
  <c r="E497" i="2"/>
  <c r="B497" i="2"/>
  <c r="A497" i="2"/>
  <c r="U496" i="2"/>
  <c r="T496" i="2"/>
  <c r="L496" i="2"/>
  <c r="K496" i="2"/>
  <c r="J496" i="2"/>
  <c r="G496" i="2"/>
  <c r="F496" i="2"/>
  <c r="E496" i="2"/>
  <c r="B496" i="2"/>
  <c r="A496" i="2"/>
  <c r="U495" i="2"/>
  <c r="T495" i="2"/>
  <c r="L495" i="2"/>
  <c r="K495" i="2"/>
  <c r="J495" i="2"/>
  <c r="G495" i="2"/>
  <c r="F495" i="2"/>
  <c r="E495" i="2"/>
  <c r="B495" i="2"/>
  <c r="A495" i="2"/>
  <c r="U494" i="2"/>
  <c r="T494" i="2"/>
  <c r="L494" i="2"/>
  <c r="K494" i="2"/>
  <c r="J494" i="2"/>
  <c r="G494" i="2"/>
  <c r="F494" i="2"/>
  <c r="E494" i="2"/>
  <c r="B494" i="2"/>
  <c r="A494" i="2"/>
  <c r="U493" i="2"/>
  <c r="T493" i="2"/>
  <c r="L493" i="2"/>
  <c r="K493" i="2"/>
  <c r="J493" i="2"/>
  <c r="G493" i="2"/>
  <c r="F493" i="2"/>
  <c r="E493" i="2"/>
  <c r="B493" i="2"/>
  <c r="A493" i="2"/>
  <c r="U492" i="2"/>
  <c r="T492" i="2"/>
  <c r="L492" i="2"/>
  <c r="K492" i="2"/>
  <c r="J492" i="2"/>
  <c r="G492" i="2"/>
  <c r="F492" i="2"/>
  <c r="E492" i="2"/>
  <c r="B492" i="2"/>
  <c r="A492" i="2"/>
  <c r="U491" i="2"/>
  <c r="T491" i="2"/>
  <c r="L491" i="2"/>
  <c r="K491" i="2"/>
  <c r="J491" i="2"/>
  <c r="G491" i="2"/>
  <c r="F491" i="2"/>
  <c r="E491" i="2"/>
  <c r="B491" i="2"/>
  <c r="A491" i="2"/>
  <c r="U490" i="2"/>
  <c r="T490" i="2"/>
  <c r="L490" i="2"/>
  <c r="K490" i="2"/>
  <c r="J490" i="2"/>
  <c r="G490" i="2"/>
  <c r="F490" i="2"/>
  <c r="E490" i="2"/>
  <c r="B490" i="2"/>
  <c r="A490" i="2"/>
  <c r="U489" i="2"/>
  <c r="T489" i="2"/>
  <c r="L489" i="2"/>
  <c r="K489" i="2"/>
  <c r="J489" i="2"/>
  <c r="G489" i="2"/>
  <c r="F489" i="2"/>
  <c r="E489" i="2"/>
  <c r="B489" i="2"/>
  <c r="A489" i="2"/>
  <c r="U488" i="2"/>
  <c r="T488" i="2"/>
  <c r="L488" i="2"/>
  <c r="K488" i="2"/>
  <c r="J488" i="2"/>
  <c r="G488" i="2"/>
  <c r="F488" i="2"/>
  <c r="E488" i="2"/>
  <c r="B488" i="2"/>
  <c r="A488" i="2"/>
  <c r="U487" i="2"/>
  <c r="T487" i="2"/>
  <c r="L487" i="2"/>
  <c r="K487" i="2"/>
  <c r="J487" i="2"/>
  <c r="G487" i="2"/>
  <c r="F487" i="2"/>
  <c r="E487" i="2"/>
  <c r="B487" i="2"/>
  <c r="A487" i="2"/>
  <c r="U486" i="2"/>
  <c r="T486" i="2"/>
  <c r="L486" i="2"/>
  <c r="K486" i="2"/>
  <c r="J486" i="2"/>
  <c r="G486" i="2"/>
  <c r="F486" i="2"/>
  <c r="E486" i="2"/>
  <c r="B486" i="2"/>
  <c r="A486" i="2"/>
  <c r="U485" i="2"/>
  <c r="T485" i="2"/>
  <c r="L485" i="2"/>
  <c r="K485" i="2"/>
  <c r="J485" i="2"/>
  <c r="G485" i="2"/>
  <c r="F485" i="2"/>
  <c r="E485" i="2"/>
  <c r="B485" i="2"/>
  <c r="A485" i="2"/>
  <c r="U484" i="2"/>
  <c r="T484" i="2"/>
  <c r="L484" i="2"/>
  <c r="K484" i="2"/>
  <c r="J484" i="2"/>
  <c r="G484" i="2"/>
  <c r="F484" i="2"/>
  <c r="E484" i="2"/>
  <c r="B484" i="2"/>
  <c r="A484" i="2"/>
  <c r="U483" i="2"/>
  <c r="T483" i="2"/>
  <c r="L483" i="2"/>
  <c r="K483" i="2"/>
  <c r="J483" i="2"/>
  <c r="G483" i="2"/>
  <c r="F483" i="2"/>
  <c r="E483" i="2"/>
  <c r="B483" i="2"/>
  <c r="A483" i="2"/>
  <c r="U482" i="2"/>
  <c r="T482" i="2"/>
  <c r="L482" i="2"/>
  <c r="K482" i="2"/>
  <c r="J482" i="2"/>
  <c r="G482" i="2"/>
  <c r="F482" i="2"/>
  <c r="E482" i="2"/>
  <c r="B482" i="2"/>
  <c r="A482" i="2"/>
  <c r="U481" i="2"/>
  <c r="T481" i="2"/>
  <c r="L481" i="2"/>
  <c r="K481" i="2"/>
  <c r="J481" i="2"/>
  <c r="G481" i="2"/>
  <c r="F481" i="2"/>
  <c r="E481" i="2"/>
  <c r="B481" i="2"/>
  <c r="A481" i="2"/>
  <c r="U480" i="2"/>
  <c r="T480" i="2"/>
  <c r="L480" i="2"/>
  <c r="K480" i="2"/>
  <c r="J480" i="2"/>
  <c r="G480" i="2"/>
  <c r="F480" i="2"/>
  <c r="E480" i="2"/>
  <c r="B480" i="2"/>
  <c r="A480" i="2"/>
  <c r="U479" i="2"/>
  <c r="T479" i="2"/>
  <c r="L479" i="2"/>
  <c r="K479" i="2"/>
  <c r="J479" i="2"/>
  <c r="G479" i="2"/>
  <c r="F479" i="2"/>
  <c r="E479" i="2"/>
  <c r="B479" i="2"/>
  <c r="A479" i="2"/>
  <c r="U478" i="2"/>
  <c r="T478" i="2"/>
  <c r="L478" i="2"/>
  <c r="K478" i="2"/>
  <c r="J478" i="2"/>
  <c r="G478" i="2"/>
  <c r="F478" i="2"/>
  <c r="E478" i="2"/>
  <c r="B478" i="2"/>
  <c r="A478" i="2"/>
  <c r="U477" i="2"/>
  <c r="T477" i="2"/>
  <c r="L477" i="2"/>
  <c r="K477" i="2"/>
  <c r="J477" i="2"/>
  <c r="G477" i="2"/>
  <c r="F477" i="2"/>
  <c r="E477" i="2"/>
  <c r="B477" i="2"/>
  <c r="A477" i="2"/>
  <c r="U476" i="2"/>
  <c r="T476" i="2"/>
  <c r="L476" i="2"/>
  <c r="K476" i="2"/>
  <c r="J476" i="2"/>
  <c r="G476" i="2"/>
  <c r="F476" i="2"/>
  <c r="E476" i="2"/>
  <c r="B476" i="2"/>
  <c r="A476" i="2"/>
  <c r="U475" i="2"/>
  <c r="T475" i="2"/>
  <c r="L475" i="2"/>
  <c r="K475" i="2"/>
  <c r="J475" i="2"/>
  <c r="G475" i="2"/>
  <c r="F475" i="2"/>
  <c r="E475" i="2"/>
  <c r="B475" i="2"/>
  <c r="A475" i="2"/>
  <c r="U474" i="2"/>
  <c r="T474" i="2"/>
  <c r="L474" i="2"/>
  <c r="K474" i="2"/>
  <c r="G474" i="2"/>
  <c r="F474" i="2"/>
  <c r="E474" i="2"/>
  <c r="B474" i="2"/>
  <c r="A474" i="2"/>
  <c r="U473" i="2"/>
  <c r="T473" i="2"/>
  <c r="L473" i="2"/>
  <c r="K473" i="2"/>
  <c r="J473" i="2"/>
  <c r="G473" i="2"/>
  <c r="F473" i="2"/>
  <c r="E473" i="2"/>
  <c r="B473" i="2"/>
  <c r="A473" i="2"/>
  <c r="U472" i="2"/>
  <c r="T472" i="2"/>
  <c r="L472" i="2"/>
  <c r="K472" i="2"/>
  <c r="J472" i="2"/>
  <c r="G472" i="2"/>
  <c r="F472" i="2"/>
  <c r="E472" i="2"/>
  <c r="B472" i="2"/>
  <c r="A472" i="2"/>
  <c r="U471" i="2"/>
  <c r="T471" i="2"/>
  <c r="L471" i="2"/>
  <c r="K471" i="2"/>
  <c r="J471" i="2"/>
  <c r="G471" i="2"/>
  <c r="F471" i="2"/>
  <c r="E471" i="2"/>
  <c r="B471" i="2"/>
  <c r="A471" i="2"/>
  <c r="U470" i="2"/>
  <c r="T470" i="2"/>
  <c r="L470" i="2"/>
  <c r="K470" i="2"/>
  <c r="J470" i="2"/>
  <c r="G470" i="2"/>
  <c r="F470" i="2"/>
  <c r="E470" i="2"/>
  <c r="B470" i="2"/>
  <c r="A470" i="2"/>
  <c r="U469" i="2"/>
  <c r="T469" i="2"/>
  <c r="L469" i="2"/>
  <c r="K469" i="2"/>
  <c r="J469" i="2"/>
  <c r="G469" i="2"/>
  <c r="F469" i="2"/>
  <c r="E469" i="2"/>
  <c r="B469" i="2"/>
  <c r="A469" i="2"/>
  <c r="U468" i="2"/>
  <c r="T468" i="2"/>
  <c r="L468" i="2"/>
  <c r="K468" i="2"/>
  <c r="J468" i="2"/>
  <c r="G468" i="2"/>
  <c r="F468" i="2"/>
  <c r="E468" i="2"/>
  <c r="B468" i="2"/>
  <c r="A468" i="2"/>
  <c r="U467" i="2"/>
  <c r="T467" i="2"/>
  <c r="L467" i="2"/>
  <c r="K467" i="2"/>
  <c r="J467" i="2"/>
  <c r="G467" i="2"/>
  <c r="F467" i="2"/>
  <c r="E467" i="2"/>
  <c r="B467" i="2"/>
  <c r="A467" i="2"/>
  <c r="U466" i="2"/>
  <c r="T466" i="2"/>
  <c r="L466" i="2"/>
  <c r="K466" i="2"/>
  <c r="J466" i="2"/>
  <c r="G466" i="2"/>
  <c r="F466" i="2"/>
  <c r="E466" i="2"/>
  <c r="B466" i="2"/>
  <c r="A466" i="2"/>
  <c r="U465" i="2"/>
  <c r="T465" i="2"/>
  <c r="L465" i="2"/>
  <c r="K465" i="2"/>
  <c r="J465" i="2"/>
  <c r="G465" i="2"/>
  <c r="F465" i="2"/>
  <c r="E465" i="2"/>
  <c r="B465" i="2"/>
  <c r="A465" i="2"/>
  <c r="U464" i="2"/>
  <c r="T464" i="2"/>
  <c r="L464" i="2"/>
  <c r="K464" i="2"/>
  <c r="J464" i="2"/>
  <c r="G464" i="2"/>
  <c r="F464" i="2"/>
  <c r="E464" i="2"/>
  <c r="B464" i="2"/>
  <c r="A464" i="2"/>
  <c r="U463" i="2"/>
  <c r="T463" i="2"/>
  <c r="L463" i="2"/>
  <c r="K463" i="2"/>
  <c r="J463" i="2"/>
  <c r="G463" i="2"/>
  <c r="F463" i="2"/>
  <c r="E463" i="2"/>
  <c r="B463" i="2"/>
  <c r="A463" i="2"/>
  <c r="U462" i="2"/>
  <c r="T462" i="2"/>
  <c r="L462" i="2"/>
  <c r="K462" i="2"/>
  <c r="J462" i="2"/>
  <c r="G462" i="2"/>
  <c r="F462" i="2"/>
  <c r="E462" i="2"/>
  <c r="B462" i="2"/>
  <c r="A462" i="2"/>
  <c r="U461" i="2"/>
  <c r="T461" i="2"/>
  <c r="L461" i="2"/>
  <c r="K461" i="2"/>
  <c r="J461" i="2"/>
  <c r="G461" i="2"/>
  <c r="F461" i="2"/>
  <c r="E461" i="2"/>
  <c r="B461" i="2"/>
  <c r="A461" i="2"/>
  <c r="U460" i="2"/>
  <c r="T460" i="2"/>
  <c r="L460" i="2"/>
  <c r="K460" i="2"/>
  <c r="J460" i="2"/>
  <c r="G460" i="2"/>
  <c r="F460" i="2"/>
  <c r="E460" i="2"/>
  <c r="B460" i="2"/>
  <c r="A460" i="2"/>
  <c r="U459" i="2"/>
  <c r="T459" i="2"/>
  <c r="L459" i="2"/>
  <c r="K459" i="2"/>
  <c r="J459" i="2"/>
  <c r="G459" i="2"/>
  <c r="F459" i="2"/>
  <c r="E459" i="2"/>
  <c r="B459" i="2"/>
  <c r="A459" i="2"/>
  <c r="U458" i="2"/>
  <c r="T458" i="2"/>
  <c r="L458" i="2"/>
  <c r="K458" i="2"/>
  <c r="J458" i="2"/>
  <c r="G458" i="2"/>
  <c r="F458" i="2"/>
  <c r="E458" i="2"/>
  <c r="B458" i="2"/>
  <c r="A458" i="2"/>
  <c r="U457" i="2"/>
  <c r="T457" i="2"/>
  <c r="L457" i="2"/>
  <c r="K457" i="2"/>
  <c r="J457" i="2"/>
  <c r="G457" i="2"/>
  <c r="F457" i="2"/>
  <c r="E457" i="2"/>
  <c r="B457" i="2"/>
  <c r="A457" i="2"/>
  <c r="U456" i="2"/>
  <c r="T456" i="2"/>
  <c r="L456" i="2"/>
  <c r="K456" i="2"/>
  <c r="J456" i="2"/>
  <c r="G456" i="2"/>
  <c r="F456" i="2"/>
  <c r="E456" i="2"/>
  <c r="B456" i="2"/>
  <c r="A456" i="2"/>
  <c r="U455" i="2"/>
  <c r="T455" i="2"/>
  <c r="L455" i="2"/>
  <c r="K455" i="2"/>
  <c r="J455" i="2"/>
  <c r="G455" i="2"/>
  <c r="F455" i="2"/>
  <c r="E455" i="2"/>
  <c r="B455" i="2"/>
  <c r="A455" i="2"/>
  <c r="U454" i="2"/>
  <c r="T454" i="2"/>
  <c r="L454" i="2"/>
  <c r="K454" i="2"/>
  <c r="J454" i="2"/>
  <c r="G454" i="2"/>
  <c r="F454" i="2"/>
  <c r="E454" i="2"/>
  <c r="B454" i="2"/>
  <c r="A454" i="2"/>
  <c r="U453" i="2"/>
  <c r="T453" i="2"/>
  <c r="L453" i="2"/>
  <c r="K453" i="2"/>
  <c r="J453" i="2"/>
  <c r="G453" i="2"/>
  <c r="F453" i="2"/>
  <c r="E453" i="2"/>
  <c r="B453" i="2"/>
  <c r="A453" i="2"/>
  <c r="U452" i="2"/>
  <c r="T452" i="2"/>
  <c r="L452" i="2"/>
  <c r="K452" i="2"/>
  <c r="J452" i="2"/>
  <c r="G452" i="2"/>
  <c r="F452" i="2"/>
  <c r="E452" i="2"/>
  <c r="B452" i="2"/>
  <c r="A452" i="2"/>
  <c r="U451" i="2"/>
  <c r="T451" i="2"/>
  <c r="L451" i="2"/>
  <c r="K451" i="2"/>
  <c r="J451" i="2"/>
  <c r="G451" i="2"/>
  <c r="F451" i="2"/>
  <c r="E451" i="2"/>
  <c r="B451" i="2"/>
  <c r="A451" i="2"/>
  <c r="U450" i="2"/>
  <c r="T450" i="2"/>
  <c r="L450" i="2"/>
  <c r="K450" i="2"/>
  <c r="J450" i="2"/>
  <c r="G450" i="2"/>
  <c r="F450" i="2"/>
  <c r="E450" i="2"/>
  <c r="B450" i="2"/>
  <c r="A450" i="2"/>
  <c r="U449" i="2"/>
  <c r="T449" i="2"/>
  <c r="L449" i="2"/>
  <c r="K449" i="2"/>
  <c r="J449" i="2"/>
  <c r="G449" i="2"/>
  <c r="F449" i="2"/>
  <c r="E449" i="2"/>
  <c r="B449" i="2"/>
  <c r="A449" i="2"/>
  <c r="U448" i="2"/>
  <c r="T448" i="2"/>
  <c r="L448" i="2"/>
  <c r="K448" i="2"/>
  <c r="J448" i="2"/>
  <c r="G448" i="2"/>
  <c r="F448" i="2"/>
  <c r="E448" i="2"/>
  <c r="B448" i="2"/>
  <c r="A448" i="2"/>
  <c r="U447" i="2"/>
  <c r="T447" i="2"/>
  <c r="L447" i="2"/>
  <c r="K447" i="2"/>
  <c r="J447" i="2"/>
  <c r="G447" i="2"/>
  <c r="F447" i="2"/>
  <c r="E447" i="2"/>
  <c r="B447" i="2"/>
  <c r="A447" i="2"/>
  <c r="U446" i="2"/>
  <c r="T446" i="2"/>
  <c r="L446" i="2"/>
  <c r="K446" i="2"/>
  <c r="J446" i="2"/>
  <c r="G446" i="2"/>
  <c r="F446" i="2"/>
  <c r="E446" i="2"/>
  <c r="B446" i="2"/>
  <c r="A446" i="2"/>
  <c r="U445" i="2"/>
  <c r="T445" i="2"/>
  <c r="L445" i="2"/>
  <c r="K445" i="2"/>
  <c r="J445" i="2"/>
  <c r="G445" i="2"/>
  <c r="F445" i="2"/>
  <c r="E445" i="2"/>
  <c r="B445" i="2"/>
  <c r="A445" i="2"/>
  <c r="U444" i="2"/>
  <c r="T444" i="2"/>
  <c r="L444" i="2"/>
  <c r="K444" i="2"/>
  <c r="J444" i="2"/>
  <c r="G444" i="2"/>
  <c r="F444" i="2"/>
  <c r="E444" i="2"/>
  <c r="B444" i="2"/>
  <c r="A444" i="2"/>
  <c r="U443" i="2"/>
  <c r="T443" i="2"/>
  <c r="L443" i="2"/>
  <c r="K443" i="2"/>
  <c r="J443" i="2"/>
  <c r="G443" i="2"/>
  <c r="F443" i="2"/>
  <c r="E443" i="2"/>
  <c r="B443" i="2"/>
  <c r="A443" i="2"/>
  <c r="U442" i="2"/>
  <c r="T442" i="2"/>
  <c r="L442" i="2"/>
  <c r="K442" i="2"/>
  <c r="J442" i="2"/>
  <c r="G442" i="2"/>
  <c r="F442" i="2"/>
  <c r="E442" i="2"/>
  <c r="B442" i="2"/>
  <c r="A442" i="2"/>
  <c r="U441" i="2"/>
  <c r="T441" i="2"/>
  <c r="L441" i="2"/>
  <c r="K441" i="2"/>
  <c r="J441" i="2"/>
  <c r="G441" i="2"/>
  <c r="F441" i="2"/>
  <c r="E441" i="2"/>
  <c r="B441" i="2"/>
  <c r="A441" i="2"/>
  <c r="U440" i="2"/>
  <c r="T440" i="2"/>
  <c r="L440" i="2"/>
  <c r="K440" i="2"/>
  <c r="J440" i="2"/>
  <c r="G440" i="2"/>
  <c r="F440" i="2"/>
  <c r="E440" i="2"/>
  <c r="B440" i="2"/>
  <c r="A440" i="2"/>
  <c r="U439" i="2"/>
  <c r="T439" i="2"/>
  <c r="L439" i="2"/>
  <c r="K439" i="2"/>
  <c r="J439" i="2"/>
  <c r="G439" i="2"/>
  <c r="F439" i="2"/>
  <c r="E439" i="2"/>
  <c r="B439" i="2"/>
  <c r="A439" i="2"/>
  <c r="U438" i="2"/>
  <c r="T438" i="2"/>
  <c r="L438" i="2"/>
  <c r="K438" i="2"/>
  <c r="J438" i="2"/>
  <c r="G438" i="2"/>
  <c r="F438" i="2"/>
  <c r="E438" i="2"/>
  <c r="B438" i="2"/>
  <c r="A438" i="2"/>
  <c r="U437" i="2"/>
  <c r="T437" i="2"/>
  <c r="L437" i="2"/>
  <c r="K437" i="2"/>
  <c r="J437" i="2"/>
  <c r="G437" i="2"/>
  <c r="F437" i="2"/>
  <c r="E437" i="2"/>
  <c r="B437" i="2"/>
  <c r="A437" i="2"/>
  <c r="U436" i="2"/>
  <c r="T436" i="2"/>
  <c r="L436" i="2"/>
  <c r="K436" i="2"/>
  <c r="J436" i="2"/>
  <c r="G436" i="2"/>
  <c r="F436" i="2"/>
  <c r="E436" i="2"/>
  <c r="B436" i="2"/>
  <c r="A436" i="2"/>
  <c r="U435" i="2"/>
  <c r="T435" i="2"/>
  <c r="L435" i="2"/>
  <c r="K435" i="2"/>
  <c r="J435" i="2"/>
  <c r="G435" i="2"/>
  <c r="F435" i="2"/>
  <c r="E435" i="2"/>
  <c r="B435" i="2"/>
  <c r="A435" i="2"/>
  <c r="U434" i="2"/>
  <c r="T434" i="2"/>
  <c r="L434" i="2"/>
  <c r="K434" i="2"/>
  <c r="J434" i="2"/>
  <c r="G434" i="2"/>
  <c r="F434" i="2"/>
  <c r="E434" i="2"/>
  <c r="B434" i="2"/>
  <c r="A434" i="2"/>
  <c r="U433" i="2"/>
  <c r="T433" i="2"/>
  <c r="L433" i="2"/>
  <c r="K433" i="2"/>
  <c r="J433" i="2"/>
  <c r="G433" i="2"/>
  <c r="F433" i="2"/>
  <c r="E433" i="2"/>
  <c r="B433" i="2"/>
  <c r="A433" i="2"/>
  <c r="U432" i="2"/>
  <c r="T432" i="2"/>
  <c r="L432" i="2"/>
  <c r="K432" i="2"/>
  <c r="J432" i="2"/>
  <c r="G432" i="2"/>
  <c r="F432" i="2"/>
  <c r="E432" i="2"/>
  <c r="B432" i="2"/>
  <c r="A432" i="2"/>
  <c r="U431" i="2"/>
  <c r="T431" i="2"/>
  <c r="L431" i="2"/>
  <c r="K431" i="2"/>
  <c r="J431" i="2"/>
  <c r="G431" i="2"/>
  <c r="F431" i="2"/>
  <c r="E431" i="2"/>
  <c r="B431" i="2"/>
  <c r="A431" i="2"/>
  <c r="U430" i="2"/>
  <c r="T430" i="2"/>
  <c r="L430" i="2"/>
  <c r="K430" i="2"/>
  <c r="J430" i="2"/>
  <c r="G430" i="2"/>
  <c r="F430" i="2"/>
  <c r="E430" i="2"/>
  <c r="B430" i="2"/>
  <c r="A430" i="2"/>
  <c r="U429" i="2"/>
  <c r="T429" i="2"/>
  <c r="L429" i="2"/>
  <c r="K429" i="2"/>
  <c r="J429" i="2"/>
  <c r="G429" i="2"/>
  <c r="F429" i="2"/>
  <c r="E429" i="2"/>
  <c r="B429" i="2"/>
  <c r="A429" i="2"/>
  <c r="U428" i="2"/>
  <c r="T428" i="2"/>
  <c r="L428" i="2"/>
  <c r="K428" i="2"/>
  <c r="J428" i="2"/>
  <c r="G428" i="2"/>
  <c r="F428" i="2"/>
  <c r="E428" i="2"/>
  <c r="B428" i="2"/>
  <c r="A428" i="2"/>
  <c r="U427" i="2"/>
  <c r="T427" i="2"/>
  <c r="L427" i="2"/>
  <c r="K427" i="2"/>
  <c r="J427" i="2"/>
  <c r="G427" i="2"/>
  <c r="F427" i="2"/>
  <c r="E427" i="2"/>
  <c r="B427" i="2"/>
  <c r="A427" i="2"/>
  <c r="U426" i="2"/>
  <c r="T426" i="2"/>
  <c r="L426" i="2"/>
  <c r="K426" i="2"/>
  <c r="J426" i="2"/>
  <c r="G426" i="2"/>
  <c r="F426" i="2"/>
  <c r="E426" i="2"/>
  <c r="B426" i="2"/>
  <c r="A426" i="2"/>
  <c r="U425" i="2"/>
  <c r="T425" i="2"/>
  <c r="L425" i="2"/>
  <c r="K425" i="2"/>
  <c r="J425" i="2"/>
  <c r="G425" i="2"/>
  <c r="F425" i="2"/>
  <c r="E425" i="2"/>
  <c r="B425" i="2"/>
  <c r="A425" i="2"/>
  <c r="U424" i="2"/>
  <c r="T424" i="2"/>
  <c r="L424" i="2"/>
  <c r="K424" i="2"/>
  <c r="J424" i="2"/>
  <c r="G424" i="2"/>
  <c r="F424" i="2"/>
  <c r="E424" i="2"/>
  <c r="B424" i="2"/>
  <c r="A424" i="2"/>
  <c r="U423" i="2"/>
  <c r="T423" i="2"/>
  <c r="L423" i="2"/>
  <c r="K423" i="2"/>
  <c r="J423" i="2"/>
  <c r="G423" i="2"/>
  <c r="F423" i="2"/>
  <c r="E423" i="2"/>
  <c r="B423" i="2"/>
  <c r="A423" i="2"/>
  <c r="U422" i="2"/>
  <c r="T422" i="2"/>
  <c r="L422" i="2"/>
  <c r="K422" i="2"/>
  <c r="J422" i="2"/>
  <c r="G422" i="2"/>
  <c r="F422" i="2"/>
  <c r="E422" i="2"/>
  <c r="B422" i="2"/>
  <c r="A422" i="2"/>
  <c r="U421" i="2"/>
  <c r="T421" i="2"/>
  <c r="L421" i="2"/>
  <c r="K421" i="2"/>
  <c r="J421" i="2"/>
  <c r="G421" i="2"/>
  <c r="F421" i="2"/>
  <c r="E421" i="2"/>
  <c r="B421" i="2"/>
  <c r="A421" i="2"/>
  <c r="U420" i="2"/>
  <c r="T420" i="2"/>
  <c r="L420" i="2"/>
  <c r="K420" i="2"/>
  <c r="J420" i="2"/>
  <c r="G420" i="2"/>
  <c r="F420" i="2"/>
  <c r="E420" i="2"/>
  <c r="B420" i="2"/>
  <c r="A420" i="2"/>
  <c r="U419" i="2"/>
  <c r="T419" i="2"/>
  <c r="L419" i="2"/>
  <c r="K419" i="2"/>
  <c r="J419" i="2"/>
  <c r="G419" i="2"/>
  <c r="F419" i="2"/>
  <c r="E419" i="2"/>
  <c r="B419" i="2"/>
  <c r="A419" i="2"/>
  <c r="U418" i="2"/>
  <c r="T418" i="2"/>
  <c r="L418" i="2"/>
  <c r="K418" i="2"/>
  <c r="J418" i="2"/>
  <c r="G418" i="2"/>
  <c r="F418" i="2"/>
  <c r="E418" i="2"/>
  <c r="B418" i="2"/>
  <c r="A418" i="2"/>
  <c r="U417" i="2"/>
  <c r="T417" i="2"/>
  <c r="L417" i="2"/>
  <c r="K417" i="2"/>
  <c r="J417" i="2"/>
  <c r="G417" i="2"/>
  <c r="F417" i="2"/>
  <c r="E417" i="2"/>
  <c r="B417" i="2"/>
  <c r="A417" i="2"/>
  <c r="U416" i="2"/>
  <c r="T416" i="2"/>
  <c r="L416" i="2"/>
  <c r="K416" i="2"/>
  <c r="J416" i="2"/>
  <c r="G416" i="2"/>
  <c r="F416" i="2"/>
  <c r="E416" i="2"/>
  <c r="B416" i="2"/>
  <c r="A416" i="2"/>
  <c r="U415" i="2"/>
  <c r="T415" i="2"/>
  <c r="L415" i="2"/>
  <c r="K415" i="2"/>
  <c r="J415" i="2"/>
  <c r="G415" i="2"/>
  <c r="F415" i="2"/>
  <c r="E415" i="2"/>
  <c r="B415" i="2"/>
  <c r="A415" i="2"/>
  <c r="U414" i="2"/>
  <c r="T414" i="2"/>
  <c r="L414" i="2"/>
  <c r="K414" i="2"/>
  <c r="J414" i="2"/>
  <c r="G414" i="2"/>
  <c r="F414" i="2"/>
  <c r="E414" i="2"/>
  <c r="B414" i="2"/>
  <c r="A414" i="2"/>
  <c r="U413" i="2"/>
  <c r="T413" i="2"/>
  <c r="L413" i="2"/>
  <c r="K413" i="2"/>
  <c r="J413" i="2"/>
  <c r="G413" i="2"/>
  <c r="F413" i="2"/>
  <c r="E413" i="2"/>
  <c r="B413" i="2"/>
  <c r="A413" i="2"/>
  <c r="U412" i="2"/>
  <c r="T412" i="2"/>
  <c r="L412" i="2"/>
  <c r="K412" i="2"/>
  <c r="J412" i="2"/>
  <c r="G412" i="2"/>
  <c r="F412" i="2"/>
  <c r="E412" i="2"/>
  <c r="B412" i="2"/>
  <c r="A412" i="2"/>
  <c r="U411" i="2"/>
  <c r="T411" i="2"/>
  <c r="L411" i="2"/>
  <c r="K411" i="2"/>
  <c r="J411" i="2"/>
  <c r="G411" i="2"/>
  <c r="F411" i="2"/>
  <c r="E411" i="2"/>
  <c r="B411" i="2"/>
  <c r="A411" i="2"/>
  <c r="U410" i="2"/>
  <c r="T410" i="2"/>
  <c r="L410" i="2"/>
  <c r="K410" i="2"/>
  <c r="J410" i="2"/>
  <c r="G410" i="2"/>
  <c r="F410" i="2"/>
  <c r="E410" i="2"/>
  <c r="B410" i="2"/>
  <c r="A410" i="2"/>
  <c r="U409" i="2"/>
  <c r="T409" i="2"/>
  <c r="L409" i="2"/>
  <c r="K409" i="2"/>
  <c r="J409" i="2"/>
  <c r="G409" i="2"/>
  <c r="F409" i="2"/>
  <c r="E409" i="2"/>
  <c r="B409" i="2"/>
  <c r="A409" i="2"/>
  <c r="U408" i="2"/>
  <c r="T408" i="2"/>
  <c r="L408" i="2"/>
  <c r="K408" i="2"/>
  <c r="J408" i="2"/>
  <c r="G408" i="2"/>
  <c r="F408" i="2"/>
  <c r="E408" i="2"/>
  <c r="B408" i="2"/>
  <c r="A408" i="2"/>
  <c r="U407" i="2"/>
  <c r="T407" i="2"/>
  <c r="L407" i="2"/>
  <c r="K407" i="2"/>
  <c r="J407" i="2"/>
  <c r="G407" i="2"/>
  <c r="F407" i="2"/>
  <c r="E407" i="2"/>
  <c r="B407" i="2"/>
  <c r="A407" i="2"/>
  <c r="U406" i="2"/>
  <c r="T406" i="2"/>
  <c r="L406" i="2"/>
  <c r="K406" i="2"/>
  <c r="J406" i="2"/>
  <c r="G406" i="2"/>
  <c r="F406" i="2"/>
  <c r="E406" i="2"/>
  <c r="B406" i="2"/>
  <c r="A406" i="2"/>
  <c r="U405" i="2"/>
  <c r="L405" i="2"/>
  <c r="K405" i="2"/>
  <c r="J405" i="2"/>
  <c r="G405" i="2"/>
  <c r="F405" i="2"/>
  <c r="E405" i="2"/>
  <c r="B405" i="2"/>
  <c r="A405" i="2"/>
  <c r="U404" i="2"/>
  <c r="L404" i="2"/>
  <c r="K404" i="2"/>
  <c r="J404" i="2"/>
  <c r="G404" i="2"/>
  <c r="F404" i="2"/>
  <c r="E404" i="2"/>
  <c r="B404" i="2"/>
  <c r="A404" i="2"/>
  <c r="U403" i="2"/>
  <c r="L403" i="2"/>
  <c r="K403" i="2"/>
  <c r="J403" i="2"/>
  <c r="G403" i="2"/>
  <c r="F403" i="2"/>
  <c r="E403" i="2"/>
  <c r="B403" i="2"/>
  <c r="A403" i="2"/>
  <c r="U402" i="2"/>
  <c r="T402" i="2"/>
  <c r="L402" i="2"/>
  <c r="K402" i="2"/>
  <c r="J402" i="2"/>
  <c r="G402" i="2"/>
  <c r="F402" i="2"/>
  <c r="E402" i="2"/>
  <c r="B402" i="2"/>
  <c r="A402" i="2"/>
  <c r="U401" i="2"/>
  <c r="T401" i="2"/>
  <c r="L401" i="2"/>
  <c r="K401" i="2"/>
  <c r="J401" i="2"/>
  <c r="G401" i="2"/>
  <c r="F401" i="2"/>
  <c r="E401" i="2"/>
  <c r="B401" i="2"/>
  <c r="A401" i="2"/>
  <c r="U400" i="2"/>
  <c r="T400" i="2"/>
  <c r="L400" i="2"/>
  <c r="K400" i="2"/>
  <c r="J400" i="2"/>
  <c r="G400" i="2"/>
  <c r="F400" i="2"/>
  <c r="E400" i="2"/>
  <c r="B400" i="2"/>
  <c r="A400" i="2"/>
  <c r="U399" i="2"/>
  <c r="T399" i="2"/>
  <c r="L399" i="2"/>
  <c r="K399" i="2"/>
  <c r="J399" i="2"/>
  <c r="G399" i="2"/>
  <c r="F399" i="2"/>
  <c r="E399" i="2"/>
  <c r="B399" i="2"/>
  <c r="A399" i="2"/>
  <c r="U398" i="2"/>
  <c r="T398" i="2"/>
  <c r="L398" i="2"/>
  <c r="K398" i="2"/>
  <c r="J398" i="2"/>
  <c r="G398" i="2"/>
  <c r="F398" i="2"/>
  <c r="E398" i="2"/>
  <c r="B398" i="2"/>
  <c r="A398" i="2"/>
  <c r="U397" i="2"/>
  <c r="T397" i="2"/>
  <c r="L397" i="2"/>
  <c r="K397" i="2"/>
  <c r="J397" i="2"/>
  <c r="G397" i="2"/>
  <c r="F397" i="2"/>
  <c r="E397" i="2"/>
  <c r="B397" i="2"/>
  <c r="A397" i="2"/>
  <c r="U396" i="2"/>
  <c r="T396" i="2"/>
  <c r="L396" i="2"/>
  <c r="K396" i="2"/>
  <c r="J396" i="2"/>
  <c r="G396" i="2"/>
  <c r="F396" i="2"/>
  <c r="E396" i="2"/>
  <c r="B396" i="2"/>
  <c r="A396" i="2"/>
  <c r="U395" i="2"/>
  <c r="T395" i="2"/>
  <c r="L395" i="2"/>
  <c r="K395" i="2"/>
  <c r="J395" i="2"/>
  <c r="G395" i="2"/>
  <c r="F395" i="2"/>
  <c r="E395" i="2"/>
  <c r="B395" i="2"/>
  <c r="A395" i="2"/>
  <c r="U394" i="2"/>
  <c r="T394" i="2"/>
  <c r="L394" i="2"/>
  <c r="K394" i="2"/>
  <c r="J394" i="2"/>
  <c r="G394" i="2"/>
  <c r="F394" i="2"/>
  <c r="E394" i="2"/>
  <c r="B394" i="2"/>
  <c r="A394" i="2"/>
  <c r="U393" i="2"/>
  <c r="T393" i="2"/>
  <c r="L393" i="2"/>
  <c r="K393" i="2"/>
  <c r="J393" i="2"/>
  <c r="G393" i="2"/>
  <c r="F393" i="2"/>
  <c r="E393" i="2"/>
  <c r="B393" i="2"/>
  <c r="A393" i="2"/>
  <c r="U392" i="2"/>
  <c r="T392" i="2"/>
  <c r="L392" i="2"/>
  <c r="K392" i="2"/>
  <c r="J392" i="2"/>
  <c r="G392" i="2"/>
  <c r="F392" i="2"/>
  <c r="E392" i="2"/>
  <c r="B392" i="2"/>
  <c r="A392" i="2"/>
  <c r="U391" i="2"/>
  <c r="T391" i="2"/>
  <c r="L391" i="2"/>
  <c r="K391" i="2"/>
  <c r="J391" i="2"/>
  <c r="G391" i="2"/>
  <c r="F391" i="2"/>
  <c r="E391" i="2"/>
  <c r="B391" i="2"/>
  <c r="A391" i="2"/>
  <c r="U390" i="2"/>
  <c r="T390" i="2"/>
  <c r="L390" i="2"/>
  <c r="K390" i="2"/>
  <c r="J390" i="2"/>
  <c r="G390" i="2"/>
  <c r="F390" i="2"/>
  <c r="E390" i="2"/>
  <c r="B390" i="2"/>
  <c r="A390" i="2"/>
  <c r="U389" i="2"/>
  <c r="T389" i="2"/>
  <c r="L389" i="2"/>
  <c r="K389" i="2"/>
  <c r="J389" i="2"/>
  <c r="G389" i="2"/>
  <c r="F389" i="2"/>
  <c r="E389" i="2"/>
  <c r="B389" i="2"/>
  <c r="A389" i="2"/>
  <c r="U388" i="2"/>
  <c r="T388" i="2"/>
  <c r="L388" i="2"/>
  <c r="K388" i="2"/>
  <c r="J388" i="2"/>
  <c r="G388" i="2"/>
  <c r="F388" i="2"/>
  <c r="E388" i="2"/>
  <c r="B388" i="2"/>
  <c r="A388" i="2"/>
  <c r="U387" i="2"/>
  <c r="T387" i="2"/>
  <c r="L387" i="2"/>
  <c r="K387" i="2"/>
  <c r="J387" i="2"/>
  <c r="G387" i="2"/>
  <c r="F387" i="2"/>
  <c r="E387" i="2"/>
  <c r="B387" i="2"/>
  <c r="A387" i="2"/>
  <c r="U386" i="2"/>
  <c r="T386" i="2"/>
  <c r="L386" i="2"/>
  <c r="K386" i="2"/>
  <c r="J386" i="2"/>
  <c r="G386" i="2"/>
  <c r="F386" i="2"/>
  <c r="E386" i="2"/>
  <c r="B386" i="2"/>
  <c r="A386" i="2"/>
  <c r="U385" i="2"/>
  <c r="T385" i="2"/>
  <c r="L385" i="2"/>
  <c r="K385" i="2"/>
  <c r="J385" i="2"/>
  <c r="G385" i="2"/>
  <c r="F385" i="2"/>
  <c r="E385" i="2"/>
  <c r="B385" i="2"/>
  <c r="A385" i="2"/>
  <c r="U384" i="2"/>
  <c r="T384" i="2"/>
  <c r="L384" i="2"/>
  <c r="K384" i="2"/>
  <c r="J384" i="2"/>
  <c r="G384" i="2"/>
  <c r="F384" i="2"/>
  <c r="E384" i="2"/>
  <c r="B384" i="2"/>
  <c r="A384" i="2"/>
  <c r="U383" i="2"/>
  <c r="T383" i="2"/>
  <c r="L383" i="2"/>
  <c r="K383" i="2"/>
  <c r="J383" i="2"/>
  <c r="G383" i="2"/>
  <c r="F383" i="2"/>
  <c r="E383" i="2"/>
  <c r="B383" i="2"/>
  <c r="A383" i="2"/>
  <c r="U382" i="2"/>
  <c r="T382" i="2"/>
  <c r="L382" i="2"/>
  <c r="K382" i="2"/>
  <c r="J382" i="2"/>
  <c r="G382" i="2"/>
  <c r="F382" i="2"/>
  <c r="E382" i="2"/>
  <c r="B382" i="2"/>
  <c r="A382" i="2"/>
  <c r="U381" i="2"/>
  <c r="T381" i="2"/>
  <c r="L381" i="2"/>
  <c r="K381" i="2"/>
  <c r="J381" i="2"/>
  <c r="G381" i="2"/>
  <c r="F381" i="2"/>
  <c r="E381" i="2"/>
  <c r="B381" i="2"/>
  <c r="A381" i="2"/>
  <c r="U380" i="2"/>
  <c r="T380" i="2"/>
  <c r="L380" i="2"/>
  <c r="K380" i="2"/>
  <c r="J380" i="2"/>
  <c r="G380" i="2"/>
  <c r="F380" i="2"/>
  <c r="E380" i="2"/>
  <c r="B380" i="2"/>
  <c r="A380" i="2"/>
  <c r="U379" i="2"/>
  <c r="T379" i="2"/>
  <c r="L379" i="2"/>
  <c r="K379" i="2"/>
  <c r="J379" i="2"/>
  <c r="G379" i="2"/>
  <c r="F379" i="2"/>
  <c r="E379" i="2"/>
  <c r="B379" i="2"/>
  <c r="A379" i="2"/>
  <c r="U378" i="2"/>
  <c r="T378" i="2"/>
  <c r="L378" i="2"/>
  <c r="K378" i="2"/>
  <c r="J378" i="2"/>
  <c r="G378" i="2"/>
  <c r="F378" i="2"/>
  <c r="E378" i="2"/>
  <c r="B378" i="2"/>
  <c r="A378" i="2"/>
  <c r="U377" i="2"/>
  <c r="T377" i="2"/>
  <c r="L377" i="2"/>
  <c r="K377" i="2"/>
  <c r="J377" i="2"/>
  <c r="G377" i="2"/>
  <c r="F377" i="2"/>
  <c r="E377" i="2"/>
  <c r="B377" i="2"/>
  <c r="A377" i="2"/>
  <c r="U376" i="2"/>
  <c r="T376" i="2"/>
  <c r="L376" i="2"/>
  <c r="K376" i="2"/>
  <c r="J376" i="2"/>
  <c r="G376" i="2"/>
  <c r="F376" i="2"/>
  <c r="E376" i="2"/>
  <c r="B376" i="2"/>
  <c r="A376" i="2"/>
  <c r="U375" i="2"/>
  <c r="T375" i="2"/>
  <c r="L375" i="2"/>
  <c r="K375" i="2"/>
  <c r="J375" i="2"/>
  <c r="G375" i="2"/>
  <c r="F375" i="2"/>
  <c r="E375" i="2"/>
  <c r="B375" i="2"/>
  <c r="A375" i="2"/>
  <c r="U374" i="2"/>
  <c r="T374" i="2"/>
  <c r="L374" i="2"/>
  <c r="K374" i="2"/>
  <c r="J374" i="2"/>
  <c r="G374" i="2"/>
  <c r="F374" i="2"/>
  <c r="E374" i="2"/>
  <c r="B374" i="2"/>
  <c r="A374" i="2"/>
  <c r="U373" i="2"/>
  <c r="T373" i="2"/>
  <c r="L373" i="2"/>
  <c r="K373" i="2"/>
  <c r="J373" i="2"/>
  <c r="G373" i="2"/>
  <c r="F373" i="2"/>
  <c r="E373" i="2"/>
  <c r="B373" i="2"/>
  <c r="A373" i="2"/>
  <c r="U372" i="2"/>
  <c r="T372" i="2"/>
  <c r="L372" i="2"/>
  <c r="K372" i="2"/>
  <c r="J372" i="2"/>
  <c r="G372" i="2"/>
  <c r="F372" i="2"/>
  <c r="E372" i="2"/>
  <c r="B372" i="2"/>
  <c r="A372" i="2"/>
  <c r="U371" i="2"/>
  <c r="T371" i="2"/>
  <c r="L371" i="2"/>
  <c r="K371" i="2"/>
  <c r="J371" i="2"/>
  <c r="G371" i="2"/>
  <c r="F371" i="2"/>
  <c r="E371" i="2"/>
  <c r="B371" i="2"/>
  <c r="A371" i="2"/>
  <c r="U370" i="2"/>
  <c r="T370" i="2"/>
  <c r="L370" i="2"/>
  <c r="K370" i="2"/>
  <c r="J370" i="2"/>
  <c r="G370" i="2"/>
  <c r="F370" i="2"/>
  <c r="E370" i="2"/>
  <c r="B370" i="2"/>
  <c r="A370" i="2"/>
  <c r="U369" i="2"/>
  <c r="T369" i="2"/>
  <c r="L369" i="2"/>
  <c r="K369" i="2"/>
  <c r="J369" i="2"/>
  <c r="G369" i="2"/>
  <c r="F369" i="2"/>
  <c r="E369" i="2"/>
  <c r="B369" i="2"/>
  <c r="A369" i="2"/>
  <c r="U368" i="2"/>
  <c r="T368" i="2"/>
  <c r="L368" i="2"/>
  <c r="K368" i="2"/>
  <c r="J368" i="2"/>
  <c r="G368" i="2"/>
  <c r="F368" i="2"/>
  <c r="E368" i="2"/>
  <c r="B368" i="2"/>
  <c r="A368" i="2"/>
  <c r="U367" i="2"/>
  <c r="T367" i="2"/>
  <c r="L367" i="2"/>
  <c r="K367" i="2"/>
  <c r="J367" i="2"/>
  <c r="G367" i="2"/>
  <c r="F367" i="2"/>
  <c r="E367" i="2"/>
  <c r="B367" i="2"/>
  <c r="A367" i="2"/>
  <c r="U366" i="2"/>
  <c r="T366" i="2"/>
  <c r="L366" i="2"/>
  <c r="K366" i="2"/>
  <c r="J366" i="2"/>
  <c r="G366" i="2"/>
  <c r="F366" i="2"/>
  <c r="E366" i="2"/>
  <c r="B366" i="2"/>
  <c r="A366" i="2"/>
  <c r="U365" i="2"/>
  <c r="T365" i="2"/>
  <c r="L365" i="2"/>
  <c r="K365" i="2"/>
  <c r="J365" i="2"/>
  <c r="G365" i="2"/>
  <c r="F365" i="2"/>
  <c r="E365" i="2"/>
  <c r="B365" i="2"/>
  <c r="A365" i="2"/>
  <c r="U364" i="2"/>
  <c r="T364" i="2"/>
  <c r="L364" i="2"/>
  <c r="K364" i="2"/>
  <c r="J364" i="2"/>
  <c r="G364" i="2"/>
  <c r="F364" i="2"/>
  <c r="E364" i="2"/>
  <c r="B364" i="2"/>
  <c r="A364" i="2"/>
  <c r="U363" i="2"/>
  <c r="T363" i="2"/>
  <c r="L363" i="2"/>
  <c r="K363" i="2"/>
  <c r="J363" i="2"/>
  <c r="G363" i="2"/>
  <c r="F363" i="2"/>
  <c r="E363" i="2"/>
  <c r="B363" i="2"/>
  <c r="A363" i="2"/>
  <c r="U362" i="2"/>
  <c r="T362" i="2"/>
  <c r="L362" i="2"/>
  <c r="K362" i="2"/>
  <c r="J362" i="2"/>
  <c r="G362" i="2"/>
  <c r="F362" i="2"/>
  <c r="E362" i="2"/>
  <c r="B362" i="2"/>
  <c r="A362" i="2"/>
  <c r="U361" i="2"/>
  <c r="T361" i="2"/>
  <c r="L361" i="2"/>
  <c r="K361" i="2"/>
  <c r="J361" i="2"/>
  <c r="G361" i="2"/>
  <c r="F361" i="2"/>
  <c r="E361" i="2"/>
  <c r="B361" i="2"/>
  <c r="A361" i="2"/>
  <c r="U360" i="2"/>
  <c r="T360" i="2"/>
  <c r="L360" i="2"/>
  <c r="K360" i="2"/>
  <c r="J360" i="2"/>
  <c r="G360" i="2"/>
  <c r="F360" i="2"/>
  <c r="E360" i="2"/>
  <c r="B360" i="2"/>
  <c r="A360" i="2"/>
  <c r="U359" i="2"/>
  <c r="T359" i="2"/>
  <c r="L359" i="2"/>
  <c r="K359" i="2"/>
  <c r="J359" i="2"/>
  <c r="G359" i="2"/>
  <c r="F359" i="2"/>
  <c r="E359" i="2"/>
  <c r="B359" i="2"/>
  <c r="A359" i="2"/>
  <c r="U358" i="2"/>
  <c r="T358" i="2"/>
  <c r="L358" i="2"/>
  <c r="K358" i="2"/>
  <c r="J358" i="2"/>
  <c r="G358" i="2"/>
  <c r="F358" i="2"/>
  <c r="E358" i="2"/>
  <c r="B358" i="2"/>
  <c r="A358" i="2"/>
  <c r="U357" i="2"/>
  <c r="T357" i="2"/>
  <c r="L357" i="2"/>
  <c r="K357" i="2"/>
  <c r="J357" i="2"/>
  <c r="G357" i="2"/>
  <c r="F357" i="2"/>
  <c r="E357" i="2"/>
  <c r="B357" i="2"/>
  <c r="A357" i="2"/>
  <c r="U356" i="2"/>
  <c r="T356" i="2"/>
  <c r="L356" i="2"/>
  <c r="K356" i="2"/>
  <c r="J356" i="2"/>
  <c r="G356" i="2"/>
  <c r="F356" i="2"/>
  <c r="E356" i="2"/>
  <c r="B356" i="2"/>
  <c r="A356" i="2"/>
  <c r="U355" i="2"/>
  <c r="T355" i="2"/>
  <c r="L355" i="2"/>
  <c r="K355" i="2"/>
  <c r="J355" i="2"/>
  <c r="G355" i="2"/>
  <c r="F355" i="2"/>
  <c r="E355" i="2"/>
  <c r="B355" i="2"/>
  <c r="A355" i="2"/>
  <c r="U354" i="2"/>
  <c r="T354" i="2"/>
  <c r="L354" i="2"/>
  <c r="K354" i="2"/>
  <c r="J354" i="2"/>
  <c r="G354" i="2"/>
  <c r="F354" i="2"/>
  <c r="E354" i="2"/>
  <c r="B354" i="2"/>
  <c r="A354" i="2"/>
  <c r="U353" i="2"/>
  <c r="T353" i="2"/>
  <c r="L353" i="2"/>
  <c r="K353" i="2"/>
  <c r="J353" i="2"/>
  <c r="G353" i="2"/>
  <c r="F353" i="2"/>
  <c r="E353" i="2"/>
  <c r="B353" i="2"/>
  <c r="A353" i="2"/>
  <c r="U352" i="2"/>
  <c r="T352" i="2"/>
  <c r="L352" i="2"/>
  <c r="K352" i="2"/>
  <c r="J352" i="2"/>
  <c r="G352" i="2"/>
  <c r="F352" i="2"/>
  <c r="E352" i="2"/>
  <c r="B352" i="2"/>
  <c r="A352" i="2"/>
  <c r="U351" i="2"/>
  <c r="T351" i="2"/>
  <c r="L351" i="2"/>
  <c r="K351" i="2"/>
  <c r="J351" i="2"/>
  <c r="G351" i="2"/>
  <c r="F351" i="2"/>
  <c r="E351" i="2"/>
  <c r="B351" i="2"/>
  <c r="A351" i="2"/>
  <c r="U350" i="2"/>
  <c r="T350" i="2"/>
  <c r="L350" i="2"/>
  <c r="K350" i="2"/>
  <c r="J350" i="2"/>
  <c r="G350" i="2"/>
  <c r="F350" i="2"/>
  <c r="E350" i="2"/>
  <c r="B350" i="2"/>
  <c r="A350" i="2"/>
  <c r="U349" i="2"/>
  <c r="T349" i="2"/>
  <c r="L349" i="2"/>
  <c r="K349" i="2"/>
  <c r="J349" i="2"/>
  <c r="G349" i="2"/>
  <c r="F349" i="2"/>
  <c r="E349" i="2"/>
  <c r="B349" i="2"/>
  <c r="A349" i="2"/>
  <c r="U348" i="2"/>
  <c r="T348" i="2"/>
  <c r="L348" i="2"/>
  <c r="K348" i="2"/>
  <c r="J348" i="2"/>
  <c r="G348" i="2"/>
  <c r="F348" i="2"/>
  <c r="E348" i="2"/>
  <c r="B348" i="2"/>
  <c r="A348" i="2"/>
  <c r="U347" i="2"/>
  <c r="T347" i="2"/>
  <c r="L347" i="2"/>
  <c r="K347" i="2"/>
  <c r="J347" i="2"/>
  <c r="G347" i="2"/>
  <c r="F347" i="2"/>
  <c r="E347" i="2"/>
  <c r="B347" i="2"/>
  <c r="A347" i="2"/>
  <c r="U346" i="2"/>
  <c r="T346" i="2"/>
  <c r="L346" i="2"/>
  <c r="K346" i="2"/>
  <c r="J346" i="2"/>
  <c r="G346" i="2"/>
  <c r="F346" i="2"/>
  <c r="E346" i="2"/>
  <c r="B346" i="2"/>
  <c r="A346" i="2"/>
  <c r="U345" i="2"/>
  <c r="T345" i="2"/>
  <c r="L345" i="2"/>
  <c r="K345" i="2"/>
  <c r="J345" i="2"/>
  <c r="G345" i="2"/>
  <c r="F345" i="2"/>
  <c r="E345" i="2"/>
  <c r="B345" i="2"/>
  <c r="A345" i="2"/>
  <c r="U344" i="2"/>
  <c r="T344" i="2"/>
  <c r="L344" i="2"/>
  <c r="K344" i="2"/>
  <c r="J344" i="2"/>
  <c r="G344" i="2"/>
  <c r="F344" i="2"/>
  <c r="E344" i="2"/>
  <c r="B344" i="2"/>
  <c r="A344" i="2"/>
  <c r="U343" i="2"/>
  <c r="T343" i="2"/>
  <c r="L343" i="2"/>
  <c r="K343" i="2"/>
  <c r="J343" i="2"/>
  <c r="G343" i="2"/>
  <c r="F343" i="2"/>
  <c r="E343" i="2"/>
  <c r="B343" i="2"/>
  <c r="A343" i="2"/>
  <c r="U342" i="2"/>
  <c r="T342" i="2"/>
  <c r="L342" i="2"/>
  <c r="K342" i="2"/>
  <c r="J342" i="2"/>
  <c r="G342" i="2"/>
  <c r="F342" i="2"/>
  <c r="E342" i="2"/>
  <c r="B342" i="2"/>
  <c r="A342" i="2"/>
  <c r="U341" i="2"/>
  <c r="T341" i="2"/>
  <c r="L341" i="2"/>
  <c r="K341" i="2"/>
  <c r="J341" i="2"/>
  <c r="G341" i="2"/>
  <c r="F341" i="2"/>
  <c r="E341" i="2"/>
  <c r="B341" i="2"/>
  <c r="A341" i="2"/>
  <c r="U340" i="2"/>
  <c r="T340" i="2"/>
  <c r="L340" i="2"/>
  <c r="K340" i="2"/>
  <c r="J340" i="2"/>
  <c r="G340" i="2"/>
  <c r="F340" i="2"/>
  <c r="E340" i="2"/>
  <c r="B340" i="2"/>
  <c r="A340" i="2"/>
  <c r="U339" i="2"/>
  <c r="T339" i="2"/>
  <c r="L339" i="2"/>
  <c r="K339" i="2"/>
  <c r="J339" i="2"/>
  <c r="G339" i="2"/>
  <c r="F339" i="2"/>
  <c r="E339" i="2"/>
  <c r="B339" i="2"/>
  <c r="A339" i="2"/>
  <c r="U338" i="2"/>
  <c r="T338" i="2"/>
  <c r="L338" i="2"/>
  <c r="K338" i="2"/>
  <c r="J338" i="2"/>
  <c r="G338" i="2"/>
  <c r="F338" i="2"/>
  <c r="E338" i="2"/>
  <c r="B338" i="2"/>
  <c r="A338" i="2"/>
  <c r="U337" i="2"/>
  <c r="T337" i="2"/>
  <c r="L337" i="2"/>
  <c r="K337" i="2"/>
  <c r="J337" i="2"/>
  <c r="G337" i="2"/>
  <c r="F337" i="2"/>
  <c r="E337" i="2"/>
  <c r="B337" i="2"/>
  <c r="A337" i="2"/>
  <c r="U336" i="2"/>
  <c r="T336" i="2"/>
  <c r="L336" i="2"/>
  <c r="K336" i="2"/>
  <c r="J336" i="2"/>
  <c r="G336" i="2"/>
  <c r="F336" i="2"/>
  <c r="E336" i="2"/>
  <c r="B336" i="2"/>
  <c r="A336" i="2"/>
  <c r="U335" i="2"/>
  <c r="T335" i="2"/>
  <c r="L335" i="2"/>
  <c r="K335" i="2"/>
  <c r="J335" i="2"/>
  <c r="G335" i="2"/>
  <c r="F335" i="2"/>
  <c r="E335" i="2"/>
  <c r="B335" i="2"/>
  <c r="A335" i="2"/>
  <c r="U334" i="2"/>
  <c r="T334" i="2"/>
  <c r="L334" i="2"/>
  <c r="K334" i="2"/>
  <c r="J334" i="2"/>
  <c r="G334" i="2"/>
  <c r="F334" i="2"/>
  <c r="E334" i="2"/>
  <c r="B334" i="2"/>
  <c r="A334" i="2"/>
  <c r="U333" i="2"/>
  <c r="T333" i="2"/>
  <c r="L333" i="2"/>
  <c r="K333" i="2"/>
  <c r="J333" i="2"/>
  <c r="G333" i="2"/>
  <c r="F333" i="2"/>
  <c r="E333" i="2"/>
  <c r="B333" i="2"/>
  <c r="A333" i="2"/>
  <c r="U332" i="2"/>
  <c r="T332" i="2"/>
  <c r="L332" i="2"/>
  <c r="K332" i="2"/>
  <c r="J332" i="2"/>
  <c r="G332" i="2"/>
  <c r="F332" i="2"/>
  <c r="E332" i="2"/>
  <c r="B332" i="2"/>
  <c r="A332" i="2"/>
  <c r="U331" i="2"/>
  <c r="T331" i="2"/>
  <c r="L331" i="2"/>
  <c r="K331" i="2"/>
  <c r="J331" i="2"/>
  <c r="G331" i="2"/>
  <c r="F331" i="2"/>
  <c r="E331" i="2"/>
  <c r="B331" i="2"/>
  <c r="A331" i="2"/>
  <c r="U330" i="2"/>
  <c r="T330" i="2"/>
  <c r="L330" i="2"/>
  <c r="K330" i="2"/>
  <c r="J330" i="2"/>
  <c r="G330" i="2"/>
  <c r="F330" i="2"/>
  <c r="E330" i="2"/>
  <c r="B330" i="2"/>
  <c r="A330" i="2"/>
  <c r="U329" i="2"/>
  <c r="T329" i="2"/>
  <c r="L329" i="2"/>
  <c r="K329" i="2"/>
  <c r="J329" i="2"/>
  <c r="G329" i="2"/>
  <c r="F329" i="2"/>
  <c r="E329" i="2"/>
  <c r="B329" i="2"/>
  <c r="A329" i="2"/>
  <c r="U328" i="2"/>
  <c r="T328" i="2"/>
  <c r="L328" i="2"/>
  <c r="K328" i="2"/>
  <c r="J328" i="2"/>
  <c r="G328" i="2"/>
  <c r="F328" i="2"/>
  <c r="E328" i="2"/>
  <c r="B328" i="2"/>
  <c r="A328" i="2"/>
  <c r="U327" i="2"/>
  <c r="T327" i="2"/>
  <c r="L327" i="2"/>
  <c r="K327" i="2"/>
  <c r="J327" i="2"/>
  <c r="G327" i="2"/>
  <c r="F327" i="2"/>
  <c r="E327" i="2"/>
  <c r="B327" i="2"/>
  <c r="A327" i="2"/>
  <c r="U326" i="2"/>
  <c r="T326" i="2"/>
  <c r="L326" i="2"/>
  <c r="K326" i="2"/>
  <c r="J326" i="2"/>
  <c r="G326" i="2"/>
  <c r="F326" i="2"/>
  <c r="E326" i="2"/>
  <c r="B326" i="2"/>
  <c r="A326" i="2"/>
  <c r="U325" i="2"/>
  <c r="T325" i="2"/>
  <c r="L325" i="2"/>
  <c r="K325" i="2"/>
  <c r="J325" i="2"/>
  <c r="G325" i="2"/>
  <c r="F325" i="2"/>
  <c r="E325" i="2"/>
  <c r="B325" i="2"/>
  <c r="A325" i="2"/>
  <c r="U324" i="2"/>
  <c r="T324" i="2"/>
  <c r="L324" i="2"/>
  <c r="K324" i="2"/>
  <c r="J324" i="2"/>
  <c r="G324" i="2"/>
  <c r="F324" i="2"/>
  <c r="E324" i="2"/>
  <c r="B324" i="2"/>
  <c r="A324" i="2"/>
  <c r="U323" i="2"/>
  <c r="T323" i="2"/>
  <c r="L323" i="2"/>
  <c r="K323" i="2"/>
  <c r="J323" i="2"/>
  <c r="G323" i="2"/>
  <c r="F323" i="2"/>
  <c r="E323" i="2"/>
  <c r="B323" i="2"/>
  <c r="A323" i="2"/>
  <c r="U322" i="2"/>
  <c r="L322" i="2"/>
  <c r="K322" i="2"/>
  <c r="J322" i="2"/>
  <c r="G322" i="2"/>
  <c r="F322" i="2"/>
  <c r="E322" i="2"/>
  <c r="B322" i="2"/>
  <c r="A322" i="2"/>
  <c r="U321" i="2"/>
  <c r="L321" i="2"/>
  <c r="K321" i="2"/>
  <c r="J321" i="2"/>
  <c r="G321" i="2"/>
  <c r="F321" i="2"/>
  <c r="E321" i="2"/>
  <c r="B321" i="2"/>
  <c r="A321" i="2"/>
  <c r="U320" i="2"/>
  <c r="L320" i="2"/>
  <c r="K320" i="2"/>
  <c r="J320" i="2"/>
  <c r="G320" i="2"/>
  <c r="F320" i="2"/>
  <c r="E320" i="2"/>
  <c r="B320" i="2"/>
  <c r="A320" i="2"/>
  <c r="U319" i="2"/>
  <c r="T319" i="2"/>
  <c r="L319" i="2"/>
  <c r="K319" i="2"/>
  <c r="J319" i="2"/>
  <c r="G319" i="2"/>
  <c r="F319" i="2"/>
  <c r="E319" i="2"/>
  <c r="B319" i="2"/>
  <c r="A319" i="2"/>
  <c r="U318" i="2"/>
  <c r="T318" i="2"/>
  <c r="L318" i="2"/>
  <c r="K318" i="2"/>
  <c r="J318" i="2"/>
  <c r="G318" i="2"/>
  <c r="F318" i="2"/>
  <c r="E318" i="2"/>
  <c r="B318" i="2"/>
  <c r="A318" i="2"/>
  <c r="U317" i="2"/>
  <c r="T317" i="2"/>
  <c r="L317" i="2"/>
  <c r="K317" i="2"/>
  <c r="J317" i="2"/>
  <c r="G317" i="2"/>
  <c r="F317" i="2"/>
  <c r="E317" i="2"/>
  <c r="B317" i="2"/>
  <c r="A317" i="2"/>
  <c r="U316" i="2"/>
  <c r="T316" i="2"/>
  <c r="L316" i="2"/>
  <c r="K316" i="2"/>
  <c r="J316" i="2"/>
  <c r="G316" i="2"/>
  <c r="F316" i="2"/>
  <c r="E316" i="2"/>
  <c r="B316" i="2"/>
  <c r="A316" i="2"/>
  <c r="U315" i="2"/>
  <c r="T315" i="2"/>
  <c r="L315" i="2"/>
  <c r="K315" i="2"/>
  <c r="J315" i="2"/>
  <c r="G315" i="2"/>
  <c r="F315" i="2"/>
  <c r="E315" i="2"/>
  <c r="B315" i="2"/>
  <c r="A315" i="2"/>
  <c r="U314" i="2"/>
  <c r="T314" i="2"/>
  <c r="L314" i="2"/>
  <c r="K314" i="2"/>
  <c r="J314" i="2"/>
  <c r="G314" i="2"/>
  <c r="F314" i="2"/>
  <c r="E314" i="2"/>
  <c r="B314" i="2"/>
  <c r="A314" i="2"/>
  <c r="U313" i="2"/>
  <c r="T313" i="2"/>
  <c r="L313" i="2"/>
  <c r="K313" i="2"/>
  <c r="J313" i="2"/>
  <c r="G313" i="2"/>
  <c r="F313" i="2"/>
  <c r="E313" i="2"/>
  <c r="B313" i="2"/>
  <c r="A313" i="2"/>
  <c r="U312" i="2"/>
  <c r="T312" i="2"/>
  <c r="L312" i="2"/>
  <c r="K312" i="2"/>
  <c r="J312" i="2"/>
  <c r="G312" i="2"/>
  <c r="F312" i="2"/>
  <c r="E312" i="2"/>
  <c r="B312" i="2"/>
  <c r="A312" i="2"/>
  <c r="U311" i="2"/>
  <c r="T311" i="2"/>
  <c r="L311" i="2"/>
  <c r="K311" i="2"/>
  <c r="J311" i="2"/>
  <c r="G311" i="2"/>
  <c r="F311" i="2"/>
  <c r="E311" i="2"/>
  <c r="B311" i="2"/>
  <c r="A311" i="2"/>
  <c r="U310" i="2"/>
  <c r="T310" i="2"/>
  <c r="L310" i="2"/>
  <c r="K310" i="2"/>
  <c r="J310" i="2"/>
  <c r="G310" i="2"/>
  <c r="F310" i="2"/>
  <c r="E310" i="2"/>
  <c r="B310" i="2"/>
  <c r="A310" i="2"/>
  <c r="U309" i="2"/>
  <c r="T309" i="2"/>
  <c r="L309" i="2"/>
  <c r="K309" i="2"/>
  <c r="J309" i="2"/>
  <c r="G309" i="2"/>
  <c r="F309" i="2"/>
  <c r="E309" i="2"/>
  <c r="B309" i="2"/>
  <c r="A309" i="2"/>
  <c r="U308" i="2"/>
  <c r="T308" i="2"/>
  <c r="L308" i="2"/>
  <c r="K308" i="2"/>
  <c r="J308" i="2"/>
  <c r="G308" i="2"/>
  <c r="F308" i="2"/>
  <c r="E308" i="2"/>
  <c r="B308" i="2"/>
  <c r="A308" i="2"/>
  <c r="U307" i="2"/>
  <c r="T307" i="2"/>
  <c r="L307" i="2"/>
  <c r="K307" i="2"/>
  <c r="J307" i="2"/>
  <c r="G307" i="2"/>
  <c r="F307" i="2"/>
  <c r="E307" i="2"/>
  <c r="B307" i="2"/>
  <c r="A307" i="2"/>
  <c r="U306" i="2"/>
  <c r="T306" i="2"/>
  <c r="L306" i="2"/>
  <c r="K306" i="2"/>
  <c r="J306" i="2"/>
  <c r="G306" i="2"/>
  <c r="F306" i="2"/>
  <c r="E306" i="2"/>
  <c r="B306" i="2"/>
  <c r="A306" i="2"/>
  <c r="U305" i="2"/>
  <c r="T305" i="2"/>
  <c r="L305" i="2"/>
  <c r="K305" i="2"/>
  <c r="J305" i="2"/>
  <c r="G305" i="2"/>
  <c r="F305" i="2"/>
  <c r="E305" i="2"/>
  <c r="B305" i="2"/>
  <c r="A305" i="2"/>
  <c r="U304" i="2"/>
  <c r="T304" i="2"/>
  <c r="L304" i="2"/>
  <c r="K304" i="2"/>
  <c r="J304" i="2"/>
  <c r="G304" i="2"/>
  <c r="F304" i="2"/>
  <c r="E304" i="2"/>
  <c r="B304" i="2"/>
  <c r="A304" i="2"/>
  <c r="U303" i="2"/>
  <c r="T303" i="2"/>
  <c r="L303" i="2"/>
  <c r="K303" i="2"/>
  <c r="J303" i="2"/>
  <c r="G303" i="2"/>
  <c r="F303" i="2"/>
  <c r="E303" i="2"/>
  <c r="B303" i="2"/>
  <c r="A303" i="2"/>
  <c r="U302" i="2"/>
  <c r="T302" i="2"/>
  <c r="L302" i="2"/>
  <c r="K302" i="2"/>
  <c r="J302" i="2"/>
  <c r="G302" i="2"/>
  <c r="F302" i="2"/>
  <c r="E302" i="2"/>
  <c r="B302" i="2"/>
  <c r="A302" i="2"/>
  <c r="U301" i="2"/>
  <c r="T301" i="2"/>
  <c r="L301" i="2"/>
  <c r="K301" i="2"/>
  <c r="J301" i="2"/>
  <c r="G301" i="2"/>
  <c r="F301" i="2"/>
  <c r="E301" i="2"/>
  <c r="B301" i="2"/>
  <c r="A301" i="2"/>
  <c r="U300" i="2"/>
  <c r="T300" i="2"/>
  <c r="L300" i="2"/>
  <c r="K300" i="2"/>
  <c r="J300" i="2"/>
  <c r="G300" i="2"/>
  <c r="F300" i="2"/>
  <c r="E300" i="2"/>
  <c r="B300" i="2"/>
  <c r="A300" i="2"/>
  <c r="U299" i="2"/>
  <c r="T299" i="2"/>
  <c r="L299" i="2"/>
  <c r="K299" i="2"/>
  <c r="J299" i="2"/>
  <c r="G299" i="2"/>
  <c r="F299" i="2"/>
  <c r="E299" i="2"/>
  <c r="B299" i="2"/>
  <c r="A299" i="2"/>
  <c r="U298" i="2"/>
  <c r="T298" i="2"/>
  <c r="L298" i="2"/>
  <c r="K298" i="2"/>
  <c r="J298" i="2"/>
  <c r="G298" i="2"/>
  <c r="F298" i="2"/>
  <c r="E298" i="2"/>
  <c r="B298" i="2"/>
  <c r="A298" i="2"/>
  <c r="U297" i="2"/>
  <c r="T297" i="2"/>
  <c r="L297" i="2"/>
  <c r="K297" i="2"/>
  <c r="J297" i="2"/>
  <c r="G297" i="2"/>
  <c r="F297" i="2"/>
  <c r="E297" i="2"/>
  <c r="B297" i="2"/>
  <c r="A297" i="2"/>
  <c r="U296" i="2"/>
  <c r="T296" i="2"/>
  <c r="L296" i="2"/>
  <c r="K296" i="2"/>
  <c r="J296" i="2"/>
  <c r="G296" i="2"/>
  <c r="F296" i="2"/>
  <c r="E296" i="2"/>
  <c r="B296" i="2"/>
  <c r="A296" i="2"/>
  <c r="U295" i="2"/>
  <c r="T295" i="2"/>
  <c r="L295" i="2"/>
  <c r="K295" i="2"/>
  <c r="J295" i="2"/>
  <c r="G295" i="2"/>
  <c r="F295" i="2"/>
  <c r="E295" i="2"/>
  <c r="B295" i="2"/>
  <c r="A295" i="2"/>
  <c r="U294" i="2"/>
  <c r="T294" i="2"/>
  <c r="L294" i="2"/>
  <c r="K294" i="2"/>
  <c r="J294" i="2"/>
  <c r="G294" i="2"/>
  <c r="F294" i="2"/>
  <c r="E294" i="2"/>
  <c r="B294" i="2"/>
  <c r="A294" i="2"/>
  <c r="U293" i="2"/>
  <c r="T293" i="2"/>
  <c r="L293" i="2"/>
  <c r="K293" i="2"/>
  <c r="J293" i="2"/>
  <c r="G293" i="2"/>
  <c r="F293" i="2"/>
  <c r="E293" i="2"/>
  <c r="B293" i="2"/>
  <c r="A293" i="2"/>
  <c r="U292" i="2"/>
  <c r="T292" i="2"/>
  <c r="L292" i="2"/>
  <c r="K292" i="2"/>
  <c r="J292" i="2"/>
  <c r="G292" i="2"/>
  <c r="F292" i="2"/>
  <c r="E292" i="2"/>
  <c r="B292" i="2"/>
  <c r="A292" i="2"/>
  <c r="U291" i="2"/>
  <c r="T291" i="2"/>
  <c r="L291" i="2"/>
  <c r="K291" i="2"/>
  <c r="J291" i="2"/>
  <c r="G291" i="2"/>
  <c r="F291" i="2"/>
  <c r="E291" i="2"/>
  <c r="B291" i="2"/>
  <c r="A291" i="2"/>
  <c r="U290" i="2"/>
  <c r="T290" i="2"/>
  <c r="L290" i="2"/>
  <c r="K290" i="2"/>
  <c r="J290" i="2"/>
  <c r="G290" i="2"/>
  <c r="F290" i="2"/>
  <c r="E290" i="2"/>
  <c r="B290" i="2"/>
  <c r="A290" i="2"/>
  <c r="U289" i="2"/>
  <c r="L289" i="2"/>
  <c r="K289" i="2"/>
  <c r="J289" i="2"/>
  <c r="G289" i="2"/>
  <c r="F289" i="2"/>
  <c r="E289" i="2"/>
  <c r="B289" i="2"/>
  <c r="A289" i="2"/>
  <c r="U288" i="2"/>
  <c r="T288" i="2"/>
  <c r="L288" i="2"/>
  <c r="K288" i="2"/>
  <c r="J288" i="2"/>
  <c r="G288" i="2"/>
  <c r="F288" i="2"/>
  <c r="E288" i="2"/>
  <c r="B288" i="2"/>
  <c r="A288" i="2"/>
  <c r="U287" i="2"/>
  <c r="T287" i="2"/>
  <c r="L287" i="2"/>
  <c r="K287" i="2"/>
  <c r="J287" i="2"/>
  <c r="G287" i="2"/>
  <c r="F287" i="2"/>
  <c r="E287" i="2"/>
  <c r="B287" i="2"/>
  <c r="A287" i="2"/>
  <c r="U286" i="2"/>
  <c r="T286" i="2"/>
  <c r="L286" i="2"/>
  <c r="K286" i="2"/>
  <c r="J286" i="2"/>
  <c r="G286" i="2"/>
  <c r="F286" i="2"/>
  <c r="E286" i="2"/>
  <c r="B286" i="2"/>
  <c r="A286" i="2"/>
  <c r="U285" i="2"/>
  <c r="T285" i="2"/>
  <c r="L285" i="2"/>
  <c r="K285" i="2"/>
  <c r="J285" i="2"/>
  <c r="G285" i="2"/>
  <c r="F285" i="2"/>
  <c r="E285" i="2"/>
  <c r="B285" i="2"/>
  <c r="A285" i="2"/>
  <c r="U284" i="2"/>
  <c r="T284" i="2"/>
  <c r="L284" i="2"/>
  <c r="K284" i="2"/>
  <c r="J284" i="2"/>
  <c r="G284" i="2"/>
  <c r="F284" i="2"/>
  <c r="E284" i="2"/>
  <c r="B284" i="2"/>
  <c r="A284" i="2"/>
  <c r="U283" i="2"/>
  <c r="T283" i="2"/>
  <c r="L283" i="2"/>
  <c r="K283" i="2"/>
  <c r="J283" i="2"/>
  <c r="G283" i="2"/>
  <c r="F283" i="2"/>
  <c r="E283" i="2"/>
  <c r="B283" i="2"/>
  <c r="A283" i="2"/>
  <c r="U282" i="2"/>
  <c r="T282" i="2"/>
  <c r="L282" i="2"/>
  <c r="K282" i="2"/>
  <c r="J282" i="2"/>
  <c r="G282" i="2"/>
  <c r="F282" i="2"/>
  <c r="E282" i="2"/>
  <c r="B282" i="2"/>
  <c r="A282" i="2"/>
  <c r="U281" i="2"/>
  <c r="T281" i="2"/>
  <c r="L281" i="2"/>
  <c r="K281" i="2"/>
  <c r="J281" i="2"/>
  <c r="G281" i="2"/>
  <c r="F281" i="2"/>
  <c r="E281" i="2"/>
  <c r="B281" i="2"/>
  <c r="A281" i="2"/>
  <c r="U280" i="2"/>
  <c r="T280" i="2"/>
  <c r="L280" i="2"/>
  <c r="K280" i="2"/>
  <c r="J280" i="2"/>
  <c r="G280" i="2"/>
  <c r="F280" i="2"/>
  <c r="E280" i="2"/>
  <c r="B280" i="2"/>
  <c r="A280" i="2"/>
  <c r="U279" i="2"/>
  <c r="T279" i="2"/>
  <c r="L279" i="2"/>
  <c r="K279" i="2"/>
  <c r="J279" i="2"/>
  <c r="G279" i="2"/>
  <c r="F279" i="2"/>
  <c r="E279" i="2"/>
  <c r="B279" i="2"/>
  <c r="A279" i="2"/>
  <c r="U278" i="2"/>
  <c r="T278" i="2"/>
  <c r="L278" i="2"/>
  <c r="K278" i="2"/>
  <c r="J278" i="2"/>
  <c r="G278" i="2"/>
  <c r="F278" i="2"/>
  <c r="E278" i="2"/>
  <c r="B278" i="2"/>
  <c r="A278" i="2"/>
  <c r="U277" i="2"/>
  <c r="T277" i="2"/>
  <c r="L277" i="2"/>
  <c r="K277" i="2"/>
  <c r="J277" i="2"/>
  <c r="G277" i="2"/>
  <c r="F277" i="2"/>
  <c r="E277" i="2"/>
  <c r="B277" i="2"/>
  <c r="A277" i="2"/>
  <c r="U276" i="2"/>
  <c r="T276" i="2"/>
  <c r="L276" i="2"/>
  <c r="K276" i="2"/>
  <c r="J276" i="2"/>
  <c r="G276" i="2"/>
  <c r="F276" i="2"/>
  <c r="E276" i="2"/>
  <c r="B276" i="2"/>
  <c r="A276" i="2"/>
  <c r="U275" i="2"/>
  <c r="T275" i="2"/>
  <c r="L275" i="2"/>
  <c r="K275" i="2"/>
  <c r="J275" i="2"/>
  <c r="G275" i="2"/>
  <c r="F275" i="2"/>
  <c r="E275" i="2"/>
  <c r="B275" i="2"/>
  <c r="A275" i="2"/>
  <c r="U274" i="2"/>
  <c r="T274" i="2"/>
  <c r="L274" i="2"/>
  <c r="K274" i="2"/>
  <c r="J274" i="2"/>
  <c r="G274" i="2"/>
  <c r="F274" i="2"/>
  <c r="E274" i="2"/>
  <c r="B274" i="2"/>
  <c r="A274" i="2"/>
  <c r="U273" i="2"/>
  <c r="T273" i="2"/>
  <c r="L273" i="2"/>
  <c r="K273" i="2"/>
  <c r="J273" i="2"/>
  <c r="G273" i="2"/>
  <c r="F273" i="2"/>
  <c r="E273" i="2"/>
  <c r="B273" i="2"/>
  <c r="A273" i="2"/>
  <c r="U272" i="2"/>
  <c r="T272" i="2"/>
  <c r="L272" i="2"/>
  <c r="K272" i="2"/>
  <c r="J272" i="2"/>
  <c r="G272" i="2"/>
  <c r="F272" i="2"/>
  <c r="E272" i="2"/>
  <c r="B272" i="2"/>
  <c r="A272" i="2"/>
  <c r="U271" i="2"/>
  <c r="T271" i="2"/>
  <c r="L271" i="2"/>
  <c r="K271" i="2"/>
  <c r="J271" i="2"/>
  <c r="G271" i="2"/>
  <c r="F271" i="2"/>
  <c r="E271" i="2"/>
  <c r="B271" i="2"/>
  <c r="A271" i="2"/>
  <c r="U270" i="2"/>
  <c r="T270" i="2"/>
  <c r="L270" i="2"/>
  <c r="K270" i="2"/>
  <c r="J270" i="2"/>
  <c r="G270" i="2"/>
  <c r="F270" i="2"/>
  <c r="E270" i="2"/>
  <c r="B270" i="2"/>
  <c r="A270" i="2"/>
  <c r="U269" i="2"/>
  <c r="T269" i="2"/>
  <c r="L269" i="2"/>
  <c r="K269" i="2"/>
  <c r="J269" i="2"/>
  <c r="G269" i="2"/>
  <c r="F269" i="2"/>
  <c r="E269" i="2"/>
  <c r="B269" i="2"/>
  <c r="A269" i="2"/>
  <c r="U268" i="2"/>
  <c r="T268" i="2"/>
  <c r="L268" i="2"/>
  <c r="K268" i="2"/>
  <c r="J268" i="2"/>
  <c r="G268" i="2"/>
  <c r="F268" i="2"/>
  <c r="E268" i="2"/>
  <c r="B268" i="2"/>
  <c r="A268" i="2"/>
  <c r="U267" i="2"/>
  <c r="T267" i="2"/>
  <c r="L267" i="2"/>
  <c r="K267" i="2"/>
  <c r="J267" i="2"/>
  <c r="G267" i="2"/>
  <c r="F267" i="2"/>
  <c r="E267" i="2"/>
  <c r="B267" i="2"/>
  <c r="A267" i="2"/>
  <c r="U266" i="2"/>
  <c r="T266" i="2"/>
  <c r="L266" i="2"/>
  <c r="K266" i="2"/>
  <c r="J266" i="2"/>
  <c r="G266" i="2"/>
  <c r="F266" i="2"/>
  <c r="E266" i="2"/>
  <c r="B266" i="2"/>
  <c r="A266" i="2"/>
  <c r="U265" i="2"/>
  <c r="T265" i="2"/>
  <c r="L265" i="2"/>
  <c r="K265" i="2"/>
  <c r="J265" i="2"/>
  <c r="G265" i="2"/>
  <c r="F265" i="2"/>
  <c r="E265" i="2"/>
  <c r="B265" i="2"/>
  <c r="A265" i="2"/>
  <c r="U264" i="2"/>
  <c r="T264" i="2"/>
  <c r="L264" i="2"/>
  <c r="K264" i="2"/>
  <c r="J264" i="2"/>
  <c r="G264" i="2"/>
  <c r="F264" i="2"/>
  <c r="E264" i="2"/>
  <c r="B264" i="2"/>
  <c r="A264" i="2"/>
  <c r="U263" i="2"/>
  <c r="T263" i="2"/>
  <c r="L263" i="2"/>
  <c r="K263" i="2"/>
  <c r="J263" i="2"/>
  <c r="G263" i="2"/>
  <c r="F263" i="2"/>
  <c r="E263" i="2"/>
  <c r="B263" i="2"/>
  <c r="A263" i="2"/>
  <c r="U262" i="2"/>
  <c r="T262" i="2"/>
  <c r="L262" i="2"/>
  <c r="K262" i="2"/>
  <c r="J262" i="2"/>
  <c r="G262" i="2"/>
  <c r="F262" i="2"/>
  <c r="E262" i="2"/>
  <c r="B262" i="2"/>
  <c r="A262" i="2"/>
  <c r="U261" i="2"/>
  <c r="T261" i="2"/>
  <c r="L261" i="2"/>
  <c r="K261" i="2"/>
  <c r="J261" i="2"/>
  <c r="G261" i="2"/>
  <c r="F261" i="2"/>
  <c r="E261" i="2"/>
  <c r="B261" i="2"/>
  <c r="A261" i="2"/>
  <c r="U260" i="2"/>
  <c r="T260" i="2"/>
  <c r="L260" i="2"/>
  <c r="K260" i="2"/>
  <c r="J260" i="2"/>
  <c r="G260" i="2"/>
  <c r="F260" i="2"/>
  <c r="E260" i="2"/>
  <c r="B260" i="2"/>
  <c r="A260" i="2"/>
  <c r="U259" i="2"/>
  <c r="T259" i="2"/>
  <c r="L259" i="2"/>
  <c r="K259" i="2"/>
  <c r="J259" i="2"/>
  <c r="G259" i="2"/>
  <c r="F259" i="2"/>
  <c r="E259" i="2"/>
  <c r="B259" i="2"/>
  <c r="A259" i="2"/>
  <c r="U258" i="2"/>
  <c r="T258" i="2"/>
  <c r="L258" i="2"/>
  <c r="K258" i="2"/>
  <c r="J258" i="2"/>
  <c r="G258" i="2"/>
  <c r="F258" i="2"/>
  <c r="E258" i="2"/>
  <c r="B258" i="2"/>
  <c r="A258" i="2"/>
  <c r="U257" i="2"/>
  <c r="T257" i="2"/>
  <c r="L257" i="2"/>
  <c r="K257" i="2"/>
  <c r="J257" i="2"/>
  <c r="G257" i="2"/>
  <c r="F257" i="2"/>
  <c r="E257" i="2"/>
  <c r="B257" i="2"/>
  <c r="A257" i="2"/>
  <c r="U256" i="2"/>
  <c r="T256" i="2"/>
  <c r="L256" i="2"/>
  <c r="K256" i="2"/>
  <c r="J256" i="2"/>
  <c r="G256" i="2"/>
  <c r="F256" i="2"/>
  <c r="E256" i="2"/>
  <c r="B256" i="2"/>
  <c r="A256" i="2"/>
  <c r="U255" i="2"/>
  <c r="T255" i="2"/>
  <c r="L255" i="2"/>
  <c r="K255" i="2"/>
  <c r="J255" i="2"/>
  <c r="G255" i="2"/>
  <c r="F255" i="2"/>
  <c r="E255" i="2"/>
  <c r="B255" i="2"/>
  <c r="A255" i="2"/>
  <c r="U254" i="2"/>
  <c r="T254" i="2"/>
  <c r="L254" i="2"/>
  <c r="K254" i="2"/>
  <c r="J254" i="2"/>
  <c r="G254" i="2"/>
  <c r="F254" i="2"/>
  <c r="E254" i="2"/>
  <c r="B254" i="2"/>
  <c r="A254" i="2"/>
  <c r="U253" i="2"/>
  <c r="T253" i="2"/>
  <c r="L253" i="2"/>
  <c r="K253" i="2"/>
  <c r="J253" i="2"/>
  <c r="G253" i="2"/>
  <c r="F253" i="2"/>
  <c r="E253" i="2"/>
  <c r="B253" i="2"/>
  <c r="A253" i="2"/>
  <c r="U252" i="2"/>
  <c r="T252" i="2"/>
  <c r="L252" i="2"/>
  <c r="K252" i="2"/>
  <c r="J252" i="2"/>
  <c r="G252" i="2"/>
  <c r="F252" i="2"/>
  <c r="E252" i="2"/>
  <c r="B252" i="2"/>
  <c r="A252" i="2"/>
  <c r="U251" i="2"/>
  <c r="T251" i="2"/>
  <c r="L251" i="2"/>
  <c r="K251" i="2"/>
  <c r="J251" i="2"/>
  <c r="G251" i="2"/>
  <c r="F251" i="2"/>
  <c r="E251" i="2"/>
  <c r="B251" i="2"/>
  <c r="A251" i="2"/>
  <c r="U250" i="2"/>
  <c r="T250" i="2"/>
  <c r="L250" i="2"/>
  <c r="K250" i="2"/>
  <c r="J250" i="2"/>
  <c r="G250" i="2"/>
  <c r="F250" i="2"/>
  <c r="E250" i="2"/>
  <c r="B250" i="2"/>
  <c r="A250" i="2"/>
  <c r="U249" i="2"/>
  <c r="T249" i="2"/>
  <c r="L249" i="2"/>
  <c r="K249" i="2"/>
  <c r="J249" i="2"/>
  <c r="G249" i="2"/>
  <c r="F249" i="2"/>
  <c r="E249" i="2"/>
  <c r="B249" i="2"/>
  <c r="A249" i="2"/>
  <c r="U248" i="2"/>
  <c r="T248" i="2"/>
  <c r="L248" i="2"/>
  <c r="K248" i="2"/>
  <c r="J248" i="2"/>
  <c r="G248" i="2"/>
  <c r="F248" i="2"/>
  <c r="E248" i="2"/>
  <c r="B248" i="2"/>
  <c r="A248" i="2"/>
  <c r="U247" i="2"/>
  <c r="T247" i="2"/>
  <c r="L247" i="2"/>
  <c r="K247" i="2"/>
  <c r="J247" i="2"/>
  <c r="G247" i="2"/>
  <c r="F247" i="2"/>
  <c r="E247" i="2"/>
  <c r="B247" i="2"/>
  <c r="A247" i="2"/>
  <c r="U246" i="2"/>
  <c r="T246" i="2"/>
  <c r="L246" i="2"/>
  <c r="K246" i="2"/>
  <c r="J246" i="2"/>
  <c r="G246" i="2"/>
  <c r="F246" i="2"/>
  <c r="E246" i="2"/>
  <c r="B246" i="2"/>
  <c r="A246" i="2"/>
  <c r="U245" i="2"/>
  <c r="T245" i="2"/>
  <c r="L245" i="2"/>
  <c r="K245" i="2"/>
  <c r="J245" i="2"/>
  <c r="G245" i="2"/>
  <c r="F245" i="2"/>
  <c r="E245" i="2"/>
  <c r="B245" i="2"/>
  <c r="A245" i="2"/>
  <c r="U244" i="2"/>
  <c r="T244" i="2"/>
  <c r="L244" i="2"/>
  <c r="K244" i="2"/>
  <c r="J244" i="2"/>
  <c r="G244" i="2"/>
  <c r="F244" i="2"/>
  <c r="E244" i="2"/>
  <c r="B244" i="2"/>
  <c r="A244" i="2"/>
  <c r="U243" i="2"/>
  <c r="T243" i="2"/>
  <c r="L243" i="2"/>
  <c r="K243" i="2"/>
  <c r="J243" i="2"/>
  <c r="G243" i="2"/>
  <c r="F243" i="2"/>
  <c r="E243" i="2"/>
  <c r="B243" i="2"/>
  <c r="A243" i="2"/>
  <c r="U242" i="2"/>
  <c r="T242" i="2"/>
  <c r="L242" i="2"/>
  <c r="K242" i="2"/>
  <c r="J242" i="2"/>
  <c r="G242" i="2"/>
  <c r="F242" i="2"/>
  <c r="E242" i="2"/>
  <c r="B242" i="2"/>
  <c r="A242" i="2"/>
  <c r="U241" i="2"/>
  <c r="T241" i="2"/>
  <c r="L241" i="2"/>
  <c r="K241" i="2"/>
  <c r="J241" i="2"/>
  <c r="G241" i="2"/>
  <c r="F241" i="2"/>
  <c r="E241" i="2"/>
  <c r="B241" i="2"/>
  <c r="A241" i="2"/>
  <c r="U240" i="2"/>
  <c r="T240" i="2"/>
  <c r="L240" i="2"/>
  <c r="K240" i="2"/>
  <c r="J240" i="2"/>
  <c r="G240" i="2"/>
  <c r="F240" i="2"/>
  <c r="E240" i="2"/>
  <c r="B240" i="2"/>
  <c r="A240" i="2"/>
  <c r="U239" i="2"/>
  <c r="T239" i="2"/>
  <c r="L239" i="2"/>
  <c r="K239" i="2"/>
  <c r="J239" i="2"/>
  <c r="G239" i="2"/>
  <c r="F239" i="2"/>
  <c r="E239" i="2"/>
  <c r="B239" i="2"/>
  <c r="A239" i="2"/>
  <c r="U238" i="2"/>
  <c r="T238" i="2"/>
  <c r="L238" i="2"/>
  <c r="K238" i="2"/>
  <c r="J238" i="2"/>
  <c r="G238" i="2"/>
  <c r="F238" i="2"/>
  <c r="E238" i="2"/>
  <c r="B238" i="2"/>
  <c r="A238" i="2"/>
  <c r="U237" i="2"/>
  <c r="T237" i="2"/>
  <c r="L237" i="2"/>
  <c r="K237" i="2"/>
  <c r="J237" i="2"/>
  <c r="G237" i="2"/>
  <c r="F237" i="2"/>
  <c r="E237" i="2"/>
  <c r="B237" i="2"/>
  <c r="A237" i="2"/>
  <c r="U236" i="2"/>
  <c r="T236" i="2"/>
  <c r="L236" i="2"/>
  <c r="K236" i="2"/>
  <c r="J236" i="2"/>
  <c r="G236" i="2"/>
  <c r="F236" i="2"/>
  <c r="E236" i="2"/>
  <c r="B236" i="2"/>
  <c r="A236" i="2"/>
  <c r="U235" i="2"/>
  <c r="T235" i="2"/>
  <c r="L235" i="2"/>
  <c r="K235" i="2"/>
  <c r="J235" i="2"/>
  <c r="G235" i="2"/>
  <c r="F235" i="2"/>
  <c r="E235" i="2"/>
  <c r="B235" i="2"/>
  <c r="A235" i="2"/>
  <c r="U234" i="2"/>
  <c r="T234" i="2"/>
  <c r="L234" i="2"/>
  <c r="K234" i="2"/>
  <c r="J234" i="2"/>
  <c r="G234" i="2"/>
  <c r="F234" i="2"/>
  <c r="E234" i="2"/>
  <c r="B234" i="2"/>
  <c r="A234" i="2"/>
  <c r="U233" i="2"/>
  <c r="T233" i="2"/>
  <c r="L233" i="2"/>
  <c r="K233" i="2"/>
  <c r="J233" i="2"/>
  <c r="G233" i="2"/>
  <c r="F233" i="2"/>
  <c r="E233" i="2"/>
  <c r="B233" i="2"/>
  <c r="A233" i="2"/>
  <c r="U232" i="2"/>
  <c r="T232" i="2"/>
  <c r="L232" i="2"/>
  <c r="K232" i="2"/>
  <c r="J232" i="2"/>
  <c r="G232" i="2"/>
  <c r="F232" i="2"/>
  <c r="E232" i="2"/>
  <c r="B232" i="2"/>
  <c r="A232" i="2"/>
  <c r="U231" i="2"/>
  <c r="T231" i="2"/>
  <c r="L231" i="2"/>
  <c r="K231" i="2"/>
  <c r="J231" i="2"/>
  <c r="G231" i="2"/>
  <c r="F231" i="2"/>
  <c r="E231" i="2"/>
  <c r="B231" i="2"/>
  <c r="A231" i="2"/>
  <c r="U230" i="2"/>
  <c r="T230" i="2"/>
  <c r="L230" i="2"/>
  <c r="K230" i="2"/>
  <c r="J230" i="2"/>
  <c r="G230" i="2"/>
  <c r="F230" i="2"/>
  <c r="E230" i="2"/>
  <c r="B230" i="2"/>
  <c r="A230" i="2"/>
  <c r="U229" i="2"/>
  <c r="T229" i="2"/>
  <c r="L229" i="2"/>
  <c r="K229" i="2"/>
  <c r="J229" i="2"/>
  <c r="G229" i="2"/>
  <c r="F229" i="2"/>
  <c r="E229" i="2"/>
  <c r="B229" i="2"/>
  <c r="A229" i="2"/>
  <c r="U228" i="2"/>
  <c r="T228" i="2"/>
  <c r="L228" i="2"/>
  <c r="K228" i="2"/>
  <c r="J228" i="2"/>
  <c r="G228" i="2"/>
  <c r="F228" i="2"/>
  <c r="E228" i="2"/>
  <c r="B228" i="2"/>
  <c r="A228" i="2"/>
  <c r="U227" i="2"/>
  <c r="T227" i="2"/>
  <c r="L227" i="2"/>
  <c r="K227" i="2"/>
  <c r="J227" i="2"/>
  <c r="G227" i="2"/>
  <c r="F227" i="2"/>
  <c r="E227" i="2"/>
  <c r="B227" i="2"/>
  <c r="A227" i="2"/>
  <c r="U226" i="2"/>
  <c r="T226" i="2"/>
  <c r="L226" i="2"/>
  <c r="K226" i="2"/>
  <c r="J226" i="2"/>
  <c r="G226" i="2"/>
  <c r="F226" i="2"/>
  <c r="E226" i="2"/>
  <c r="B226" i="2"/>
  <c r="A226" i="2"/>
  <c r="U225" i="2"/>
  <c r="T225" i="2"/>
  <c r="L225" i="2"/>
  <c r="K225" i="2"/>
  <c r="J225" i="2"/>
  <c r="G225" i="2"/>
  <c r="F225" i="2"/>
  <c r="E225" i="2"/>
  <c r="B225" i="2"/>
  <c r="A225" i="2"/>
  <c r="U224" i="2"/>
  <c r="T224" i="2"/>
  <c r="L224" i="2"/>
  <c r="K224" i="2"/>
  <c r="J224" i="2"/>
  <c r="G224" i="2"/>
  <c r="F224" i="2"/>
  <c r="E224" i="2"/>
  <c r="B224" i="2"/>
  <c r="A224" i="2"/>
  <c r="U223" i="2"/>
  <c r="T223" i="2"/>
  <c r="L223" i="2"/>
  <c r="K223" i="2"/>
  <c r="J223" i="2"/>
  <c r="G223" i="2"/>
  <c r="F223" i="2"/>
  <c r="E223" i="2"/>
  <c r="B223" i="2"/>
  <c r="A223" i="2"/>
  <c r="U222" i="2"/>
  <c r="T222" i="2"/>
  <c r="L222" i="2"/>
  <c r="K222" i="2"/>
  <c r="J222" i="2"/>
  <c r="G222" i="2"/>
  <c r="F222" i="2"/>
  <c r="E222" i="2"/>
  <c r="B222" i="2"/>
  <c r="A222" i="2"/>
  <c r="U221" i="2"/>
  <c r="T221" i="2"/>
  <c r="L221" i="2"/>
  <c r="K221" i="2"/>
  <c r="J221" i="2"/>
  <c r="G221" i="2"/>
  <c r="F221" i="2"/>
  <c r="E221" i="2"/>
  <c r="B221" i="2"/>
  <c r="A221" i="2"/>
  <c r="U220" i="2"/>
  <c r="T220" i="2"/>
  <c r="L220" i="2"/>
  <c r="K220" i="2"/>
  <c r="J220" i="2"/>
  <c r="G220" i="2"/>
  <c r="F220" i="2"/>
  <c r="E220" i="2"/>
  <c r="B220" i="2"/>
  <c r="A220" i="2"/>
  <c r="U219" i="2"/>
  <c r="T219" i="2"/>
  <c r="L219" i="2"/>
  <c r="K219" i="2"/>
  <c r="J219" i="2"/>
  <c r="G219" i="2"/>
  <c r="F219" i="2"/>
  <c r="E219" i="2"/>
  <c r="B219" i="2"/>
  <c r="A219" i="2"/>
  <c r="U218" i="2"/>
  <c r="T218" i="2"/>
  <c r="L218" i="2"/>
  <c r="K218" i="2"/>
  <c r="J218" i="2"/>
  <c r="G218" i="2"/>
  <c r="F218" i="2"/>
  <c r="E218" i="2"/>
  <c r="B218" i="2"/>
  <c r="A218" i="2"/>
  <c r="U217" i="2"/>
  <c r="T217" i="2"/>
  <c r="L217" i="2"/>
  <c r="K217" i="2"/>
  <c r="J217" i="2"/>
  <c r="G217" i="2"/>
  <c r="F217" i="2"/>
  <c r="E217" i="2"/>
  <c r="B217" i="2"/>
  <c r="A217" i="2"/>
  <c r="U216" i="2"/>
  <c r="T216" i="2"/>
  <c r="L216" i="2"/>
  <c r="K216" i="2"/>
  <c r="J216" i="2"/>
  <c r="G216" i="2"/>
  <c r="F216" i="2"/>
  <c r="E216" i="2"/>
  <c r="B216" i="2"/>
  <c r="A216" i="2"/>
  <c r="U215" i="2"/>
  <c r="T215" i="2"/>
  <c r="L215" i="2"/>
  <c r="K215" i="2"/>
  <c r="J215" i="2"/>
  <c r="G215" i="2"/>
  <c r="F215" i="2"/>
  <c r="E215" i="2"/>
  <c r="B215" i="2"/>
  <c r="A215" i="2"/>
  <c r="U214" i="2"/>
  <c r="T214" i="2"/>
  <c r="L214" i="2"/>
  <c r="K214" i="2"/>
  <c r="J214" i="2"/>
  <c r="G214" i="2"/>
  <c r="F214" i="2"/>
  <c r="E214" i="2"/>
  <c r="B214" i="2"/>
  <c r="A214" i="2"/>
  <c r="U213" i="2"/>
  <c r="T213" i="2"/>
  <c r="L213" i="2"/>
  <c r="K213" i="2"/>
  <c r="J213" i="2"/>
  <c r="G213" i="2"/>
  <c r="F213" i="2"/>
  <c r="E213" i="2"/>
  <c r="B213" i="2"/>
  <c r="A213" i="2"/>
  <c r="U212" i="2"/>
  <c r="L212" i="2"/>
  <c r="K212" i="2"/>
  <c r="J212" i="2"/>
  <c r="G212" i="2"/>
  <c r="F212" i="2"/>
  <c r="E212" i="2"/>
  <c r="B212" i="2"/>
  <c r="A212" i="2"/>
  <c r="U211" i="2"/>
  <c r="L211" i="2"/>
  <c r="K211" i="2"/>
  <c r="J211" i="2"/>
  <c r="G211" i="2"/>
  <c r="F211" i="2"/>
  <c r="E211" i="2"/>
  <c r="B211" i="2"/>
  <c r="A211" i="2"/>
  <c r="U210" i="2"/>
  <c r="L210" i="2"/>
  <c r="K210" i="2"/>
  <c r="J210" i="2"/>
  <c r="G210" i="2"/>
  <c r="F210" i="2"/>
  <c r="E210" i="2"/>
  <c r="B210" i="2"/>
  <c r="A210" i="2"/>
  <c r="U209" i="2"/>
  <c r="L209" i="2"/>
  <c r="K209" i="2"/>
  <c r="J209" i="2"/>
  <c r="G209" i="2"/>
  <c r="F209" i="2"/>
  <c r="E209" i="2"/>
  <c r="B209" i="2"/>
  <c r="A209" i="2"/>
  <c r="U208" i="2"/>
  <c r="L208" i="2"/>
  <c r="K208" i="2"/>
  <c r="J208" i="2"/>
  <c r="G208" i="2"/>
  <c r="F208" i="2"/>
  <c r="E208" i="2"/>
  <c r="B208" i="2"/>
  <c r="A208" i="2"/>
  <c r="U207" i="2"/>
  <c r="L207" i="2"/>
  <c r="K207" i="2"/>
  <c r="J207" i="2"/>
  <c r="G207" i="2"/>
  <c r="F207" i="2"/>
  <c r="E207" i="2"/>
  <c r="B207" i="2"/>
  <c r="A207" i="2"/>
  <c r="U206" i="2"/>
  <c r="L206" i="2"/>
  <c r="K206" i="2"/>
  <c r="J206" i="2"/>
  <c r="G206" i="2"/>
  <c r="F206" i="2"/>
  <c r="E206" i="2"/>
  <c r="B206" i="2"/>
  <c r="A206" i="2"/>
  <c r="U205" i="2"/>
  <c r="L205" i="2"/>
  <c r="K205" i="2"/>
  <c r="J205" i="2"/>
  <c r="G205" i="2"/>
  <c r="F205" i="2"/>
  <c r="E205" i="2"/>
  <c r="B205" i="2"/>
  <c r="A205" i="2"/>
  <c r="U204" i="2"/>
  <c r="L204" i="2"/>
  <c r="K204" i="2"/>
  <c r="J204" i="2"/>
  <c r="G204" i="2"/>
  <c r="F204" i="2"/>
  <c r="E204" i="2"/>
  <c r="B204" i="2"/>
  <c r="A204" i="2"/>
  <c r="U203" i="2"/>
  <c r="L203" i="2"/>
  <c r="K203" i="2"/>
  <c r="J203" i="2"/>
  <c r="G203" i="2"/>
  <c r="F203" i="2"/>
  <c r="E203" i="2"/>
  <c r="B203" i="2"/>
  <c r="A203" i="2"/>
  <c r="U202" i="2"/>
  <c r="L202" i="2"/>
  <c r="K202" i="2"/>
  <c r="J202" i="2"/>
  <c r="G202" i="2"/>
  <c r="F202" i="2"/>
  <c r="E202" i="2"/>
  <c r="B202" i="2"/>
  <c r="A202" i="2"/>
  <c r="U201" i="2"/>
  <c r="L201" i="2"/>
  <c r="K201" i="2"/>
  <c r="J201" i="2"/>
  <c r="G201" i="2"/>
  <c r="F201" i="2"/>
  <c r="E201" i="2"/>
  <c r="B201" i="2"/>
  <c r="A201" i="2"/>
  <c r="U200" i="2"/>
  <c r="L200" i="2"/>
  <c r="K200" i="2"/>
  <c r="J200" i="2"/>
  <c r="G200" i="2"/>
  <c r="F200" i="2"/>
  <c r="E200" i="2"/>
  <c r="B200" i="2"/>
  <c r="A200" i="2"/>
  <c r="U199" i="2"/>
  <c r="T199" i="2"/>
  <c r="L199" i="2"/>
  <c r="K199" i="2"/>
  <c r="J199" i="2"/>
  <c r="G199" i="2"/>
  <c r="F199" i="2"/>
  <c r="E199" i="2"/>
  <c r="B199" i="2"/>
  <c r="A199" i="2"/>
  <c r="U198" i="2"/>
  <c r="T198" i="2"/>
  <c r="L198" i="2"/>
  <c r="K198" i="2"/>
  <c r="J198" i="2"/>
  <c r="G198" i="2"/>
  <c r="F198" i="2"/>
  <c r="E198" i="2"/>
  <c r="B198" i="2"/>
  <c r="A198" i="2"/>
  <c r="U197" i="2"/>
  <c r="T197" i="2"/>
  <c r="L197" i="2"/>
  <c r="K197" i="2"/>
  <c r="J197" i="2"/>
  <c r="G197" i="2"/>
  <c r="F197" i="2"/>
  <c r="E197" i="2"/>
  <c r="B197" i="2"/>
  <c r="A197" i="2"/>
  <c r="U196" i="2"/>
  <c r="T196" i="2"/>
  <c r="L196" i="2"/>
  <c r="K196" i="2"/>
  <c r="J196" i="2"/>
  <c r="G196" i="2"/>
  <c r="F196" i="2"/>
  <c r="E196" i="2"/>
  <c r="B196" i="2"/>
  <c r="A196" i="2"/>
  <c r="U195" i="2"/>
  <c r="T195" i="2"/>
  <c r="L195" i="2"/>
  <c r="K195" i="2"/>
  <c r="J195" i="2"/>
  <c r="G195" i="2"/>
  <c r="F195" i="2"/>
  <c r="E195" i="2"/>
  <c r="B195" i="2"/>
  <c r="A195" i="2"/>
  <c r="U194" i="2"/>
  <c r="T194" i="2"/>
  <c r="L194" i="2"/>
  <c r="K194" i="2"/>
  <c r="J194" i="2"/>
  <c r="G194" i="2"/>
  <c r="F194" i="2"/>
  <c r="E194" i="2"/>
  <c r="B194" i="2"/>
  <c r="A194" i="2"/>
  <c r="U193" i="2"/>
  <c r="T193" i="2"/>
  <c r="L193" i="2"/>
  <c r="K193" i="2"/>
  <c r="J193" i="2"/>
  <c r="G193" i="2"/>
  <c r="F193" i="2"/>
  <c r="E193" i="2"/>
  <c r="B193" i="2"/>
  <c r="A193" i="2"/>
  <c r="U192" i="2"/>
  <c r="T192" i="2"/>
  <c r="L192" i="2"/>
  <c r="K192" i="2"/>
  <c r="J192" i="2"/>
  <c r="G192" i="2"/>
  <c r="F192" i="2"/>
  <c r="E192" i="2"/>
  <c r="B192" i="2"/>
  <c r="A192" i="2"/>
  <c r="U191" i="2"/>
  <c r="T191" i="2"/>
  <c r="L191" i="2"/>
  <c r="K191" i="2"/>
  <c r="J191" i="2"/>
  <c r="G191" i="2"/>
  <c r="F191" i="2"/>
  <c r="E191" i="2"/>
  <c r="B191" i="2"/>
  <c r="A191" i="2"/>
  <c r="U190" i="2"/>
  <c r="L190" i="2"/>
  <c r="K190" i="2"/>
  <c r="J190" i="2"/>
  <c r="G190" i="2"/>
  <c r="F190" i="2"/>
  <c r="E190" i="2"/>
  <c r="B190" i="2"/>
  <c r="A190" i="2"/>
  <c r="U189" i="2"/>
  <c r="L189" i="2"/>
  <c r="K189" i="2"/>
  <c r="J189" i="2"/>
  <c r="G189" i="2"/>
  <c r="F189" i="2"/>
  <c r="E189" i="2"/>
  <c r="B189" i="2"/>
  <c r="A189" i="2"/>
  <c r="U188" i="2"/>
  <c r="L188" i="2"/>
  <c r="K188" i="2"/>
  <c r="J188" i="2"/>
  <c r="G188" i="2"/>
  <c r="F188" i="2"/>
  <c r="E188" i="2"/>
  <c r="B188" i="2"/>
  <c r="A188" i="2"/>
  <c r="U187" i="2"/>
  <c r="L187" i="2"/>
  <c r="K187" i="2"/>
  <c r="J187" i="2"/>
  <c r="G187" i="2"/>
  <c r="F187" i="2"/>
  <c r="E187" i="2"/>
  <c r="B187" i="2"/>
  <c r="A187" i="2"/>
  <c r="U186" i="2"/>
  <c r="L186" i="2"/>
  <c r="K186" i="2"/>
  <c r="J186" i="2"/>
  <c r="G186" i="2"/>
  <c r="F186" i="2"/>
  <c r="E186" i="2"/>
  <c r="B186" i="2"/>
  <c r="A186" i="2"/>
  <c r="U185" i="2"/>
  <c r="L185" i="2"/>
  <c r="K185" i="2"/>
  <c r="J185" i="2"/>
  <c r="G185" i="2"/>
  <c r="F185" i="2"/>
  <c r="E185" i="2"/>
  <c r="B185" i="2"/>
  <c r="A185" i="2"/>
  <c r="U184" i="2"/>
  <c r="L184" i="2"/>
  <c r="K184" i="2"/>
  <c r="J184" i="2"/>
  <c r="G184" i="2"/>
  <c r="F184" i="2"/>
  <c r="E184" i="2"/>
  <c r="B184" i="2"/>
  <c r="A184" i="2"/>
  <c r="U183" i="2"/>
  <c r="L183" i="2"/>
  <c r="K183" i="2"/>
  <c r="J183" i="2"/>
  <c r="G183" i="2"/>
  <c r="F183" i="2"/>
  <c r="E183" i="2"/>
  <c r="B183" i="2"/>
  <c r="A183" i="2"/>
  <c r="U182" i="2"/>
  <c r="L182" i="2"/>
  <c r="K182" i="2"/>
  <c r="J182" i="2"/>
  <c r="G182" i="2"/>
  <c r="F182" i="2"/>
  <c r="E182" i="2"/>
  <c r="B182" i="2"/>
  <c r="A182" i="2"/>
  <c r="U181" i="2"/>
  <c r="T181" i="2"/>
  <c r="L181" i="2"/>
  <c r="K181" i="2"/>
  <c r="J181" i="2"/>
  <c r="G181" i="2"/>
  <c r="F181" i="2"/>
  <c r="E181" i="2"/>
  <c r="B181" i="2"/>
  <c r="A181" i="2"/>
  <c r="U180" i="2"/>
  <c r="T180" i="2"/>
  <c r="L180" i="2"/>
  <c r="K180" i="2"/>
  <c r="J180" i="2"/>
  <c r="G180" i="2"/>
  <c r="F180" i="2"/>
  <c r="E180" i="2"/>
  <c r="B180" i="2"/>
  <c r="A180" i="2"/>
  <c r="U179" i="2"/>
  <c r="T179" i="2"/>
  <c r="L179" i="2"/>
  <c r="K179" i="2"/>
  <c r="J179" i="2"/>
  <c r="G179" i="2"/>
  <c r="F179" i="2"/>
  <c r="E179" i="2"/>
  <c r="B179" i="2"/>
  <c r="A179" i="2"/>
  <c r="U178" i="2"/>
  <c r="T178" i="2"/>
  <c r="L178" i="2"/>
  <c r="K178" i="2"/>
  <c r="J178" i="2"/>
  <c r="G178" i="2"/>
  <c r="F178" i="2"/>
  <c r="E178" i="2"/>
  <c r="B178" i="2"/>
  <c r="A178" i="2"/>
  <c r="U177" i="2"/>
  <c r="T177" i="2"/>
  <c r="L177" i="2"/>
  <c r="K177" i="2"/>
  <c r="J177" i="2"/>
  <c r="G177" i="2"/>
  <c r="F177" i="2"/>
  <c r="E177" i="2"/>
  <c r="B177" i="2"/>
  <c r="A177" i="2"/>
  <c r="U176" i="2"/>
  <c r="T176" i="2"/>
  <c r="L176" i="2"/>
  <c r="K176" i="2"/>
  <c r="J176" i="2"/>
  <c r="G176" i="2"/>
  <c r="F176" i="2"/>
  <c r="E176" i="2"/>
  <c r="B176" i="2"/>
  <c r="A176" i="2"/>
  <c r="U175" i="2"/>
  <c r="T175" i="2"/>
  <c r="L175" i="2"/>
  <c r="K175" i="2"/>
  <c r="J175" i="2"/>
  <c r="G175" i="2"/>
  <c r="F175" i="2"/>
  <c r="E175" i="2"/>
  <c r="B175" i="2"/>
  <c r="A175" i="2"/>
  <c r="U174" i="2"/>
  <c r="T174" i="2"/>
  <c r="L174" i="2"/>
  <c r="K174" i="2"/>
  <c r="J174" i="2"/>
  <c r="G174" i="2"/>
  <c r="F174" i="2"/>
  <c r="E174" i="2"/>
  <c r="B174" i="2"/>
  <c r="A174" i="2"/>
  <c r="U173" i="2"/>
  <c r="T173" i="2"/>
  <c r="L173" i="2"/>
  <c r="K173" i="2"/>
  <c r="J173" i="2"/>
  <c r="G173" i="2"/>
  <c r="F173" i="2"/>
  <c r="E173" i="2"/>
  <c r="B173" i="2"/>
  <c r="A173" i="2"/>
  <c r="U172" i="2"/>
  <c r="T172" i="2"/>
  <c r="L172" i="2"/>
  <c r="K172" i="2"/>
  <c r="J172" i="2"/>
  <c r="G172" i="2"/>
  <c r="F172" i="2"/>
  <c r="E172" i="2"/>
  <c r="B172" i="2"/>
  <c r="A172" i="2"/>
  <c r="U171" i="2"/>
  <c r="T171" i="2"/>
  <c r="L171" i="2"/>
  <c r="K171" i="2"/>
  <c r="J171" i="2"/>
  <c r="G171" i="2"/>
  <c r="F171" i="2"/>
  <c r="E171" i="2"/>
  <c r="B171" i="2"/>
  <c r="A171" i="2"/>
  <c r="U170" i="2"/>
  <c r="T170" i="2"/>
  <c r="L170" i="2"/>
  <c r="K170" i="2"/>
  <c r="J170" i="2"/>
  <c r="G170" i="2"/>
  <c r="F170" i="2"/>
  <c r="E170" i="2"/>
  <c r="B170" i="2"/>
  <c r="A170" i="2"/>
  <c r="U169" i="2"/>
  <c r="T169" i="2"/>
  <c r="L169" i="2"/>
  <c r="K169" i="2"/>
  <c r="J169" i="2"/>
  <c r="G169" i="2"/>
  <c r="F169" i="2"/>
  <c r="E169" i="2"/>
  <c r="B169" i="2"/>
  <c r="A169" i="2"/>
  <c r="U168" i="2"/>
  <c r="T168" i="2"/>
  <c r="L168" i="2"/>
  <c r="K168" i="2"/>
  <c r="J168" i="2"/>
  <c r="G168" i="2"/>
  <c r="F168" i="2"/>
  <c r="E168" i="2"/>
  <c r="B168" i="2"/>
  <c r="A168" i="2"/>
  <c r="U167" i="2"/>
  <c r="T167" i="2"/>
  <c r="L167" i="2"/>
  <c r="K167" i="2"/>
  <c r="J167" i="2"/>
  <c r="G167" i="2"/>
  <c r="F167" i="2"/>
  <c r="E167" i="2"/>
  <c r="B167" i="2"/>
  <c r="A167" i="2"/>
  <c r="U166" i="2"/>
  <c r="T166" i="2"/>
  <c r="L166" i="2"/>
  <c r="K166" i="2"/>
  <c r="J166" i="2"/>
  <c r="G166" i="2"/>
  <c r="F166" i="2"/>
  <c r="E166" i="2"/>
  <c r="B166" i="2"/>
  <c r="A166" i="2"/>
  <c r="U165" i="2"/>
  <c r="T165" i="2"/>
  <c r="L165" i="2"/>
  <c r="K165" i="2"/>
  <c r="J165" i="2"/>
  <c r="G165" i="2"/>
  <c r="F165" i="2"/>
  <c r="E165" i="2"/>
  <c r="B165" i="2"/>
  <c r="A165" i="2"/>
  <c r="U164" i="2"/>
  <c r="T164" i="2"/>
  <c r="L164" i="2"/>
  <c r="K164" i="2"/>
  <c r="J164" i="2"/>
  <c r="G164" i="2"/>
  <c r="F164" i="2"/>
  <c r="E164" i="2"/>
  <c r="B164" i="2"/>
  <c r="A164" i="2"/>
  <c r="U163" i="2"/>
  <c r="T163" i="2"/>
  <c r="L163" i="2"/>
  <c r="K163" i="2"/>
  <c r="J163" i="2"/>
  <c r="G163" i="2"/>
  <c r="F163" i="2"/>
  <c r="E163" i="2"/>
  <c r="B163" i="2"/>
  <c r="A163" i="2"/>
  <c r="U162" i="2"/>
  <c r="T162" i="2"/>
  <c r="L162" i="2"/>
  <c r="K162" i="2"/>
  <c r="J162" i="2"/>
  <c r="G162" i="2"/>
  <c r="F162" i="2"/>
  <c r="E162" i="2"/>
  <c r="B162" i="2"/>
  <c r="A162" i="2"/>
  <c r="U161" i="2"/>
  <c r="T161" i="2"/>
  <c r="L161" i="2"/>
  <c r="K161" i="2"/>
  <c r="J161" i="2"/>
  <c r="G161" i="2"/>
  <c r="F161" i="2"/>
  <c r="E161" i="2"/>
  <c r="B161" i="2"/>
  <c r="A161" i="2"/>
  <c r="U160" i="2"/>
  <c r="T160" i="2"/>
  <c r="L160" i="2"/>
  <c r="K160" i="2"/>
  <c r="J160" i="2"/>
  <c r="G160" i="2"/>
  <c r="F160" i="2"/>
  <c r="E160" i="2"/>
  <c r="B160" i="2"/>
  <c r="A160" i="2"/>
  <c r="U159" i="2"/>
  <c r="T159" i="2"/>
  <c r="L159" i="2"/>
  <c r="K159" i="2"/>
  <c r="J159" i="2"/>
  <c r="G159" i="2"/>
  <c r="F159" i="2"/>
  <c r="E159" i="2"/>
  <c r="B159" i="2"/>
  <c r="A159" i="2"/>
  <c r="U158" i="2"/>
  <c r="T158" i="2"/>
  <c r="L158" i="2"/>
  <c r="K158" i="2"/>
  <c r="J158" i="2"/>
  <c r="G158" i="2"/>
  <c r="F158" i="2"/>
  <c r="E158" i="2"/>
  <c r="B158" i="2"/>
  <c r="A158" i="2"/>
  <c r="U157" i="2"/>
  <c r="T157" i="2"/>
  <c r="L157" i="2"/>
  <c r="K157" i="2"/>
  <c r="J157" i="2"/>
  <c r="G157" i="2"/>
  <c r="F157" i="2"/>
  <c r="E157" i="2"/>
  <c r="B157" i="2"/>
  <c r="A157" i="2"/>
  <c r="U156" i="2"/>
  <c r="T156" i="2"/>
  <c r="L156" i="2"/>
  <c r="K156" i="2"/>
  <c r="J156" i="2"/>
  <c r="G156" i="2"/>
  <c r="F156" i="2"/>
  <c r="E156" i="2"/>
  <c r="B156" i="2"/>
  <c r="A156" i="2"/>
  <c r="U155" i="2"/>
  <c r="T155" i="2"/>
  <c r="L155" i="2"/>
  <c r="K155" i="2"/>
  <c r="J155" i="2"/>
  <c r="G155" i="2"/>
  <c r="F155" i="2"/>
  <c r="E155" i="2"/>
  <c r="B155" i="2"/>
  <c r="A155" i="2"/>
  <c r="U154" i="2"/>
  <c r="T154" i="2"/>
  <c r="L154" i="2"/>
  <c r="K154" i="2"/>
  <c r="J154" i="2"/>
  <c r="G154" i="2"/>
  <c r="F154" i="2"/>
  <c r="E154" i="2"/>
  <c r="B154" i="2"/>
  <c r="A154" i="2"/>
  <c r="U153" i="2"/>
  <c r="T153" i="2"/>
  <c r="L153" i="2"/>
  <c r="K153" i="2"/>
  <c r="J153" i="2"/>
  <c r="G153" i="2"/>
  <c r="F153" i="2"/>
  <c r="E153" i="2"/>
  <c r="B153" i="2"/>
  <c r="A153" i="2"/>
  <c r="U152" i="2"/>
  <c r="T152" i="2"/>
  <c r="L152" i="2"/>
  <c r="K152" i="2"/>
  <c r="J152" i="2"/>
  <c r="G152" i="2"/>
  <c r="F152" i="2"/>
  <c r="E152" i="2"/>
  <c r="B152" i="2"/>
  <c r="A152" i="2"/>
  <c r="U151" i="2"/>
  <c r="T151" i="2"/>
  <c r="L151" i="2"/>
  <c r="K151" i="2"/>
  <c r="J151" i="2"/>
  <c r="G151" i="2"/>
  <c r="F151" i="2"/>
  <c r="E151" i="2"/>
  <c r="B151" i="2"/>
  <c r="A151" i="2"/>
  <c r="U150" i="2"/>
  <c r="T150" i="2"/>
  <c r="L150" i="2"/>
  <c r="K150" i="2"/>
  <c r="J150" i="2"/>
  <c r="G150" i="2"/>
  <c r="F150" i="2"/>
  <c r="E150" i="2"/>
  <c r="B150" i="2"/>
  <c r="A150" i="2"/>
  <c r="U149" i="2"/>
  <c r="T149" i="2"/>
  <c r="L149" i="2"/>
  <c r="K149" i="2"/>
  <c r="J149" i="2"/>
  <c r="G149" i="2"/>
  <c r="F149" i="2"/>
  <c r="E149" i="2"/>
  <c r="B149" i="2"/>
  <c r="A149" i="2"/>
  <c r="U148" i="2"/>
  <c r="T148" i="2"/>
  <c r="L148" i="2"/>
  <c r="K148" i="2"/>
  <c r="J148" i="2"/>
  <c r="G148" i="2"/>
  <c r="F148" i="2"/>
  <c r="E148" i="2"/>
  <c r="B148" i="2"/>
  <c r="A148" i="2"/>
  <c r="U147" i="2"/>
  <c r="T147" i="2"/>
  <c r="L147" i="2"/>
  <c r="K147" i="2"/>
  <c r="J147" i="2"/>
  <c r="G147" i="2"/>
  <c r="F147" i="2"/>
  <c r="E147" i="2"/>
  <c r="B147" i="2"/>
  <c r="A147" i="2"/>
  <c r="U146" i="2"/>
  <c r="T146" i="2"/>
  <c r="L146" i="2"/>
  <c r="K146" i="2"/>
  <c r="J146" i="2"/>
  <c r="G146" i="2"/>
  <c r="F146" i="2"/>
  <c r="E146" i="2"/>
  <c r="B146" i="2"/>
  <c r="A146" i="2"/>
  <c r="U145" i="2"/>
  <c r="T145" i="2"/>
  <c r="L145" i="2"/>
  <c r="K145" i="2"/>
  <c r="J145" i="2"/>
  <c r="G145" i="2"/>
  <c r="F145" i="2"/>
  <c r="E145" i="2"/>
  <c r="B145" i="2"/>
  <c r="A145" i="2"/>
  <c r="U144" i="2"/>
  <c r="T144" i="2"/>
  <c r="L144" i="2"/>
  <c r="K144" i="2"/>
  <c r="J144" i="2"/>
  <c r="G144" i="2"/>
  <c r="F144" i="2"/>
  <c r="E144" i="2"/>
  <c r="B144" i="2"/>
  <c r="A144" i="2"/>
  <c r="U143" i="2"/>
  <c r="T143" i="2"/>
  <c r="L143" i="2"/>
  <c r="K143" i="2"/>
  <c r="J143" i="2"/>
  <c r="G143" i="2"/>
  <c r="F143" i="2"/>
  <c r="E143" i="2"/>
  <c r="B143" i="2"/>
  <c r="A143" i="2"/>
  <c r="U142" i="2"/>
  <c r="T142" i="2"/>
  <c r="L142" i="2"/>
  <c r="K142" i="2"/>
  <c r="J142" i="2"/>
  <c r="G142" i="2"/>
  <c r="F142" i="2"/>
  <c r="E142" i="2"/>
  <c r="B142" i="2"/>
  <c r="A142" i="2"/>
  <c r="U141" i="2"/>
  <c r="T141" i="2"/>
  <c r="L141" i="2"/>
  <c r="K141" i="2"/>
  <c r="J141" i="2"/>
  <c r="G141" i="2"/>
  <c r="F141" i="2"/>
  <c r="E141" i="2"/>
  <c r="B141" i="2"/>
  <c r="A141" i="2"/>
  <c r="U140" i="2"/>
  <c r="T140" i="2"/>
  <c r="L140" i="2"/>
  <c r="K140" i="2"/>
  <c r="J140" i="2"/>
  <c r="G140" i="2"/>
  <c r="F140" i="2"/>
  <c r="E140" i="2"/>
  <c r="B140" i="2"/>
  <c r="A140" i="2"/>
  <c r="U139" i="2"/>
  <c r="T139" i="2"/>
  <c r="L139" i="2"/>
  <c r="K139" i="2"/>
  <c r="J139" i="2"/>
  <c r="G139" i="2"/>
  <c r="F139" i="2"/>
  <c r="E139" i="2"/>
  <c r="B139" i="2"/>
  <c r="A139" i="2"/>
  <c r="U138" i="2"/>
  <c r="T138" i="2"/>
  <c r="L138" i="2"/>
  <c r="K138" i="2"/>
  <c r="J138" i="2"/>
  <c r="G138" i="2"/>
  <c r="F138" i="2"/>
  <c r="E138" i="2"/>
  <c r="B138" i="2"/>
  <c r="A138" i="2"/>
  <c r="U137" i="2"/>
  <c r="T137" i="2"/>
  <c r="L137" i="2"/>
  <c r="K137" i="2"/>
  <c r="J137" i="2"/>
  <c r="G137" i="2"/>
  <c r="F137" i="2"/>
  <c r="E137" i="2"/>
  <c r="B137" i="2"/>
  <c r="A137" i="2"/>
  <c r="U136" i="2"/>
  <c r="T136" i="2"/>
  <c r="L136" i="2"/>
  <c r="K136" i="2"/>
  <c r="J136" i="2"/>
  <c r="G136" i="2"/>
  <c r="F136" i="2"/>
  <c r="E136" i="2"/>
  <c r="B136" i="2"/>
  <c r="A136" i="2"/>
  <c r="U135" i="2"/>
  <c r="T135" i="2"/>
  <c r="L135" i="2"/>
  <c r="K135" i="2"/>
  <c r="J135" i="2"/>
  <c r="G135" i="2"/>
  <c r="F135" i="2"/>
  <c r="E135" i="2"/>
  <c r="B135" i="2"/>
  <c r="A135" i="2"/>
  <c r="U134" i="2"/>
  <c r="T134" i="2"/>
  <c r="L134" i="2"/>
  <c r="K134" i="2"/>
  <c r="J134" i="2"/>
  <c r="G134" i="2"/>
  <c r="F134" i="2"/>
  <c r="E134" i="2"/>
  <c r="B134" i="2"/>
  <c r="A134" i="2"/>
  <c r="U133" i="2"/>
  <c r="T133" i="2"/>
  <c r="L133" i="2"/>
  <c r="K133" i="2"/>
  <c r="J133" i="2"/>
  <c r="G133" i="2"/>
  <c r="F133" i="2"/>
  <c r="E133" i="2"/>
  <c r="B133" i="2"/>
  <c r="A133" i="2"/>
  <c r="U132" i="2"/>
  <c r="T132" i="2"/>
  <c r="L132" i="2"/>
  <c r="K132" i="2"/>
  <c r="J132" i="2"/>
  <c r="G132" i="2"/>
  <c r="F132" i="2"/>
  <c r="E132" i="2"/>
  <c r="B132" i="2"/>
  <c r="A132" i="2"/>
  <c r="U131" i="2"/>
  <c r="T131" i="2"/>
  <c r="L131" i="2"/>
  <c r="K131" i="2"/>
  <c r="J131" i="2"/>
  <c r="G131" i="2"/>
  <c r="F131" i="2"/>
  <c r="E131" i="2"/>
  <c r="B131" i="2"/>
  <c r="A131" i="2"/>
  <c r="U130" i="2"/>
  <c r="T130" i="2"/>
  <c r="L130" i="2"/>
  <c r="K130" i="2"/>
  <c r="J130" i="2"/>
  <c r="G130" i="2"/>
  <c r="F130" i="2"/>
  <c r="E130" i="2"/>
  <c r="B130" i="2"/>
  <c r="A130" i="2"/>
  <c r="U129" i="2"/>
  <c r="T129" i="2"/>
  <c r="L129" i="2"/>
  <c r="K129" i="2"/>
  <c r="J129" i="2"/>
  <c r="G129" i="2"/>
  <c r="F129" i="2"/>
  <c r="E129" i="2"/>
  <c r="B129" i="2"/>
  <c r="A129" i="2"/>
  <c r="U128" i="2"/>
  <c r="T128" i="2"/>
  <c r="L128" i="2"/>
  <c r="K128" i="2"/>
  <c r="J128" i="2"/>
  <c r="G128" i="2"/>
  <c r="F128" i="2"/>
  <c r="E128" i="2"/>
  <c r="B128" i="2"/>
  <c r="A128" i="2"/>
  <c r="U127" i="2"/>
  <c r="T127" i="2"/>
  <c r="L127" i="2"/>
  <c r="K127" i="2"/>
  <c r="J127" i="2"/>
  <c r="G127" i="2"/>
  <c r="F127" i="2"/>
  <c r="E127" i="2"/>
  <c r="B127" i="2"/>
  <c r="A127" i="2"/>
  <c r="U126" i="2"/>
  <c r="T126" i="2"/>
  <c r="L126" i="2"/>
  <c r="K126" i="2"/>
  <c r="J126" i="2"/>
  <c r="G126" i="2"/>
  <c r="F126" i="2"/>
  <c r="E126" i="2"/>
  <c r="B126" i="2"/>
  <c r="A126" i="2"/>
  <c r="U125" i="2"/>
  <c r="T125" i="2"/>
  <c r="L125" i="2"/>
  <c r="K125" i="2"/>
  <c r="J125" i="2"/>
  <c r="G125" i="2"/>
  <c r="F125" i="2"/>
  <c r="E125" i="2"/>
  <c r="B125" i="2"/>
  <c r="A125" i="2"/>
  <c r="U124" i="2"/>
  <c r="T124" i="2"/>
  <c r="L124" i="2"/>
  <c r="K124" i="2"/>
  <c r="J124" i="2"/>
  <c r="G124" i="2"/>
  <c r="F124" i="2"/>
  <c r="E124" i="2"/>
  <c r="B124" i="2"/>
  <c r="A124" i="2"/>
  <c r="U123" i="2"/>
  <c r="T123" i="2"/>
  <c r="L123" i="2"/>
  <c r="K123" i="2"/>
  <c r="J123" i="2"/>
  <c r="G123" i="2"/>
  <c r="F123" i="2"/>
  <c r="E123" i="2"/>
  <c r="B123" i="2"/>
  <c r="A123" i="2"/>
  <c r="U122" i="2"/>
  <c r="T122" i="2"/>
  <c r="L122" i="2"/>
  <c r="K122" i="2"/>
  <c r="J122" i="2"/>
  <c r="G122" i="2"/>
  <c r="F122" i="2"/>
  <c r="E122" i="2"/>
  <c r="B122" i="2"/>
  <c r="A122" i="2"/>
  <c r="U121" i="2"/>
  <c r="T121" i="2"/>
  <c r="L121" i="2"/>
  <c r="K121" i="2"/>
  <c r="J121" i="2"/>
  <c r="G121" i="2"/>
  <c r="F121" i="2"/>
  <c r="E121" i="2"/>
  <c r="B121" i="2"/>
  <c r="A121" i="2"/>
  <c r="U120" i="2"/>
  <c r="T120" i="2"/>
  <c r="L120" i="2"/>
  <c r="K120" i="2"/>
  <c r="J120" i="2"/>
  <c r="G120" i="2"/>
  <c r="F120" i="2"/>
  <c r="E120" i="2"/>
  <c r="B120" i="2"/>
  <c r="A120" i="2"/>
  <c r="U119" i="2"/>
  <c r="T119" i="2"/>
  <c r="L119" i="2"/>
  <c r="K119" i="2"/>
  <c r="J119" i="2"/>
  <c r="G119" i="2"/>
  <c r="F119" i="2"/>
  <c r="E119" i="2"/>
  <c r="B119" i="2"/>
  <c r="A119" i="2"/>
  <c r="U118" i="2"/>
  <c r="T118" i="2"/>
  <c r="L118" i="2"/>
  <c r="K118" i="2"/>
  <c r="J118" i="2"/>
  <c r="G118" i="2"/>
  <c r="F118" i="2"/>
  <c r="E118" i="2"/>
  <c r="B118" i="2"/>
  <c r="A118" i="2"/>
  <c r="U117" i="2"/>
  <c r="T117" i="2"/>
  <c r="L117" i="2"/>
  <c r="K117" i="2"/>
  <c r="J117" i="2"/>
  <c r="G117" i="2"/>
  <c r="F117" i="2"/>
  <c r="E117" i="2"/>
  <c r="B117" i="2"/>
  <c r="A117" i="2"/>
  <c r="U116" i="2"/>
  <c r="T116" i="2"/>
  <c r="L116" i="2"/>
  <c r="K116" i="2"/>
  <c r="J116" i="2"/>
  <c r="G116" i="2"/>
  <c r="F116" i="2"/>
  <c r="E116" i="2"/>
  <c r="B116" i="2"/>
  <c r="A116" i="2"/>
  <c r="U115" i="2"/>
  <c r="T115" i="2"/>
  <c r="L115" i="2"/>
  <c r="K115" i="2"/>
  <c r="J115" i="2"/>
  <c r="G115" i="2"/>
  <c r="F115" i="2"/>
  <c r="E115" i="2"/>
  <c r="B115" i="2"/>
  <c r="A115" i="2"/>
  <c r="U114" i="2"/>
  <c r="T114" i="2"/>
  <c r="L114" i="2"/>
  <c r="K114" i="2"/>
  <c r="J114" i="2"/>
  <c r="G114" i="2"/>
  <c r="F114" i="2"/>
  <c r="E114" i="2"/>
  <c r="B114" i="2"/>
  <c r="A114" i="2"/>
  <c r="U113" i="2"/>
  <c r="T113" i="2"/>
  <c r="L113" i="2"/>
  <c r="K113" i="2"/>
  <c r="J113" i="2"/>
  <c r="G113" i="2"/>
  <c r="F113" i="2"/>
  <c r="E113" i="2"/>
  <c r="B113" i="2"/>
  <c r="A113" i="2"/>
  <c r="U112" i="2"/>
  <c r="T112" i="2"/>
  <c r="L112" i="2"/>
  <c r="K112" i="2"/>
  <c r="J112" i="2"/>
  <c r="G112" i="2"/>
  <c r="F112" i="2"/>
  <c r="E112" i="2"/>
  <c r="B112" i="2"/>
  <c r="A112" i="2"/>
  <c r="U111" i="2"/>
  <c r="T111" i="2"/>
  <c r="L111" i="2"/>
  <c r="K111" i="2"/>
  <c r="J111" i="2"/>
  <c r="G111" i="2"/>
  <c r="F111" i="2"/>
  <c r="E111" i="2"/>
  <c r="B111" i="2"/>
  <c r="A111" i="2"/>
  <c r="U110" i="2"/>
  <c r="T110" i="2"/>
  <c r="L110" i="2"/>
  <c r="K110" i="2"/>
  <c r="J110" i="2"/>
  <c r="G110" i="2"/>
  <c r="F110" i="2"/>
  <c r="E110" i="2"/>
  <c r="B110" i="2"/>
  <c r="A110" i="2"/>
  <c r="U109" i="2"/>
  <c r="T109" i="2"/>
  <c r="L109" i="2"/>
  <c r="K109" i="2"/>
  <c r="J109" i="2"/>
  <c r="G109" i="2"/>
  <c r="F109" i="2"/>
  <c r="E109" i="2"/>
  <c r="B109" i="2"/>
  <c r="A109" i="2"/>
  <c r="U108" i="2"/>
  <c r="T108" i="2"/>
  <c r="L108" i="2"/>
  <c r="K108" i="2"/>
  <c r="J108" i="2"/>
  <c r="G108" i="2"/>
  <c r="F108" i="2"/>
  <c r="E108" i="2"/>
  <c r="B108" i="2"/>
  <c r="A108" i="2"/>
  <c r="U107" i="2"/>
  <c r="T107" i="2"/>
  <c r="L107" i="2"/>
  <c r="K107" i="2"/>
  <c r="J107" i="2"/>
  <c r="G107" i="2"/>
  <c r="F107" i="2"/>
  <c r="E107" i="2"/>
  <c r="B107" i="2"/>
  <c r="A107" i="2"/>
  <c r="U106" i="2"/>
  <c r="T106" i="2"/>
  <c r="L106" i="2"/>
  <c r="K106" i="2"/>
  <c r="J106" i="2"/>
  <c r="G106" i="2"/>
  <c r="F106" i="2"/>
  <c r="E106" i="2"/>
  <c r="B106" i="2"/>
  <c r="A106" i="2"/>
  <c r="U105" i="2"/>
  <c r="T105" i="2"/>
  <c r="L105" i="2"/>
  <c r="K105" i="2"/>
  <c r="J105" i="2"/>
  <c r="G105" i="2"/>
  <c r="F105" i="2"/>
  <c r="E105" i="2"/>
  <c r="B105" i="2"/>
  <c r="A105" i="2"/>
  <c r="U104" i="2"/>
  <c r="T104" i="2"/>
  <c r="L104" i="2"/>
  <c r="K104" i="2"/>
  <c r="J104" i="2"/>
  <c r="G104" i="2"/>
  <c r="F104" i="2"/>
  <c r="E104" i="2"/>
  <c r="B104" i="2"/>
  <c r="A104" i="2"/>
  <c r="U103" i="2"/>
  <c r="T103" i="2"/>
  <c r="L103" i="2"/>
  <c r="K103" i="2"/>
  <c r="J103" i="2"/>
  <c r="G103" i="2"/>
  <c r="F103" i="2"/>
  <c r="E103" i="2"/>
  <c r="B103" i="2"/>
  <c r="A103" i="2"/>
  <c r="U102" i="2"/>
  <c r="T102" i="2"/>
  <c r="L102" i="2"/>
  <c r="K102" i="2"/>
  <c r="J102" i="2"/>
  <c r="G102" i="2"/>
  <c r="F102" i="2"/>
  <c r="E102" i="2"/>
  <c r="B102" i="2"/>
  <c r="A102" i="2"/>
  <c r="U101" i="2"/>
  <c r="T101" i="2"/>
  <c r="L101" i="2"/>
  <c r="K101" i="2"/>
  <c r="J101" i="2"/>
  <c r="G101" i="2"/>
  <c r="F101" i="2"/>
  <c r="E101" i="2"/>
  <c r="B101" i="2"/>
  <c r="A101" i="2"/>
  <c r="U100" i="2"/>
  <c r="T100" i="2"/>
  <c r="L100" i="2"/>
  <c r="K100" i="2"/>
  <c r="J100" i="2"/>
  <c r="G100" i="2"/>
  <c r="F100" i="2"/>
  <c r="E100" i="2"/>
  <c r="B100" i="2"/>
  <c r="A100" i="2"/>
  <c r="U99" i="2"/>
  <c r="T99" i="2"/>
  <c r="L99" i="2"/>
  <c r="K99" i="2"/>
  <c r="J99" i="2"/>
  <c r="G99" i="2"/>
  <c r="F99" i="2"/>
  <c r="E99" i="2"/>
  <c r="B99" i="2"/>
  <c r="A99" i="2"/>
  <c r="U98" i="2"/>
  <c r="T98" i="2"/>
  <c r="L98" i="2"/>
  <c r="K98" i="2"/>
  <c r="J98" i="2"/>
  <c r="G98" i="2"/>
  <c r="F98" i="2"/>
  <c r="E98" i="2"/>
  <c r="B98" i="2"/>
  <c r="A98" i="2"/>
  <c r="U97" i="2"/>
  <c r="T97" i="2"/>
  <c r="L97" i="2"/>
  <c r="K97" i="2"/>
  <c r="J97" i="2"/>
  <c r="G97" i="2"/>
  <c r="F97" i="2"/>
  <c r="E97" i="2"/>
  <c r="B97" i="2"/>
  <c r="A97" i="2"/>
  <c r="U96" i="2"/>
  <c r="T96" i="2"/>
  <c r="L96" i="2"/>
  <c r="K96" i="2"/>
  <c r="J96" i="2"/>
  <c r="G96" i="2"/>
  <c r="F96" i="2"/>
  <c r="E96" i="2"/>
  <c r="B96" i="2"/>
  <c r="A96" i="2"/>
  <c r="U95" i="2"/>
  <c r="T95" i="2"/>
  <c r="L95" i="2"/>
  <c r="K95" i="2"/>
  <c r="J95" i="2"/>
  <c r="G95" i="2"/>
  <c r="F95" i="2"/>
  <c r="E95" i="2"/>
  <c r="B95" i="2"/>
  <c r="A95" i="2"/>
  <c r="U94" i="2"/>
  <c r="T94" i="2"/>
  <c r="L94" i="2"/>
  <c r="K94" i="2"/>
  <c r="J94" i="2"/>
  <c r="G94" i="2"/>
  <c r="F94" i="2"/>
  <c r="E94" i="2"/>
  <c r="B94" i="2"/>
  <c r="A94" i="2"/>
  <c r="U93" i="2"/>
  <c r="T93" i="2"/>
  <c r="L93" i="2"/>
  <c r="K93" i="2"/>
  <c r="J93" i="2"/>
  <c r="G93" i="2"/>
  <c r="F93" i="2"/>
  <c r="E93" i="2"/>
  <c r="B93" i="2"/>
  <c r="A93" i="2"/>
  <c r="U92" i="2"/>
  <c r="T92" i="2"/>
  <c r="L92" i="2"/>
  <c r="K92" i="2"/>
  <c r="J92" i="2"/>
  <c r="G92" i="2"/>
  <c r="F92" i="2"/>
  <c r="E92" i="2"/>
  <c r="B92" i="2"/>
  <c r="A92" i="2"/>
  <c r="U91" i="2"/>
  <c r="T91" i="2"/>
  <c r="L91" i="2"/>
  <c r="K91" i="2"/>
  <c r="J91" i="2"/>
  <c r="G91" i="2"/>
  <c r="F91" i="2"/>
  <c r="E91" i="2"/>
  <c r="B91" i="2"/>
  <c r="A91" i="2"/>
  <c r="U90" i="2"/>
  <c r="T90" i="2"/>
  <c r="L90" i="2"/>
  <c r="K90" i="2"/>
  <c r="J90" i="2"/>
  <c r="G90" i="2"/>
  <c r="F90" i="2"/>
  <c r="E90" i="2"/>
  <c r="B90" i="2"/>
  <c r="A90" i="2"/>
  <c r="U89" i="2"/>
  <c r="T89" i="2"/>
  <c r="L89" i="2"/>
  <c r="K89" i="2"/>
  <c r="J89" i="2"/>
  <c r="G89" i="2"/>
  <c r="F89" i="2"/>
  <c r="E89" i="2"/>
  <c r="B89" i="2"/>
  <c r="A89" i="2"/>
  <c r="U88" i="2"/>
  <c r="T88" i="2"/>
  <c r="L88" i="2"/>
  <c r="K88" i="2"/>
  <c r="J88" i="2"/>
  <c r="G88" i="2"/>
  <c r="F88" i="2"/>
  <c r="E88" i="2"/>
  <c r="B88" i="2"/>
  <c r="A88" i="2"/>
  <c r="U87" i="2"/>
  <c r="T87" i="2"/>
  <c r="L87" i="2"/>
  <c r="K87" i="2"/>
  <c r="J87" i="2"/>
  <c r="G87" i="2"/>
  <c r="F87" i="2"/>
  <c r="E87" i="2"/>
  <c r="B87" i="2"/>
  <c r="A87" i="2"/>
  <c r="U86" i="2"/>
  <c r="T86" i="2"/>
  <c r="L86" i="2"/>
  <c r="K86" i="2"/>
  <c r="J86" i="2"/>
  <c r="G86" i="2"/>
  <c r="F86" i="2"/>
  <c r="E86" i="2"/>
  <c r="B86" i="2"/>
  <c r="A86" i="2"/>
  <c r="U85" i="2"/>
  <c r="T85" i="2"/>
  <c r="L85" i="2"/>
  <c r="K85" i="2"/>
  <c r="J85" i="2"/>
  <c r="G85" i="2"/>
  <c r="F85" i="2"/>
  <c r="E85" i="2"/>
  <c r="B85" i="2"/>
  <c r="A85" i="2"/>
  <c r="U84" i="2"/>
  <c r="T84" i="2"/>
  <c r="L84" i="2"/>
  <c r="K84" i="2"/>
  <c r="J84" i="2"/>
  <c r="G84" i="2"/>
  <c r="F84" i="2"/>
  <c r="E84" i="2"/>
  <c r="B84" i="2"/>
  <c r="A84" i="2"/>
  <c r="U83" i="2"/>
  <c r="T83" i="2"/>
  <c r="L83" i="2"/>
  <c r="K83" i="2"/>
  <c r="J83" i="2"/>
  <c r="G83" i="2"/>
  <c r="F83" i="2"/>
  <c r="E83" i="2"/>
  <c r="B83" i="2"/>
  <c r="A83" i="2"/>
  <c r="U82" i="2"/>
  <c r="T82" i="2"/>
  <c r="L82" i="2"/>
  <c r="K82" i="2"/>
  <c r="J82" i="2"/>
  <c r="G82" i="2"/>
  <c r="F82" i="2"/>
  <c r="E82" i="2"/>
  <c r="B82" i="2"/>
  <c r="A82" i="2"/>
  <c r="U81" i="2"/>
  <c r="T81" i="2"/>
  <c r="L81" i="2"/>
  <c r="K81" i="2"/>
  <c r="J81" i="2"/>
  <c r="G81" i="2"/>
  <c r="F81" i="2"/>
  <c r="E81" i="2"/>
  <c r="B81" i="2"/>
  <c r="A81" i="2"/>
  <c r="U80" i="2"/>
  <c r="T80" i="2"/>
  <c r="L80" i="2"/>
  <c r="K80" i="2"/>
  <c r="J80" i="2"/>
  <c r="G80" i="2"/>
  <c r="F80" i="2"/>
  <c r="E80" i="2"/>
  <c r="B80" i="2"/>
  <c r="A80" i="2"/>
  <c r="U79" i="2"/>
  <c r="T79" i="2"/>
  <c r="L79" i="2"/>
  <c r="K79" i="2"/>
  <c r="J79" i="2"/>
  <c r="G79" i="2"/>
  <c r="F79" i="2"/>
  <c r="E79" i="2"/>
  <c r="B79" i="2"/>
  <c r="A79" i="2"/>
  <c r="U78" i="2"/>
  <c r="T78" i="2"/>
  <c r="L78" i="2"/>
  <c r="K78" i="2"/>
  <c r="J78" i="2"/>
  <c r="G78" i="2"/>
  <c r="F78" i="2"/>
  <c r="E78" i="2"/>
  <c r="B78" i="2"/>
  <c r="A78" i="2"/>
  <c r="U77" i="2"/>
  <c r="T77" i="2"/>
  <c r="L77" i="2"/>
  <c r="K77" i="2"/>
  <c r="J77" i="2"/>
  <c r="G77" i="2"/>
  <c r="F77" i="2"/>
  <c r="E77" i="2"/>
  <c r="B77" i="2"/>
  <c r="A77" i="2"/>
  <c r="U76" i="2"/>
  <c r="T76" i="2"/>
  <c r="L76" i="2"/>
  <c r="K76" i="2"/>
  <c r="J76" i="2"/>
  <c r="G76" i="2"/>
  <c r="F76" i="2"/>
  <c r="E76" i="2"/>
  <c r="B76" i="2"/>
  <c r="A76" i="2"/>
  <c r="U75" i="2"/>
  <c r="T75" i="2"/>
  <c r="L75" i="2"/>
  <c r="K75" i="2"/>
  <c r="J75" i="2"/>
  <c r="G75" i="2"/>
  <c r="F75" i="2"/>
  <c r="E75" i="2"/>
  <c r="B75" i="2"/>
  <c r="A75" i="2"/>
  <c r="U74" i="2"/>
  <c r="T74" i="2"/>
  <c r="L74" i="2"/>
  <c r="K74" i="2"/>
  <c r="J74" i="2"/>
  <c r="G74" i="2"/>
  <c r="F74" i="2"/>
  <c r="E74" i="2"/>
  <c r="B74" i="2"/>
  <c r="A74" i="2"/>
  <c r="U73" i="2"/>
  <c r="T73" i="2"/>
  <c r="L73" i="2"/>
  <c r="K73" i="2"/>
  <c r="J73" i="2"/>
  <c r="G73" i="2"/>
  <c r="F73" i="2"/>
  <c r="E73" i="2"/>
  <c r="B73" i="2"/>
  <c r="A73" i="2"/>
  <c r="U72" i="2"/>
  <c r="T72" i="2"/>
  <c r="L72" i="2"/>
  <c r="K72" i="2"/>
  <c r="J72" i="2"/>
  <c r="G72" i="2"/>
  <c r="F72" i="2"/>
  <c r="E72" i="2"/>
  <c r="B72" i="2"/>
  <c r="A72" i="2"/>
  <c r="U71" i="2"/>
  <c r="T71" i="2"/>
  <c r="L71" i="2"/>
  <c r="K71" i="2"/>
  <c r="J71" i="2"/>
  <c r="G71" i="2"/>
  <c r="F71" i="2"/>
  <c r="E71" i="2"/>
  <c r="B71" i="2"/>
  <c r="A71" i="2"/>
  <c r="U70" i="2"/>
  <c r="T70" i="2"/>
  <c r="L70" i="2"/>
  <c r="K70" i="2"/>
  <c r="J70" i="2"/>
  <c r="G70" i="2"/>
  <c r="F70" i="2"/>
  <c r="E70" i="2"/>
  <c r="B70" i="2"/>
  <c r="A70" i="2"/>
  <c r="U69" i="2"/>
  <c r="T69" i="2"/>
  <c r="L69" i="2"/>
  <c r="K69" i="2"/>
  <c r="J69" i="2"/>
  <c r="G69" i="2"/>
  <c r="F69" i="2"/>
  <c r="E69" i="2"/>
  <c r="B69" i="2"/>
  <c r="A69" i="2"/>
  <c r="U68" i="2"/>
  <c r="T68" i="2"/>
  <c r="L68" i="2"/>
  <c r="K68" i="2"/>
  <c r="J68" i="2"/>
  <c r="G68" i="2"/>
  <c r="F68" i="2"/>
  <c r="E68" i="2"/>
  <c r="B68" i="2"/>
  <c r="A68" i="2"/>
  <c r="U67" i="2"/>
  <c r="T67" i="2"/>
  <c r="L67" i="2"/>
  <c r="K67" i="2"/>
  <c r="J67" i="2"/>
  <c r="G67" i="2"/>
  <c r="F67" i="2"/>
  <c r="E67" i="2"/>
  <c r="B67" i="2"/>
  <c r="A67" i="2"/>
  <c r="U66" i="2"/>
  <c r="T66" i="2"/>
  <c r="L66" i="2"/>
  <c r="K66" i="2"/>
  <c r="J66" i="2"/>
  <c r="G66" i="2"/>
  <c r="F66" i="2"/>
  <c r="E66" i="2"/>
  <c r="B66" i="2"/>
  <c r="A66" i="2"/>
  <c r="U65" i="2"/>
  <c r="T65" i="2"/>
  <c r="L65" i="2"/>
  <c r="K65" i="2"/>
  <c r="J65" i="2"/>
  <c r="G65" i="2"/>
  <c r="F65" i="2"/>
  <c r="E65" i="2"/>
  <c r="B65" i="2"/>
  <c r="A65" i="2"/>
  <c r="U64" i="2"/>
  <c r="T64" i="2"/>
  <c r="L64" i="2"/>
  <c r="K64" i="2"/>
  <c r="J64" i="2"/>
  <c r="G64" i="2"/>
  <c r="F64" i="2"/>
  <c r="E64" i="2"/>
  <c r="B64" i="2"/>
  <c r="A64" i="2"/>
  <c r="U63" i="2"/>
  <c r="T63" i="2"/>
  <c r="L63" i="2"/>
  <c r="K63" i="2"/>
  <c r="J63" i="2"/>
  <c r="G63" i="2"/>
  <c r="F63" i="2"/>
  <c r="E63" i="2"/>
  <c r="B63" i="2"/>
  <c r="A63" i="2"/>
  <c r="U62" i="2"/>
  <c r="T62" i="2"/>
  <c r="L62" i="2"/>
  <c r="K62" i="2"/>
  <c r="J62" i="2"/>
  <c r="G62" i="2"/>
  <c r="F62" i="2"/>
  <c r="E62" i="2"/>
  <c r="B62" i="2"/>
  <c r="A62" i="2"/>
  <c r="U61" i="2"/>
  <c r="T61" i="2"/>
  <c r="L61" i="2"/>
  <c r="K61" i="2"/>
  <c r="J61" i="2"/>
  <c r="G61" i="2"/>
  <c r="F61" i="2"/>
  <c r="E61" i="2"/>
  <c r="B61" i="2"/>
  <c r="A61" i="2"/>
  <c r="U60" i="2"/>
  <c r="T60" i="2"/>
  <c r="L60" i="2"/>
  <c r="K60" i="2"/>
  <c r="J60" i="2"/>
  <c r="G60" i="2"/>
  <c r="F60" i="2"/>
  <c r="E60" i="2"/>
  <c r="B60" i="2"/>
  <c r="A60" i="2"/>
  <c r="U59" i="2"/>
  <c r="T59" i="2"/>
  <c r="L59" i="2"/>
  <c r="K59" i="2"/>
  <c r="J59" i="2"/>
  <c r="G59" i="2"/>
  <c r="F59" i="2"/>
  <c r="E59" i="2"/>
  <c r="B59" i="2"/>
  <c r="A59" i="2"/>
  <c r="U58" i="2"/>
  <c r="T58" i="2"/>
  <c r="L58" i="2"/>
  <c r="K58" i="2"/>
  <c r="J58" i="2"/>
  <c r="G58" i="2"/>
  <c r="F58" i="2"/>
  <c r="E58" i="2"/>
  <c r="B58" i="2"/>
  <c r="A58" i="2"/>
  <c r="U57" i="2"/>
  <c r="T57" i="2"/>
  <c r="L57" i="2"/>
  <c r="K57" i="2"/>
  <c r="J57" i="2"/>
  <c r="G57" i="2"/>
  <c r="F57" i="2"/>
  <c r="E57" i="2"/>
  <c r="B57" i="2"/>
  <c r="A57" i="2"/>
  <c r="U56" i="2"/>
  <c r="T56" i="2"/>
  <c r="L56" i="2"/>
  <c r="K56" i="2"/>
  <c r="J56" i="2"/>
  <c r="G56" i="2"/>
  <c r="F56" i="2"/>
  <c r="E56" i="2"/>
  <c r="B56" i="2"/>
  <c r="A56" i="2"/>
  <c r="U55" i="2"/>
  <c r="T55" i="2"/>
  <c r="L55" i="2"/>
  <c r="K55" i="2"/>
  <c r="J55" i="2"/>
  <c r="G55" i="2"/>
  <c r="F55" i="2"/>
  <c r="E55" i="2"/>
  <c r="B55" i="2"/>
  <c r="A55" i="2"/>
  <c r="U54" i="2"/>
  <c r="T54" i="2"/>
  <c r="L54" i="2"/>
  <c r="K54" i="2"/>
  <c r="J54" i="2"/>
  <c r="G54" i="2"/>
  <c r="F54" i="2"/>
  <c r="E54" i="2"/>
  <c r="B54" i="2"/>
  <c r="A54" i="2"/>
  <c r="U53" i="2"/>
  <c r="T53" i="2"/>
  <c r="L53" i="2"/>
  <c r="K53" i="2"/>
  <c r="J53" i="2"/>
  <c r="G53" i="2"/>
  <c r="F53" i="2"/>
  <c r="E53" i="2"/>
  <c r="B53" i="2"/>
  <c r="A53" i="2"/>
  <c r="U52" i="2"/>
  <c r="T52" i="2"/>
  <c r="L52" i="2"/>
  <c r="K52" i="2"/>
  <c r="J52" i="2"/>
  <c r="G52" i="2"/>
  <c r="F52" i="2"/>
  <c r="E52" i="2"/>
  <c r="B52" i="2"/>
  <c r="A52" i="2"/>
  <c r="U51" i="2"/>
  <c r="T51" i="2"/>
  <c r="L51" i="2"/>
  <c r="K51" i="2"/>
  <c r="J51" i="2"/>
  <c r="G51" i="2"/>
  <c r="F51" i="2"/>
  <c r="E51" i="2"/>
  <c r="B51" i="2"/>
  <c r="A51" i="2"/>
  <c r="U50" i="2"/>
  <c r="T50" i="2"/>
  <c r="L50" i="2"/>
  <c r="K50" i="2"/>
  <c r="J50" i="2"/>
  <c r="G50" i="2"/>
  <c r="F50" i="2"/>
  <c r="E50" i="2"/>
  <c r="B50" i="2"/>
  <c r="A50" i="2"/>
  <c r="U49" i="2"/>
  <c r="T49" i="2"/>
  <c r="L49" i="2"/>
  <c r="K49" i="2"/>
  <c r="J49" i="2"/>
  <c r="G49" i="2"/>
  <c r="F49" i="2"/>
  <c r="E49" i="2"/>
  <c r="B49" i="2"/>
  <c r="A49" i="2"/>
  <c r="U48" i="2"/>
  <c r="T48" i="2"/>
  <c r="L48" i="2"/>
  <c r="K48" i="2"/>
  <c r="J48" i="2"/>
  <c r="G48" i="2"/>
  <c r="F48" i="2"/>
  <c r="E48" i="2"/>
  <c r="B48" i="2"/>
  <c r="A48" i="2"/>
  <c r="U47" i="2"/>
  <c r="T47" i="2"/>
  <c r="L47" i="2"/>
  <c r="K47" i="2"/>
  <c r="J47" i="2"/>
  <c r="G47" i="2"/>
  <c r="F47" i="2"/>
  <c r="E47" i="2"/>
  <c r="B47" i="2"/>
  <c r="A47" i="2"/>
  <c r="U46" i="2"/>
  <c r="T46" i="2"/>
  <c r="L46" i="2"/>
  <c r="K46" i="2"/>
  <c r="J46" i="2"/>
  <c r="G46" i="2"/>
  <c r="F46" i="2"/>
  <c r="E46" i="2"/>
  <c r="B46" i="2"/>
  <c r="A46" i="2"/>
  <c r="U45" i="2"/>
  <c r="T45" i="2"/>
  <c r="L45" i="2"/>
  <c r="K45" i="2"/>
  <c r="J45" i="2"/>
  <c r="G45" i="2"/>
  <c r="F45" i="2"/>
  <c r="E45" i="2"/>
  <c r="B45" i="2"/>
  <c r="A45" i="2"/>
  <c r="U44" i="2"/>
  <c r="T44" i="2"/>
  <c r="L44" i="2"/>
  <c r="K44" i="2"/>
  <c r="J44" i="2"/>
  <c r="G44" i="2"/>
  <c r="F44" i="2"/>
  <c r="E44" i="2"/>
  <c r="B44" i="2"/>
  <c r="A44" i="2"/>
  <c r="U43" i="2"/>
  <c r="T43" i="2"/>
  <c r="L43" i="2"/>
  <c r="K43" i="2"/>
  <c r="J43" i="2"/>
  <c r="G43" i="2"/>
  <c r="F43" i="2"/>
  <c r="E43" i="2"/>
  <c r="B43" i="2"/>
  <c r="A43" i="2"/>
  <c r="U42" i="2"/>
  <c r="T42" i="2"/>
  <c r="L42" i="2"/>
  <c r="K42" i="2"/>
  <c r="J42" i="2"/>
  <c r="G42" i="2"/>
  <c r="F42" i="2"/>
  <c r="E42" i="2"/>
  <c r="B42" i="2"/>
  <c r="A42" i="2"/>
  <c r="U41" i="2"/>
  <c r="T41" i="2"/>
  <c r="L41" i="2"/>
  <c r="K41" i="2"/>
  <c r="J41" i="2"/>
  <c r="G41" i="2"/>
  <c r="F41" i="2"/>
  <c r="E41" i="2"/>
  <c r="B41" i="2"/>
  <c r="A41" i="2"/>
  <c r="U40" i="2"/>
  <c r="T40" i="2"/>
  <c r="L40" i="2"/>
  <c r="K40" i="2"/>
  <c r="J40" i="2"/>
  <c r="G40" i="2"/>
  <c r="F40" i="2"/>
  <c r="E40" i="2"/>
  <c r="B40" i="2"/>
  <c r="A40" i="2"/>
  <c r="U39" i="2"/>
  <c r="T39" i="2"/>
  <c r="L39" i="2"/>
  <c r="K39" i="2"/>
  <c r="J39" i="2"/>
  <c r="G39" i="2"/>
  <c r="F39" i="2"/>
  <c r="E39" i="2"/>
  <c r="B39" i="2"/>
  <c r="A39" i="2"/>
  <c r="U38" i="2"/>
  <c r="T38" i="2"/>
  <c r="L38" i="2"/>
  <c r="K38" i="2"/>
  <c r="J38" i="2"/>
  <c r="G38" i="2"/>
  <c r="F38" i="2"/>
  <c r="E38" i="2"/>
  <c r="B38" i="2"/>
  <c r="A38" i="2"/>
  <c r="U37" i="2"/>
  <c r="T37" i="2"/>
  <c r="L37" i="2"/>
  <c r="K37" i="2"/>
  <c r="J37" i="2"/>
  <c r="G37" i="2"/>
  <c r="F37" i="2"/>
  <c r="E37" i="2"/>
  <c r="B37" i="2"/>
  <c r="A37" i="2"/>
  <c r="U36" i="2"/>
  <c r="T36" i="2"/>
  <c r="L36" i="2"/>
  <c r="K36" i="2"/>
  <c r="J36" i="2"/>
  <c r="G36" i="2"/>
  <c r="F36" i="2"/>
  <c r="E36" i="2"/>
  <c r="B36" i="2"/>
  <c r="A36" i="2"/>
  <c r="U35" i="2"/>
  <c r="T35" i="2"/>
  <c r="L35" i="2"/>
  <c r="K35" i="2"/>
  <c r="J35" i="2"/>
  <c r="G35" i="2"/>
  <c r="F35" i="2"/>
  <c r="E35" i="2"/>
  <c r="B35" i="2"/>
  <c r="A35" i="2"/>
  <c r="U34" i="2"/>
  <c r="T34" i="2"/>
  <c r="L34" i="2"/>
  <c r="K34" i="2"/>
  <c r="J34" i="2"/>
  <c r="G34" i="2"/>
  <c r="F34" i="2"/>
  <c r="E34" i="2"/>
  <c r="B34" i="2"/>
  <c r="A34" i="2"/>
  <c r="U33" i="2"/>
  <c r="T33" i="2"/>
  <c r="L33" i="2"/>
  <c r="K33" i="2"/>
  <c r="J33" i="2"/>
  <c r="G33" i="2"/>
  <c r="F33" i="2"/>
  <c r="E33" i="2"/>
  <c r="B33" i="2"/>
  <c r="A33" i="2"/>
  <c r="U32" i="2"/>
  <c r="T32" i="2"/>
  <c r="L32" i="2"/>
  <c r="K32" i="2"/>
  <c r="J32" i="2"/>
  <c r="G32" i="2"/>
  <c r="F32" i="2"/>
  <c r="E32" i="2"/>
  <c r="B32" i="2"/>
  <c r="A32" i="2"/>
  <c r="U31" i="2"/>
  <c r="T31" i="2"/>
  <c r="L31" i="2"/>
  <c r="K31" i="2"/>
  <c r="J31" i="2"/>
  <c r="G31" i="2"/>
  <c r="F31" i="2"/>
  <c r="E31" i="2"/>
  <c r="B31" i="2"/>
  <c r="A31" i="2"/>
  <c r="U30" i="2"/>
  <c r="T30" i="2"/>
  <c r="L30" i="2"/>
  <c r="K30" i="2"/>
  <c r="J30" i="2"/>
  <c r="G30" i="2"/>
  <c r="F30" i="2"/>
  <c r="E30" i="2"/>
  <c r="B30" i="2"/>
  <c r="A30" i="2"/>
  <c r="U29" i="2"/>
  <c r="T29" i="2"/>
  <c r="L29" i="2"/>
  <c r="K29" i="2"/>
  <c r="J29" i="2"/>
  <c r="G29" i="2"/>
  <c r="F29" i="2"/>
  <c r="E29" i="2"/>
  <c r="B29" i="2"/>
  <c r="A29" i="2"/>
  <c r="U28" i="2"/>
  <c r="T28" i="2"/>
  <c r="L28" i="2"/>
  <c r="K28" i="2"/>
  <c r="J28" i="2"/>
  <c r="G28" i="2"/>
  <c r="F28" i="2"/>
  <c r="E28" i="2"/>
  <c r="B28" i="2"/>
  <c r="A28" i="2"/>
  <c r="U27" i="2"/>
  <c r="T27" i="2"/>
  <c r="L27" i="2"/>
  <c r="K27" i="2"/>
  <c r="J27" i="2"/>
  <c r="G27" i="2"/>
  <c r="F27" i="2"/>
  <c r="E27" i="2"/>
  <c r="B27" i="2"/>
  <c r="A27" i="2"/>
  <c r="U26" i="2"/>
  <c r="T26" i="2"/>
  <c r="L26" i="2"/>
  <c r="K26" i="2"/>
  <c r="J26" i="2"/>
  <c r="G26" i="2"/>
  <c r="F26" i="2"/>
  <c r="E26" i="2"/>
  <c r="B26" i="2"/>
  <c r="A26" i="2"/>
  <c r="U25" i="2"/>
  <c r="T25" i="2"/>
  <c r="L25" i="2"/>
  <c r="K25" i="2"/>
  <c r="J25" i="2"/>
  <c r="G25" i="2"/>
  <c r="F25" i="2"/>
  <c r="E25" i="2"/>
  <c r="B25" i="2"/>
  <c r="A25" i="2"/>
  <c r="U24" i="2"/>
  <c r="T24" i="2"/>
  <c r="L24" i="2"/>
  <c r="K24" i="2"/>
  <c r="J24" i="2"/>
  <c r="G24" i="2"/>
  <c r="F24" i="2"/>
  <c r="E24" i="2"/>
  <c r="B24" i="2"/>
  <c r="A24" i="2"/>
  <c r="U23" i="2"/>
  <c r="T23" i="2"/>
  <c r="L23" i="2"/>
  <c r="K23" i="2"/>
  <c r="J23" i="2"/>
  <c r="G23" i="2"/>
  <c r="F23" i="2"/>
  <c r="E23" i="2"/>
  <c r="B23" i="2"/>
  <c r="A23" i="2"/>
  <c r="U22" i="2"/>
  <c r="T22" i="2"/>
  <c r="L22" i="2"/>
  <c r="K22" i="2"/>
  <c r="J22" i="2"/>
  <c r="G22" i="2"/>
  <c r="F22" i="2"/>
  <c r="E22" i="2"/>
  <c r="B22" i="2"/>
  <c r="A22" i="2"/>
  <c r="U21" i="2"/>
  <c r="T21" i="2"/>
  <c r="L21" i="2"/>
  <c r="K21" i="2"/>
  <c r="J21" i="2"/>
  <c r="G21" i="2"/>
  <c r="F21" i="2"/>
  <c r="E21" i="2"/>
  <c r="B21" i="2"/>
  <c r="A21" i="2"/>
  <c r="U20" i="2"/>
  <c r="T20" i="2"/>
  <c r="L20" i="2"/>
  <c r="K20" i="2"/>
  <c r="J20" i="2"/>
  <c r="G20" i="2"/>
  <c r="F20" i="2"/>
  <c r="E20" i="2"/>
  <c r="B20" i="2"/>
  <c r="A20" i="2"/>
  <c r="U19" i="2"/>
  <c r="T19" i="2"/>
  <c r="L19" i="2"/>
  <c r="K19" i="2"/>
  <c r="J19" i="2"/>
  <c r="G19" i="2"/>
  <c r="F19" i="2"/>
  <c r="E19" i="2"/>
  <c r="B19" i="2"/>
  <c r="A19" i="2"/>
  <c r="U18" i="2"/>
  <c r="T18" i="2"/>
  <c r="L18" i="2"/>
  <c r="K18" i="2"/>
  <c r="J18" i="2"/>
  <c r="G18" i="2"/>
  <c r="F18" i="2"/>
  <c r="E18" i="2"/>
  <c r="B18" i="2"/>
  <c r="A18" i="2"/>
  <c r="U17" i="2"/>
  <c r="T17" i="2"/>
  <c r="L17" i="2"/>
  <c r="K17" i="2"/>
  <c r="J17" i="2"/>
  <c r="G17" i="2"/>
  <c r="F17" i="2"/>
  <c r="E17" i="2"/>
  <c r="B17" i="2"/>
  <c r="A17" i="2"/>
  <c r="U16" i="2"/>
  <c r="T16" i="2"/>
  <c r="L16" i="2"/>
  <c r="K16" i="2"/>
  <c r="J16" i="2"/>
  <c r="G16" i="2"/>
  <c r="F16" i="2"/>
  <c r="E16" i="2"/>
  <c r="B16" i="2"/>
  <c r="A16" i="2"/>
  <c r="U15" i="2"/>
  <c r="T15" i="2"/>
  <c r="L15" i="2"/>
  <c r="K15" i="2"/>
  <c r="J15" i="2"/>
  <c r="G15" i="2"/>
  <c r="F15" i="2"/>
  <c r="E15" i="2"/>
  <c r="B15" i="2"/>
  <c r="A15" i="2"/>
  <c r="U14" i="2"/>
  <c r="T14" i="2"/>
  <c r="L14" i="2"/>
  <c r="K14" i="2"/>
  <c r="J14" i="2"/>
  <c r="G14" i="2"/>
  <c r="F14" i="2"/>
  <c r="E14" i="2"/>
  <c r="B14" i="2"/>
  <c r="A14" i="2"/>
  <c r="U13" i="2"/>
  <c r="T13" i="2"/>
  <c r="Q13" i="2"/>
  <c r="P13" i="2"/>
  <c r="O13" i="2"/>
  <c r="L13" i="2"/>
  <c r="K13" i="2"/>
  <c r="J13" i="2"/>
  <c r="G13" i="2"/>
  <c r="F13" i="2"/>
  <c r="E13" i="2"/>
  <c r="B13" i="2"/>
  <c r="A13" i="2"/>
  <c r="U12" i="2"/>
  <c r="T12" i="2"/>
  <c r="Q12" i="2"/>
  <c r="P12" i="2"/>
  <c r="O12" i="2"/>
  <c r="L12" i="2"/>
  <c r="K12" i="2"/>
  <c r="J12" i="2"/>
  <c r="G12" i="2"/>
  <c r="F12" i="2"/>
  <c r="E12" i="2"/>
  <c r="B12" i="2"/>
  <c r="A12" i="2"/>
  <c r="U11" i="2"/>
  <c r="T11" i="2"/>
  <c r="Q11" i="2"/>
  <c r="P11" i="2"/>
  <c r="O11" i="2"/>
  <c r="L11" i="2"/>
  <c r="K11" i="2"/>
  <c r="J11" i="2"/>
  <c r="G11" i="2"/>
  <c r="F11" i="2"/>
  <c r="E11" i="2"/>
  <c r="B11" i="2"/>
  <c r="A11" i="2"/>
  <c r="AS10" i="2"/>
  <c r="AR10" i="2"/>
  <c r="U10" i="2"/>
  <c r="T10" i="2"/>
  <c r="Q10" i="2"/>
  <c r="P10" i="2"/>
  <c r="O10" i="2"/>
  <c r="L10" i="2"/>
  <c r="K10" i="2"/>
  <c r="J10" i="2"/>
  <c r="G10" i="2"/>
  <c r="F10" i="2"/>
  <c r="E10" i="2"/>
  <c r="B10" i="2"/>
  <c r="A10" i="2"/>
  <c r="AS9" i="2"/>
  <c r="AR9" i="2"/>
  <c r="U9" i="2"/>
  <c r="T9" i="2"/>
  <c r="Q9" i="2"/>
  <c r="P9" i="2"/>
  <c r="O9" i="2"/>
  <c r="L9" i="2"/>
  <c r="K9" i="2"/>
  <c r="J9" i="2"/>
  <c r="G9" i="2"/>
  <c r="F9" i="2"/>
  <c r="E9" i="2"/>
  <c r="B9" i="2"/>
  <c r="A9" i="2"/>
  <c r="AS8" i="2"/>
  <c r="AR8" i="2"/>
  <c r="U8" i="2"/>
  <c r="T8" i="2"/>
  <c r="Q8" i="2"/>
  <c r="P8" i="2"/>
  <c r="O8" i="2"/>
  <c r="L8" i="2"/>
  <c r="K8" i="2"/>
  <c r="J8" i="2"/>
  <c r="G8" i="2"/>
  <c r="F8" i="2"/>
  <c r="E8" i="2"/>
  <c r="B8" i="2"/>
  <c r="A8" i="2"/>
  <c r="AS7" i="2"/>
  <c r="AR7" i="2"/>
  <c r="U7" i="2"/>
  <c r="T7" i="2"/>
  <c r="Q7" i="2"/>
  <c r="P7" i="2"/>
  <c r="O7" i="2"/>
  <c r="L7" i="2"/>
  <c r="K7" i="2"/>
  <c r="J7" i="2"/>
  <c r="G7" i="2"/>
  <c r="F7" i="2"/>
  <c r="E7" i="2"/>
  <c r="B7" i="2"/>
  <c r="A7" i="2"/>
  <c r="AS6" i="2"/>
  <c r="AR6" i="2"/>
  <c r="U6" i="2"/>
  <c r="T6" i="2"/>
  <c r="Q6" i="2"/>
  <c r="P6" i="2"/>
  <c r="O6" i="2"/>
  <c r="L6" i="2"/>
  <c r="K6" i="2"/>
  <c r="J6" i="2"/>
  <c r="G6" i="2"/>
  <c r="F6" i="2"/>
  <c r="E6" i="2"/>
  <c r="B6" i="2"/>
  <c r="A6" i="2"/>
  <c r="AS5" i="2"/>
  <c r="AR5" i="2"/>
  <c r="U5" i="2"/>
  <c r="T5" i="2"/>
  <c r="Q5" i="2"/>
  <c r="P5" i="2"/>
  <c r="L5" i="2"/>
  <c r="K5" i="2"/>
  <c r="J5" i="2"/>
  <c r="G5" i="2"/>
  <c r="F5" i="2"/>
  <c r="E5" i="2"/>
  <c r="B5" i="2"/>
  <c r="A5" i="2"/>
  <c r="AS4" i="2"/>
  <c r="AR4" i="2"/>
  <c r="AO4" i="2"/>
  <c r="AN4" i="2"/>
  <c r="AK4" i="2"/>
  <c r="AJ4" i="2"/>
  <c r="AI4" i="2"/>
  <c r="AH4" i="2"/>
  <c r="AG4" i="2"/>
  <c r="AD4" i="2"/>
  <c r="AC4" i="2"/>
  <c r="Z4" i="2"/>
  <c r="Y4" i="2"/>
  <c r="U4" i="2"/>
  <c r="T4" i="2"/>
  <c r="Q4" i="2"/>
  <c r="P4" i="2"/>
  <c r="L4" i="2"/>
  <c r="K4" i="2"/>
  <c r="J4" i="2"/>
  <c r="G4" i="2"/>
  <c r="F4" i="2"/>
  <c r="E4" i="2"/>
  <c r="B4" i="2"/>
  <c r="A4" i="2"/>
  <c r="AS3" i="2"/>
  <c r="AR3" i="2"/>
  <c r="AO3" i="2"/>
  <c r="AN3" i="2"/>
  <c r="AK3" i="2"/>
  <c r="AJ3" i="2"/>
  <c r="AI3" i="2"/>
  <c r="AH3" i="2"/>
  <c r="AG3" i="2"/>
  <c r="AD3" i="2"/>
  <c r="AC3" i="2"/>
  <c r="Z3" i="2"/>
  <c r="Y3" i="2"/>
  <c r="U3" i="2"/>
  <c r="T3" i="2"/>
  <c r="Q3" i="2"/>
  <c r="P3" i="2"/>
  <c r="O3" i="2"/>
  <c r="L3" i="2"/>
  <c r="K3" i="2"/>
  <c r="J3" i="2"/>
  <c r="G3" i="2"/>
  <c r="F3" i="2"/>
  <c r="E3" i="2"/>
  <c r="B3" i="2"/>
  <c r="A3" i="2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<sst xmlns="http://schemas.openxmlformats.org/spreadsheetml/2006/main" count="4453" uniqueCount="1279">
  <si>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</si>
  <si>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</si>
  <si>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</si>
  <si>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</si>
  <si>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</si>
  <si>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</si>
  <si>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</si>
  <si>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</si>
  <si>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Revenue</t>
  </si>
  <si>
    <t xml:space="preserve">RECORD FRAME 7" SINGLE SIZE </t>
  </si>
  <si>
    <t>United Kingdom</t>
  </si>
  <si>
    <t>STRAWBERRY CERAMIC TRINKET BOX</t>
  </si>
  <si>
    <t>PINK DOUGHNUT TRINKET POT</t>
  </si>
  <si>
    <t>SAVE THE PLANET MUG</t>
  </si>
  <si>
    <t>15CM CHRISTMAS GLASS BALL 20 LIGHTS</t>
  </si>
  <si>
    <t>79323P</t>
  </si>
  <si>
    <t>PINK CHERRY LIGHTS</t>
  </si>
  <si>
    <t>79323W</t>
  </si>
  <si>
    <t>WHITE CHERRY LIGHTS</t>
  </si>
  <si>
    <t>FANCY FONT HOME SWEET HOME DOORMAT</t>
  </si>
  <si>
    <t>HEART MEASURING SPOONS LARGE</t>
  </si>
  <si>
    <t>CAT BOWL</t>
  </si>
  <si>
    <t>DOG BOWL , CHASING BALL DESIGN</t>
  </si>
  <si>
    <t>LUNCHBOX WITH CUTLERY FAIRY CAKES</t>
  </si>
  <si>
    <t>SCOTTIE DOG HOT WATER BOTTLE</t>
  </si>
  <si>
    <t>LOVE BUILDING BLOCK WORD</t>
  </si>
  <si>
    <t>ASSORTED COLOUR BIRD ORNAMENT</t>
  </si>
  <si>
    <t>FULL ENGLISH BREAKFAST PLATE</t>
  </si>
  <si>
    <t>CHRISTMAS CRAFT WHITE FAIRY</t>
  </si>
  <si>
    <t>HEART IVORY TRELLIS LARGE</t>
  </si>
  <si>
    <t>HEART FILIGREE DOVE LARGE</t>
  </si>
  <si>
    <t>35004B</t>
  </si>
  <si>
    <t>SET OF 3 BLACK FLYING DUCKS</t>
  </si>
  <si>
    <t>AREA PATROLLED METAL SIGN</t>
  </si>
  <si>
    <t>PLEASE ONE PERSON  METAL SIGN</t>
  </si>
  <si>
    <t>48173C</t>
  </si>
  <si>
    <t>DOOR MAT BLACK FLOCK</t>
  </si>
  <si>
    <t>84596F</t>
  </si>
  <si>
    <t>SMALL MARSHMALLOWS PINK BOWL</t>
  </si>
  <si>
    <t>84596L</t>
  </si>
  <si>
    <t>BISCUITS SMALL BOWL LIGHT BLUE</t>
  </si>
  <si>
    <t>CLASSIC WHITE FRAME</t>
  </si>
  <si>
    <t>PIZZA PLATE IN BOX</t>
  </si>
  <si>
    <t>HOME BUILDING BLOCK WORD</t>
  </si>
  <si>
    <t>PEACE WOODEN BLOCK LETTERS</t>
  </si>
  <si>
    <t>BATH BUILDING BLOCK WORD</t>
  </si>
  <si>
    <t>BLACK DINER WALL CLOCK</t>
  </si>
  <si>
    <t>PARTY CONE CHRISTMAS DECORATION</t>
  </si>
  <si>
    <t>RETRO COFFEE MUGS ASSORTED</t>
  </si>
  <si>
    <t>INFLATABLE POLITICAL GLOBE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</si>
  <si>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</si>
  <si>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</si>
  <si>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</si>
  <si>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</si>
  <si>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</si>
  <si>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CHRISTMAS CRAFT HEART DECORATIONS</t>
  </si>
  <si>
    <t>CHRISTMAS CRAFT HEART STOCKING</t>
  </si>
  <si>
    <t>84507B</t>
  </si>
  <si>
    <t>STRIPES DESIGN MONKEY DOLL</t>
  </si>
  <si>
    <t>FELTCRAFT DOLL ROSIE</t>
  </si>
  <si>
    <t>FELTCRAFT DOLL MARIA</t>
  </si>
  <si>
    <t>FELTCRAFT DOLL EMILY</t>
  </si>
  <si>
    <t>VINTAGE SNAKES &amp; LADDERS</t>
  </si>
  <si>
    <t>FLORAL BLUE MONSTER</t>
  </si>
  <si>
    <t>BLUE PADDED SOFT MOBILE</t>
  </si>
  <si>
    <t>CHOCOLATE HOT WATER BOTTLE</t>
  </si>
  <si>
    <t>PEACE SMALL WOOD LETTERS</t>
  </si>
  <si>
    <t>CINAMMON &amp; ORANGE WREATH</t>
  </si>
  <si>
    <t>EUCALYPTUS &amp; PINECONE  WREATH</t>
  </si>
  <si>
    <t>WOODEN BOX ADVENT CALENDAR</t>
  </si>
  <si>
    <t>JOY LARGE WOOD LETTERS</t>
  </si>
  <si>
    <t>JUMBO BAG TOYS</t>
  </si>
  <si>
    <t>84032A</t>
  </si>
  <si>
    <t>CHARLIE+LOLA PINK HOT WATER BOTTLE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</si>
  <si>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</si>
  <si>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</si>
  <si>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</si>
  <si>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</si>
  <si>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</si>
  <si>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</si>
  <si>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</si>
  <si>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</si>
  <si>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</si>
  <si>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</si>
  <si>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>84031A</t>
  </si>
  <si>
    <t>CHARLIE+LOLA RED HOT WATER BOTTLE</t>
  </si>
  <si>
    <t>84031B</t>
  </si>
  <si>
    <t>CHARLIE LOLA BLUE HOT WATER BOTTLE</t>
  </si>
  <si>
    <t>84032B</t>
  </si>
  <si>
    <t>CHARLIE + LOLA RED HOT WATER BOTTLE</t>
  </si>
  <si>
    <t>84519A</t>
  </si>
  <si>
    <t>TOMATO CHARLIE+LOLA COASTER SET</t>
  </si>
  <si>
    <t>COUNTRY COTTAGE  DOORSTOP GREEN</t>
  </si>
  <si>
    <t>GINGHAM HEART  DOORSTOP RED</t>
  </si>
  <si>
    <t>SET OF MEADOW  FLOWER STICKERS</t>
  </si>
  <si>
    <t>CHARLIE AND LOLA CHARLOTTE BAG</t>
  </si>
  <si>
    <t>JUMBO BAG CHARLIE AND LOLA TOYS</t>
  </si>
  <si>
    <t>DINOSAURS  WRITING SET</t>
  </si>
  <si>
    <t>16161P</t>
  </si>
  <si>
    <t>WRAP ENGLISH ROSE</t>
  </si>
  <si>
    <t>France</t>
  </si>
  <si>
    <t>16169N</t>
  </si>
  <si>
    <t>WRAP BLUE RUSSIAN FOLKART</t>
  </si>
  <si>
    <t>RED TOADSTOOL LED NIGHT LIGHT</t>
  </si>
  <si>
    <t>CHRISTMAS PUDDING TRINKET POT</t>
  </si>
  <si>
    <t>LUNCHBOX WITH CUTLERY RETROSPOT</t>
  </si>
  <si>
    <t>ASSORTED CAKES FRIDGE MAGNETS</t>
  </si>
  <si>
    <t>VINTAGE DESIGN GIFT TAGS</t>
  </si>
  <si>
    <t>PACK 20 DOLLY PEGS</t>
  </si>
  <si>
    <t>BAKING SET 9 PIECE RETROSPOT</t>
  </si>
  <si>
    <t>RETRO SPOT TEA SET CERAMIC 11 PC</t>
  </si>
  <si>
    <t>RETRO SPORT PARTY BAG + STICKER SET</t>
  </si>
  <si>
    <t>SET OF THREE VINTAGE GIFT WRAPS</t>
  </si>
  <si>
    <t>85232B</t>
  </si>
  <si>
    <t>SET/3 RUSSIAN DOLL STACKING TINS</t>
  </si>
  <si>
    <t>85014A</t>
  </si>
  <si>
    <t>BLACK/BLUE DOTS RUFFLED UMBRELLA</t>
  </si>
  <si>
    <t>85014B</t>
  </si>
  <si>
    <t>RED/WHITE DOTS RUFFLED UMBRELLA</t>
  </si>
  <si>
    <t>POST</t>
  </si>
  <si>
    <t>POSTAGE</t>
  </si>
  <si>
    <t>ASSORTED COLOUR MINI CASES</t>
  </si>
  <si>
    <t>84029E</t>
  </si>
  <si>
    <t>RED WOOLLY HOTTIE WHITE HEART.</t>
  </si>
  <si>
    <t>BIRD DECORATION RED SPOT</t>
  </si>
  <si>
    <t>KINGS CHOICE CIGAR BOX MATCHES</t>
  </si>
  <si>
    <t>SET 12 RETRO WHITE CHALK STICKS</t>
  </si>
  <si>
    <t>KINGS CHOICE SMALL TUBE MATCHES</t>
  </si>
  <si>
    <t>84899E</t>
  </si>
  <si>
    <t>YELLOW + BROWN BEAR FELT PURSE KIT</t>
  </si>
  <si>
    <t>KINGS CHOICE GIANT TUBE MATCHES</t>
  </si>
  <si>
    <t>EMPIRE TISSUE BOX</t>
  </si>
  <si>
    <t>84251J</t>
  </si>
  <si>
    <t>GREETING CARD, THE BLACK CAT</t>
  </si>
  <si>
    <t>RAINY LADIES BIRTHDAY CARD</t>
  </si>
  <si>
    <t>BANQUET BIRTHDAY  CARD</t>
  </si>
  <si>
    <t>SPACE BOY BIRTHDAY CARD</t>
  </si>
  <si>
    <t>RING OF ROSES BIRTHDAY CARD</t>
  </si>
  <si>
    <t>BOTANICAL LAVENDER BIRTHDAY CARD</t>
  </si>
  <si>
    <t>VINTAGE SNAP CARDS</t>
  </si>
  <si>
    <t>VICTORIAN SEWING KIT</t>
  </si>
  <si>
    <t>BINGO SET</t>
  </si>
  <si>
    <t>85123A</t>
  </si>
  <si>
    <t>WHITE HANGING HEART T-LIGHT HOLDER</t>
  </si>
  <si>
    <t>SET3 BOOK BOX GREEN GINGHAM FLOWER</t>
  </si>
  <si>
    <t>SET/3 RED GINGHAM ROSE STORAGE BOX</t>
  </si>
  <si>
    <t>UNION JACK GUNS &amp; ROSES  DOORMAT</t>
  </si>
  <si>
    <t>82001S</t>
  </si>
  <si>
    <t>VINYL RECORD FRAME SILVER</t>
  </si>
  <si>
    <t>SET/2 RED SPOTTY TEA TOWELS</t>
  </si>
  <si>
    <t>BATHROOM METAL SIGN</t>
  </si>
  <si>
    <t>LADIES &amp; GENTLEMEN METAL SIGN</t>
  </si>
  <si>
    <t>RETRO RED SPOTTY WASHING UP GLOVES</t>
  </si>
  <si>
    <t>RED SPOTTY OVEN GLOVE DOUBLE</t>
  </si>
  <si>
    <t>USA</t>
  </si>
  <si>
    <t>FOLKART BAUBLE CHRISTMAS DECORATION</t>
  </si>
  <si>
    <t>LOVEBIRD HANGING DECORATION WHITE</t>
  </si>
  <si>
    <t>SET/6 STRAWBERRY PAPER CUPS</t>
  </si>
  <si>
    <t>SET/6 WOODLAND PAPER CUPS</t>
  </si>
  <si>
    <t>GARLAND , WOODEN  " HAPPY EASTER"</t>
  </si>
  <si>
    <t>35916C</t>
  </si>
  <si>
    <t>PINK FELT HANGING HEART W FLOWER</t>
  </si>
  <si>
    <t>35916B</t>
  </si>
  <si>
    <t>BLUE FELT HANGING HEART W FLOWER</t>
  </si>
  <si>
    <t>PARTY CONES CANDY ASSORTED</t>
  </si>
  <si>
    <t>6 CROCHET STRAWBERRIES</t>
  </si>
  <si>
    <t>SET OF 72 PINK HEART PAPER DOILIES</t>
  </si>
  <si>
    <t>SET/6 WOODLAND PAPER PLATES</t>
  </si>
  <si>
    <t>JUMBO BAG PINK VINTAGE PAISLEY</t>
  </si>
  <si>
    <t>HEART STRING MEMO HOLDER HANGING</t>
  </si>
  <si>
    <t>18097C</t>
  </si>
  <si>
    <t>WHITE TALL PORCELAIN T-LIGHT HOLDER</t>
  </si>
  <si>
    <t>RETRO SPOT LAMP</t>
  </si>
  <si>
    <t>EDWARDIAN TOILET ROLL UNIT</t>
  </si>
  <si>
    <t>RED HANGING HEART T-LIGHT HOLDER</t>
  </si>
  <si>
    <t>HEART FILIGREE DOVE  SMALL</t>
  </si>
  <si>
    <t>PAPER CHAIN KIT RETRO SPOT</t>
  </si>
  <si>
    <t>RETRO SPOT  CIGAR BOX MATCHES</t>
  </si>
  <si>
    <t>85099B</t>
  </si>
  <si>
    <t>JUMBO BAG RED WHITE SPOTTY</t>
  </si>
  <si>
    <t>VICTORIAN GLASS HANGING T-LIGHT</t>
  </si>
  <si>
    <t>UNION JACK HOT WATER BOTTLE</t>
  </si>
  <si>
    <t>RED SPOT CERAMIC DRAWER KNOB</t>
  </si>
  <si>
    <t>PAPER CHAIN KIT 50'S CHRISTMAS</t>
  </si>
  <si>
    <t>HOT WATER BOTTLE TEA AND SYMPATHY</t>
  </si>
  <si>
    <t>RED SPOT HEART HOT WATER BOTTLE</t>
  </si>
  <si>
    <t>RED SPOTTY ROUND CAKE TINS</t>
  </si>
  <si>
    <t>LARGE HEART MEASURING SPOONS</t>
  </si>
  <si>
    <t>JUMBO BAG SCANDINAVIAN PAISLEY</t>
  </si>
  <si>
    <t>CHARLOTTE BAG , PINK/WHITE SPOTS</t>
  </si>
  <si>
    <t>RED SPOTTY CHARLOTTE BAG</t>
  </si>
  <si>
    <t>LUNCH BAG RED SPOTTY</t>
  </si>
  <si>
    <t>LUNCH BAG CARS BLUE</t>
  </si>
  <si>
    <t>LUNCH BAG WOODLAND</t>
  </si>
  <si>
    <t>FRYING PAN RED POLKADOT</t>
  </si>
  <si>
    <t>CREAM SWEETHEART MINI CHEST</t>
  </si>
  <si>
    <t>Belgium</t>
  </si>
  <si>
    <t>GOLD APERITIF GLASS</t>
  </si>
  <si>
    <t>GOLD WINE GLASS</t>
  </si>
  <si>
    <t>GOLD WINE GOBLET</t>
  </si>
  <si>
    <t>SILVER APERITIF GLASS</t>
  </si>
  <si>
    <t>C489449</t>
  </si>
  <si>
    <t>POTTING SHED SOW 'N' GROW SET</t>
  </si>
  <si>
    <t>Australia</t>
  </si>
  <si>
    <t>85206A</t>
  </si>
  <si>
    <t>CREAM FELT EASTER EGG BASKET</t>
  </si>
  <si>
    <t>POTTING SHED TWINE</t>
  </si>
  <si>
    <t>PAPER BUNTING WHITE LACE</t>
  </si>
  <si>
    <t>ANTIQUE SILVER TEA GLASS ETCHED</t>
  </si>
  <si>
    <t>PAPER BUNTING RETRO SPOTS</t>
  </si>
  <si>
    <t>C489459</t>
  </si>
  <si>
    <t>90082D</t>
  </si>
  <si>
    <t>DIAMANTE BOW BROOCH BLACK COLOUR</t>
  </si>
  <si>
    <t>90200A</t>
  </si>
  <si>
    <t>PURPLE SWEETHEART BRACELET</t>
  </si>
  <si>
    <t>90200D</t>
  </si>
  <si>
    <t>PINK SWEETHEART BRACELET</t>
  </si>
  <si>
    <t>90200B</t>
  </si>
  <si>
    <t>BLACK SWEETHEART BRACELET</t>
  </si>
  <si>
    <t>90200E</t>
  </si>
  <si>
    <t>GREEN SWEETHEART BRACELET</t>
  </si>
  <si>
    <t>90200C</t>
  </si>
  <si>
    <t>BLUE SWEETHEART BRACELET</t>
  </si>
  <si>
    <t>90185C</t>
  </si>
  <si>
    <t>BLACK DIAMANTE EXPANDABLE RING</t>
  </si>
  <si>
    <t>90185B</t>
  </si>
  <si>
    <t>AMETHYST DIAMANTE EXPANDABLE RING</t>
  </si>
  <si>
    <t>90003C</t>
  </si>
  <si>
    <t>MIDNIGHT BLUE PAIR HEART HAIR SLIDE</t>
  </si>
  <si>
    <t>90003D</t>
  </si>
  <si>
    <t>CRYSTAL PAIR HEART HAIR SLIDES</t>
  </si>
  <si>
    <t>90003B</t>
  </si>
  <si>
    <t>ROSE COLOUR PAIR HEART HAIR SLIDES</t>
  </si>
  <si>
    <t>90209C</t>
  </si>
  <si>
    <t>PINK ENAMEL+GLASS HAIR COMB</t>
  </si>
  <si>
    <t>90209A</t>
  </si>
  <si>
    <t>PURPLE ENAMEL+GLASS HAIR COMB</t>
  </si>
  <si>
    <t>BOYS ALPHABET IRON ON PATCHES</t>
  </si>
  <si>
    <t>GIRLS ALPHABET IRON ON PATCHES</t>
  </si>
  <si>
    <t>PACK OF 60 PINK PAISLEY CAKE CASES</t>
  </si>
  <si>
    <t>60 TEATIME FAIRY CAKE CASES</t>
  </si>
  <si>
    <t>3 PIECE JIGSAW TOADSTOOLS</t>
  </si>
  <si>
    <t>FELTCRAFT DOLL MOLLY</t>
  </si>
  <si>
    <t>SET 10 LIGHTS NIGHT OWL</t>
  </si>
  <si>
    <t>79323S</t>
  </si>
  <si>
    <t>SILVER CHERRY LIGHTS</t>
  </si>
  <si>
    <t>BIRDS MOBILE VINTAGE DESIGN</t>
  </si>
  <si>
    <t>FAIRY CAKE CANDLES</t>
  </si>
  <si>
    <t>RED STRIPE CERAMIC DRAWER KNOB</t>
  </si>
  <si>
    <t>BLUE STRIPE CERAMIC DRAWER KNOB</t>
  </si>
  <si>
    <t>BLUE SPOT CERAMIC DRAWER KNOB</t>
  </si>
  <si>
    <t>WHITE SPOT RED CERAMIC DRAWER KNOB</t>
  </si>
  <si>
    <t>WHITE SPOT BLUE CERAMIC DRAWER KNOB</t>
  </si>
  <si>
    <t>PACK OF 72 RETRO SPOT CAKE CASES</t>
  </si>
  <si>
    <t>KEEP OUT BOYS DOOR HANGER</t>
  </si>
  <si>
    <t>TOXIC AREA  DOOR HANGER</t>
  </si>
  <si>
    <t>DOOR HANGER  MUM + DADS ROOM</t>
  </si>
  <si>
    <t>MOODY BOY  DOOR HANGER</t>
  </si>
  <si>
    <t>85071A</t>
  </si>
  <si>
    <t>BLUE CHARLIE+LOLA PERSONAL DOORSIGN</t>
  </si>
  <si>
    <t>85071B</t>
  </si>
  <si>
    <t>RED CHARLIE+LOLA PERSONAL DOORSIGN</t>
  </si>
  <si>
    <t>82494L</t>
  </si>
  <si>
    <t>WOODEN FRAME ANTIQUE WHITE</t>
  </si>
  <si>
    <t>CERAMIC BOWL WITH STRAWBERRY DESIGN</t>
  </si>
  <si>
    <t>CERAMIC CAKE BOWL + HANGING CAKES</t>
  </si>
  <si>
    <t>WOOD 2 DRAWER CABINET WHITE FINISH</t>
  </si>
  <si>
    <t>WOOD S/3 CABINET ANT WHITE FINISH</t>
  </si>
  <si>
    <t>short</t>
  </si>
  <si>
    <t>85123a mixed</t>
  </si>
  <si>
    <t>ANTIQUE LILY FAIRY LIGHTS</t>
  </si>
  <si>
    <t>FOLDING UMBRELLA , BLACK/BLUE  SPOT</t>
  </si>
  <si>
    <t>FOLDING UMBRELLA  PINK/WHITE  SPOT</t>
  </si>
  <si>
    <t>FOLDING UMBRELLA  CREAM/MULTI  SPOT</t>
  </si>
  <si>
    <t>FOLDING UMBRELLA , RED/WHITE SPOT</t>
  </si>
  <si>
    <t>FOLDING UMBRELLA  WHITE/RED  SPOT</t>
  </si>
  <si>
    <t>FUNKY WASHING UP GLOVES ASSORTED</t>
  </si>
  <si>
    <t>RETRO BLUE SPOTTY WASHING UP GLOVES</t>
  </si>
  <si>
    <t>RETRO PINK SPOT WASHING UP GLOVES</t>
  </si>
  <si>
    <t>FAWN BLUE HOT WATER BOTTLE</t>
  </si>
  <si>
    <t>PICCADILLY TEA SET</t>
  </si>
  <si>
    <t>DOOR MAT FAIRY CAKE</t>
  </si>
  <si>
    <t>72760B</t>
  </si>
  <si>
    <t>VINTAGE CREAM 3 BASKET CAKE STAND</t>
  </si>
  <si>
    <t>21733 mixed</t>
  </si>
  <si>
    <t>C489476</t>
  </si>
  <si>
    <t>FELTCRAFT 6 FLOWER FRIENDS</t>
  </si>
  <si>
    <t>OPULENT VELVET CANDLE IN BOX</t>
  </si>
  <si>
    <t>PARTY INVITES JAZZ HEARTS</t>
  </si>
  <si>
    <t>84997D</t>
  </si>
  <si>
    <t>PINK 3 PIECE MINI DOTS CUTLERY SET</t>
  </si>
  <si>
    <t>84997C</t>
  </si>
  <si>
    <t>BLUE 3 PIECE MINI DOTS CUTLERY SET</t>
  </si>
  <si>
    <t>SWEETHEART CERAMIC TRINKET BOX</t>
  </si>
  <si>
    <t>90121B</t>
  </si>
  <si>
    <t>VINTAGE ROSE BEAD BRACELET BLUE</t>
  </si>
  <si>
    <t>CHICK GREY HOT WATER BOTTLE</t>
  </si>
  <si>
    <t>PINK CREAM FELT CRAFT TRINKET BOX</t>
  </si>
  <si>
    <t>SET OF THREE 50'S GIFT WRAPS</t>
  </si>
  <si>
    <t>PARTY INVITES WOODLAND</t>
  </si>
  <si>
    <t>COFFEE MUG DOG + BALL DESIGN</t>
  </si>
  <si>
    <t>MUSHROOM BLUE HOT WATER BOTTLE</t>
  </si>
  <si>
    <t>PINK FLORAL FELTCRAFT SHOULDER BAG</t>
  </si>
  <si>
    <t>PINK CROCHET CAT WITH SCARF</t>
  </si>
  <si>
    <t>84327A</t>
  </si>
  <si>
    <t>PINK JUMPER LARRY THE LAMB</t>
  </si>
  <si>
    <t>COFFEE MUG CAT + BIRD DESIGN</t>
  </si>
  <si>
    <t>90175A</t>
  </si>
  <si>
    <t>WHITE GLASS CHUNKY CHARM BRACELET</t>
  </si>
  <si>
    <t>90195B</t>
  </si>
  <si>
    <t>BLACK GEMSTONE BRACELET</t>
  </si>
  <si>
    <t>CARNIVAL BRACELET</t>
  </si>
  <si>
    <t>JUMBO STORAGE BAG SKULLS</t>
  </si>
  <si>
    <t>GREY FLORAL FELTCRAFT SHOULDER BAG</t>
  </si>
  <si>
    <t>C489503</t>
  </si>
  <si>
    <t>RETRO SPOT LARGE MILK JUG</t>
  </si>
  <si>
    <t>DAIRY MAID CERAMIC BUTTER DISH</t>
  </si>
  <si>
    <t>C489504</t>
  </si>
  <si>
    <t>KISS REINDEER SCANDINAVIAN STOCKING</t>
  </si>
  <si>
    <t>LADYBIRD + BEE RAFFIA FOOD COVER</t>
  </si>
  <si>
    <t>47566B</t>
  </si>
  <si>
    <t>TEA TIME PARTY BUNTING</t>
  </si>
  <si>
    <t>WEEKEND BAG VINTAGE ROSE PAISLEY</t>
  </si>
  <si>
    <t>WHITE SKULL HOT WATER BOTTLE</t>
  </si>
  <si>
    <t>VINTAGE HEADS AND TAILS CARD GAME</t>
  </si>
  <si>
    <t>47591D</t>
  </si>
  <si>
    <t>PINK FAIRY CAKE CHILD'S APRON</t>
  </si>
  <si>
    <t>MINI CAKE STAND WITH HANGING CAKES</t>
  </si>
  <si>
    <t>COLOUR GLASS. STAR T-LIGHT HOLDER</t>
  </si>
  <si>
    <t>CERAMIC CAKE STAND + HANGING CAKES</t>
  </si>
  <si>
    <t>VICTORIAN SEWING BOX LARGE</t>
  </si>
  <si>
    <t>SET/3 TALL GLASS CANDLE HOLDER PINK</t>
  </si>
  <si>
    <t>UNION JACK FLAG PASSPORT COVER</t>
  </si>
  <si>
    <t>PINK UNION JACK  PASSPORT COVER</t>
  </si>
  <si>
    <t>WOODLAND CHARLOTTE BAG</t>
  </si>
  <si>
    <t>84997A</t>
  </si>
  <si>
    <t>GREEN 3 PIECE MINI DOTS CUTLERY SET</t>
  </si>
  <si>
    <t>GREEN  SPOTTY PLATE</t>
  </si>
  <si>
    <t>GREEN SPOTTY CUP</t>
  </si>
  <si>
    <t>LAUNDRY 15C METAL SIGN</t>
  </si>
  <si>
    <t>82613D</t>
  </si>
  <si>
    <t>METAL SIGN CUPCAKE SINGLE HOOK</t>
  </si>
  <si>
    <t>NO JUNK MAIL METAL SIGN</t>
  </si>
  <si>
    <t>BLACK SIL'T SQU CANDLE PLATE</t>
  </si>
  <si>
    <t>POTTING SHED COFFEE MUG</t>
  </si>
  <si>
    <t>POTTERING MUG</t>
  </si>
  <si>
    <t>84849B</t>
  </si>
  <si>
    <t>FAIRY SOAP SOAP HOLDER</t>
  </si>
  <si>
    <t>FLOWER VINE RAFFIA FOOD COVER</t>
  </si>
  <si>
    <t>VINTAGE NOTEBOOK PARIS DAYS</t>
  </si>
  <si>
    <t>ENGLISH ROSE TEA SET IN GIFT BOX</t>
  </si>
  <si>
    <t>PINK UNION JACK  LUGGAGE TAG</t>
  </si>
  <si>
    <t>AIRLINE LOUNGE,METAL SIGN</t>
  </si>
  <si>
    <t>SQUARE MIRROR CURTAIN</t>
  </si>
  <si>
    <t>RETRO SPOT SMALL TUBE MATCHES</t>
  </si>
  <si>
    <t>HAIRCLIPS FORTIES FABRIC ASSORTED</t>
  </si>
  <si>
    <t>84997B</t>
  </si>
  <si>
    <t>RED 3 PIECE MINI DOTS CUTLERY SET</t>
  </si>
  <si>
    <t>SET OF 2 FANCY FONT TEA TOWELS</t>
  </si>
  <si>
    <t>BLUE  SPOTTY PLATE</t>
  </si>
  <si>
    <t>BLUE SPOTTY BOWL</t>
  </si>
  <si>
    <t>16207A</t>
  </si>
  <si>
    <t>PINK STRAWBERRY HANDBAG</t>
  </si>
  <si>
    <t>CROSS STITCH ALPHABET CUSHION COVER</t>
  </si>
  <si>
    <t>BAG 500g SWIRLY MARBLES</t>
  </si>
  <si>
    <t>VINTAGE SEASIDE JIGSAW PUZZLES</t>
  </si>
  <si>
    <t>GLITTER STAR GARLAND WITH BELLS</t>
  </si>
  <si>
    <t>JUMBO STORAGE BAG SUKI</t>
  </si>
  <si>
    <t>47591A</t>
  </si>
  <si>
    <t>CAROUSEL DES CHILD'S APRON</t>
  </si>
  <si>
    <t>84951A</t>
  </si>
  <si>
    <t>S/4 PISTACHIO LOVEBIRD COASTERS</t>
  </si>
  <si>
    <t>HEART DECORATION PAINTED ZINC</t>
  </si>
  <si>
    <t>85129A</t>
  </si>
  <si>
    <t>WHITE PEARL BEADED HEART, SMALL</t>
  </si>
  <si>
    <t>GINGHAM HEART DECORATION</t>
  </si>
  <si>
    <t>C489518</t>
  </si>
  <si>
    <t>AGED GLASS SILVER T-LIGHT HOLDER</t>
  </si>
  <si>
    <t>PAINTED BIRD ASSORTED CHRISTMAS</t>
  </si>
  <si>
    <t>12 PENCILS TALL TUBE POSY</t>
  </si>
  <si>
    <t>12 PENCILS TALL TUBE SKULLS</t>
  </si>
  <si>
    <t>84971L</t>
  </si>
  <si>
    <t>LARGE HEART FLOWERS HOOK</t>
  </si>
  <si>
    <t>82616B</t>
  </si>
  <si>
    <t>FRAPPUCINO SCARF KNITTING KIT</t>
  </si>
  <si>
    <t>WASH BAG VINTAGE ROSE PAISLEY</t>
  </si>
  <si>
    <t>SILVER HANGING T-LIGHT HOLDER</t>
  </si>
  <si>
    <t>CHOCOLATE THIS WAY METAL SIGN</t>
  </si>
  <si>
    <t>MIRRORED WALL ART POPPIES</t>
  </si>
  <si>
    <t>HAND OVER THE CHOCOLATE   SIGN</t>
  </si>
  <si>
    <t>2 DAISIES HAIR COMB</t>
  </si>
  <si>
    <t>90067A</t>
  </si>
  <si>
    <t>PINK VINTAGE VICTORIAN EARRINGS</t>
  </si>
  <si>
    <t>90067B</t>
  </si>
  <si>
    <t>BROWN VINTAGE VICTORIAN EARRINGS</t>
  </si>
  <si>
    <t>OLD ROSE COMBO BEAD NECKLACE</t>
  </si>
  <si>
    <t>84884A</t>
  </si>
  <si>
    <t>ANT WHITE WIRE HEART SPIRAL</t>
  </si>
  <si>
    <t>84912B</t>
  </si>
  <si>
    <t>GREEN ROSE WASHBAG</t>
  </si>
  <si>
    <t>90013C</t>
  </si>
  <si>
    <t>GREEN VINTAGE EARRINGS</t>
  </si>
  <si>
    <t>85014C</t>
  </si>
  <si>
    <t>BLUE/BROWN DOTS RUFFLED UMBRELLA</t>
  </si>
  <si>
    <t>85014D</t>
  </si>
  <si>
    <t>PINK/BROWN DOTS RUFFLED UMBRELLA</t>
  </si>
  <si>
    <t>90036D</t>
  </si>
  <si>
    <t>FLOWER GLASS GARLAND NECKL.36"BLACK</t>
  </si>
  <si>
    <t>FILIGREE DIAMANTE EARRINGS</t>
  </si>
  <si>
    <t>SILVER HOOP EARRINGS WITH FLOWER</t>
  </si>
  <si>
    <t>90000A</t>
  </si>
  <si>
    <t>RASPBERRY ANT COPPER FLOWER NECKLAC</t>
  </si>
  <si>
    <t>90024B</t>
  </si>
  <si>
    <t>NEW BAROQUE B'FLY NECKLACE RED</t>
  </si>
  <si>
    <t>PINK/AMETHYST/GOLD NECKLACE</t>
  </si>
  <si>
    <t>90199C</t>
  </si>
  <si>
    <t>5 STRAND GLASS NECKLACE CRYSTAL</t>
  </si>
  <si>
    <t>PINK HEART CANDY BUTTON CALCULATOR</t>
  </si>
  <si>
    <t>EIRE</t>
  </si>
  <si>
    <t>GRAND CHOCOLATECANDLE</t>
  </si>
  <si>
    <t>35751C</t>
  </si>
  <si>
    <t>PURPLE CURRENT CANDLE RING</t>
  </si>
  <si>
    <t>72739B</t>
  </si>
  <si>
    <t>WHITE CHOCOLATE SCENT CANDLE</t>
  </si>
  <si>
    <t>PARTY METAL SIGN</t>
  </si>
  <si>
    <t>NO SINGING METAL SIGN</t>
  </si>
  <si>
    <t>ASSORTED SANTA CHRISTMAS DECORATION</t>
  </si>
  <si>
    <t>ZINC METAL HEART DECORATION</t>
  </si>
  <si>
    <t>RIBBON REEL SPOTS DESIGN</t>
  </si>
  <si>
    <t>RIBBON REEL STRIPES DESIGN</t>
  </si>
  <si>
    <t>SILVER MINI TAPE MEASURE</t>
  </si>
  <si>
    <t>FOUR HOOK  WHITE LOVEBIRDS</t>
  </si>
  <si>
    <t>GLITTER BUTTERFLY CLIPS</t>
  </si>
  <si>
    <t>PAPER BUNTING VINTAGE PAISLEY</t>
  </si>
  <si>
    <t>SHOE SHINE BOX</t>
  </si>
  <si>
    <t>12 EGG HOUSE PAINTED WOOD</t>
  </si>
  <si>
    <t>85232D</t>
  </si>
  <si>
    <t>SET/3 DECOUPAGE STACKING TINS</t>
  </si>
  <si>
    <t>NOEL WOODEN BLOCK LETTERS</t>
  </si>
  <si>
    <t>DOOR MAT NEW ENGLAND</t>
  </si>
  <si>
    <t>DOOR MAT GREEN PAISLEY</t>
  </si>
  <si>
    <t>DINOSAUR KEYRINGS ASSORTED</t>
  </si>
  <si>
    <t>SKULLS WRAP</t>
  </si>
  <si>
    <t>CAMOUFLAGE LED TORCH</t>
  </si>
  <si>
    <t>ASSORTED TUTTI FRUTTI KEYRING</t>
  </si>
  <si>
    <t xml:space="preserve">POPCORN HOLDER , SMALL </t>
  </si>
  <si>
    <t>SET/6 RED SPOTTY PAPER CUPS</t>
  </si>
  <si>
    <t>PAINTED METAL PEARS ASSORTED</t>
  </si>
  <si>
    <t>ANTIQUE GLASS HEART DECORATION</t>
  </si>
  <si>
    <t>SET/6 CHRISTMAS ICICLE T-LIGHTS</t>
  </si>
  <si>
    <t>COLOURING PENCILS BROWN TUBE</t>
  </si>
  <si>
    <t>GEISHA GIRL CHOPSTICKS SET/5</t>
  </si>
  <si>
    <t>ASSORTED TUTTI FRUTTI NOTEBOOK</t>
  </si>
  <si>
    <t>PARTY CONES CARNIVAL ASSORTED</t>
  </si>
  <si>
    <t>ANGEL DECORATION 3 BUTTONS</t>
  </si>
  <si>
    <t>STAR DECORATION RUSTIC</t>
  </si>
  <si>
    <t>COSY HOUR GIANT TUBE MATCHES</t>
  </si>
  <si>
    <t>GLITTER CHRISTMAS HEART</t>
  </si>
  <si>
    <t>GLITTER CHRISTMAS STAR</t>
  </si>
  <si>
    <t>GLITTER CHRISTMAS TREE</t>
  </si>
  <si>
    <t>SET OF 6 CAKE CHOPSTICKS</t>
  </si>
  <si>
    <t>MIRROR MOSAIC T-LIGHT HOLDER ROUND</t>
  </si>
  <si>
    <t>WHITE WITH BLACK CATS MUG</t>
  </si>
  <si>
    <t>WILLOW BRANCH LIGHTS.</t>
  </si>
  <si>
    <t>CHOCOLATE CALCULATOR</t>
  </si>
  <si>
    <t>GREY HEART HOT WATER BOTTLE</t>
  </si>
  <si>
    <t>RATTLE SNAKE EGGS</t>
  </si>
  <si>
    <t>SET/6 RED SPOTTY PAPER PLATES</t>
  </si>
  <si>
    <t>RED SPOTTY CUP</t>
  </si>
  <si>
    <t>BLUE  SPOTTY CUP</t>
  </si>
  <si>
    <t>PINK  SPOTTY CUP</t>
  </si>
  <si>
    <t>MAGIC GARDEN MOUNT FUJI</t>
  </si>
  <si>
    <t>MAGIC SHEEP WOOL GROWING FROM PAPER</t>
  </si>
  <si>
    <t>EIGHT PIECE DINOSAUR SET</t>
  </si>
  <si>
    <t>EIGHT PIECE CREEPY CRAWLIE SET</t>
  </si>
  <si>
    <t>EIGHT PIECE SNAKE  SET</t>
  </si>
  <si>
    <t>COFFEE MUG PINK PAISLEY DESIGN</t>
  </si>
  <si>
    <t>COFFEE MUG BLUE PAISLEY DESIGN</t>
  </si>
  <si>
    <t>COFFEE MUG PEARS  DESIGN</t>
  </si>
  <si>
    <t>COFFEE MUG APPLES DESIGN</t>
  </si>
  <si>
    <t>URBAN CHIC CHOPSTICKS SET/5</t>
  </si>
  <si>
    <t>WOODEN BOX OF DOMINOES</t>
  </si>
  <si>
    <t>GREEN CHRISTMAS TREE STRING 20LIGHT</t>
  </si>
  <si>
    <t>RED REINDEER STRING OF 20 LIGHTS</t>
  </si>
  <si>
    <t>RETRO SPOT GIANT  TUBE MATCHES</t>
  </si>
  <si>
    <t>MINATURE COLOURED GARDENING SET</t>
  </si>
  <si>
    <t>COOK WITH WINE METAL SIGN</t>
  </si>
  <si>
    <t>GIN + TONIC DIET METAL SIGN</t>
  </si>
  <si>
    <t>85049A</t>
  </si>
  <si>
    <t>TRADITIONAL CHRISTMAS RIBBONS</t>
  </si>
  <si>
    <t>85049E</t>
  </si>
  <si>
    <t>SCANDINAVIAN REDS RIBBONS</t>
  </si>
  <si>
    <t>6 RIBBONS ELEGANT CHRISTMAS</t>
  </si>
  <si>
    <t>37492A</t>
  </si>
  <si>
    <t>YELLOW RED FLOWER PIGGY BANK</t>
  </si>
  <si>
    <t>CAMOUFLAGE EAR MUFF HEADPHONES</t>
  </si>
  <si>
    <t>LOCAL CAFE MUG</t>
  </si>
  <si>
    <t>84029G</t>
  </si>
  <si>
    <t>KNITTED UNION FLAG HOT WATER BOTTLE</t>
  </si>
  <si>
    <t>BLUE WHITE SCARF HOT WATER BOTTLE</t>
  </si>
  <si>
    <t>POTTING SHED TEA MUG</t>
  </si>
  <si>
    <t>KINGS CHOICE MUG</t>
  </si>
  <si>
    <t>CAKE STAND LACE WHITE</t>
  </si>
  <si>
    <t>CAKE PLATE LOVEBIRD WHITE</t>
  </si>
  <si>
    <t>DOOR MAT 3 SMILEY CATS</t>
  </si>
  <si>
    <t>RED SPOTTY COIR DOORMAT</t>
  </si>
  <si>
    <t>DOORMAT HEARTS</t>
  </si>
  <si>
    <t>37492C</t>
  </si>
  <si>
    <t>GREEN BLUE FLOWER PIGGY BANK</t>
  </si>
  <si>
    <t>PINK SPOTTY BOWL</t>
  </si>
  <si>
    <t>RED SPOTTY BOWL</t>
  </si>
  <si>
    <t>200 RED + WHITE BENDY STRAWS</t>
  </si>
  <si>
    <t>I CAN ONLY PLEASE ONE PERSON MUG</t>
  </si>
  <si>
    <t>METAL SIGN EMPIRE TEA</t>
  </si>
  <si>
    <t>POTTERING IN THE SHED METAL SIGN</t>
  </si>
  <si>
    <t>6 RIBBONS RUSTIC CHARM</t>
  </si>
  <si>
    <t>6 RIBBONS EMPIRE</t>
  </si>
  <si>
    <t>79323LP</t>
  </si>
  <si>
    <t>LIGHT PINK CHERRY LIGHTS</t>
  </si>
  <si>
    <t>79342B</t>
  </si>
  <si>
    <t>BROWN FLOWER LIGHTS</t>
  </si>
  <si>
    <t>C489524</t>
  </si>
  <si>
    <t>85226C</t>
  </si>
  <si>
    <t>BLUE PULL BACK RACING CAR</t>
  </si>
  <si>
    <t>SET/6 3D KIT CARDS FOR KIDS</t>
  </si>
  <si>
    <t>RED SPOTS  WRAP</t>
  </si>
  <si>
    <t>Germany</t>
  </si>
  <si>
    <t>16169F</t>
  </si>
  <si>
    <t>WRAP BLIZZARD</t>
  </si>
  <si>
    <t>PACK OF 60 MUSHROOM CAKE CASES</t>
  </si>
  <si>
    <t>SILVER HANGING T-LIGHT HOLDER DOME</t>
  </si>
  <si>
    <t>KIDS RAIN MAC BLUE</t>
  </si>
  <si>
    <t>KIDS RAIN MAC PINK</t>
  </si>
  <si>
    <t>ZINC WILLIE WINKIE  CANDLE STICK</t>
  </si>
  <si>
    <t>SET/5 RED SPOTTY LID GLASS BOWLS</t>
  </si>
  <si>
    <t>FELT TOADSTOOL LARGE</t>
  </si>
  <si>
    <t>FELT TOADSTOOL  SMALL</t>
  </si>
  <si>
    <t>RED SPOTTY SHOPPER BAG</t>
  </si>
  <si>
    <t>RED SPOTTY PLATE</t>
  </si>
  <si>
    <t>JIGSAW TOADSTOOLS 3 PIECE</t>
  </si>
  <si>
    <t>RETRO SPOT SUGAR JAM BOWL</t>
  </si>
  <si>
    <t>RETRO SPOT SMALL MILK JUG</t>
  </si>
  <si>
    <t>RETRO SPOT MUG</t>
  </si>
  <si>
    <t>15056BL</t>
  </si>
  <si>
    <t>EDWARDIAN PARASOL BLACK</t>
  </si>
  <si>
    <t>15056N</t>
  </si>
  <si>
    <t>EDWARDIAN PARASOL NATURAL</t>
  </si>
  <si>
    <t>RED SPOTTY CHILDS UMBRELLA</t>
  </si>
  <si>
    <t>RETRO SPOTS PUDDING BOWL</t>
  </si>
  <si>
    <t>RETRO SPOT STORAGE JAR</t>
  </si>
  <si>
    <t>TEA CUP AND SAUCER RETRO SPOT</t>
  </si>
  <si>
    <t>RETRO SPOTS BUTTER DISH</t>
  </si>
  <si>
    <t>POLYESTER FILLER PAD 60x40cm</t>
  </si>
  <si>
    <t>RETRO SPOT TRADITIONAL TEAPOT</t>
  </si>
  <si>
    <t>46000S</t>
  </si>
  <si>
    <t>POLYESTER FILLER PAD 40x40cm</t>
  </si>
  <si>
    <t>C489527</t>
  </si>
  <si>
    <t>85124A</t>
  </si>
  <si>
    <t>PINK JUICY FRUIT PHOTO FRAME</t>
  </si>
  <si>
    <t>LOO ROLL  METAL SIGN</t>
  </si>
  <si>
    <t>C489528</t>
  </si>
  <si>
    <t>16156N</t>
  </si>
  <si>
    <t>WRAP, FRIENDSHIP ON GREEN</t>
  </si>
  <si>
    <t>PINK SPOTS  WRAP</t>
  </si>
  <si>
    <t>PENNY FARTHING BIRTHDAY CARD</t>
  </si>
  <si>
    <t>SWALLOWS GREETING CARD</t>
  </si>
  <si>
    <t>ROBOT BIRTHDAY CARD</t>
  </si>
  <si>
    <t>DINOSAUR BIRTHDAY CARD</t>
  </si>
  <si>
    <t>STRAWBERRIES PRINT BOWL</t>
  </si>
  <si>
    <t>RED GINGHAM ROSE JEWELLERY BOX</t>
  </si>
  <si>
    <t>GREEN GINGHAM FLOWER JEWELLERY BOX</t>
  </si>
  <si>
    <t>MULTI HEARTS  STICKERS</t>
  </si>
  <si>
    <t>72802B</t>
  </si>
  <si>
    <t>OCEAN SCENT CANDLE IN JEWELLED BOX</t>
  </si>
  <si>
    <t>GREEN FERN NOTEBOOK</t>
  </si>
  <si>
    <t>SKULLS  WATER TRANSFER TATTOOS</t>
  </si>
  <si>
    <t>CREAM SWEETHEART MAGAZINE RACK</t>
  </si>
  <si>
    <t>DOOR MAT TOPIARY</t>
  </si>
  <si>
    <t>SET/20 POSIES PAPER NAPKINS</t>
  </si>
  <si>
    <t>BLUE PAISLEY NOTEBOOK</t>
  </si>
  <si>
    <t>BLUE PAISLEY JOURNAL</t>
  </si>
  <si>
    <t>VIPPASSPORT COVER</t>
  </si>
  <si>
    <t>SET/10 PINK SPOTTY PARTY CANDLES</t>
  </si>
  <si>
    <t>SET/10 BLUE SPOTTY PARTY CANDLES</t>
  </si>
  <si>
    <t>TROPICAL LUGGAGE TAG</t>
  </si>
  <si>
    <t>84520B</t>
  </si>
  <si>
    <t>PACK 20 ENGLISH ROSE PAPER NAPKINS</t>
  </si>
  <si>
    <t>TROPICAL PASSPORT COVER</t>
  </si>
  <si>
    <t>UNION JACK FLAG LUGGAGE TAG</t>
  </si>
  <si>
    <t>VIP LUGGAGE TAG</t>
  </si>
  <si>
    <t>CHRYSANTHEMUM NOTEBOOK</t>
  </si>
  <si>
    <t>ROSE DU SUD CHILDS APRON</t>
  </si>
  <si>
    <t>84402D</t>
  </si>
  <si>
    <t>PINK DRESS JEWELLERY STAND</t>
  </si>
  <si>
    <t>84660B</t>
  </si>
  <si>
    <t>BLACK STITCHED WALL CLOCK</t>
  </si>
  <si>
    <t>72754B</t>
  </si>
  <si>
    <t>F FAIRY POTPOURRI CUSHIONS LAVENDER</t>
  </si>
  <si>
    <t>KENSINGTON COFFEE SET</t>
  </si>
  <si>
    <t>C489530</t>
  </si>
  <si>
    <t>72803A</t>
  </si>
  <si>
    <t>ROSE SCENT CANDLE JEWELLED DRAWER</t>
  </si>
  <si>
    <t>COSY HOUR CIGAR BOX MATCHES</t>
  </si>
  <si>
    <t>72801E</t>
  </si>
  <si>
    <t>S/4 FESTIVE GREEN DINNER CANDLES</t>
  </si>
  <si>
    <t>GLASS HONEYPOT WASP CATCHER</t>
  </si>
  <si>
    <t>REX CASH+CARRY JUMBO SHOPPER</t>
  </si>
  <si>
    <t>RECYCLED PENCIL WITH RABBIT ERASER</t>
  </si>
  <si>
    <t>PACK OF 12 HEARTS DESIGN TISSUES</t>
  </si>
  <si>
    <t>PACK OF 12 RED SPOTTY TISSUES</t>
  </si>
  <si>
    <t>ASSTD DESIGN BUBBLE GUM RING</t>
  </si>
  <si>
    <t>60 GOLD AND SILVER FAIRY CAKE CASES</t>
  </si>
  <si>
    <t>85231B</t>
  </si>
  <si>
    <t>CINAMMON SET OF 9 T-LIGHTS</t>
  </si>
  <si>
    <t>85049D</t>
  </si>
  <si>
    <t>BRIGHT BLUES RIBBONS</t>
  </si>
  <si>
    <t>85231E</t>
  </si>
  <si>
    <t>STRAWBERRY SCENTED SET/9 T-LIGHTS</t>
  </si>
  <si>
    <t>FROSTED BOX 9 WHITE T-LIGHT CANDLES</t>
  </si>
  <si>
    <t>85049C</t>
  </si>
  <si>
    <t>ROMANTIC PINKS RIBBONS</t>
  </si>
  <si>
    <t>ROTATING SILVER ANGELS T-LIGHT HLDR</t>
  </si>
  <si>
    <t>SMALL RETRO SPOT MUG IN BOX  WHITE</t>
  </si>
  <si>
    <t>SMALL RETRO SPOT MUG IN BOX  RED</t>
  </si>
  <si>
    <t>SILVER SLEIGHBELL  WREATH</t>
  </si>
  <si>
    <t>FRENCH ENAMEL CANDLEHOLDER</t>
  </si>
  <si>
    <t>JOY WOODEN BLOCK LETTERS</t>
  </si>
  <si>
    <t>SILVER CHRISTMAS TREE BAUBLE STAND</t>
  </si>
  <si>
    <t>CORONA MEXICAN TRAY</t>
  </si>
  <si>
    <t>MILK PAN RED RETROSPOT</t>
  </si>
  <si>
    <t>DAIRY MAID  PUDDING BOWL</t>
  </si>
  <si>
    <t>DAIRY MAID LARGE MILK JUG</t>
  </si>
  <si>
    <t>C489534</t>
  </si>
  <si>
    <t>WOOLLY HAT SOCK GLOVE ADVENT STRING</t>
  </si>
  <si>
    <t>C489535</t>
  </si>
  <si>
    <t>D</t>
  </si>
  <si>
    <t>Discount</t>
  </si>
  <si>
    <t>CHARLOTTE BAG , SUKI DESIGN</t>
  </si>
  <si>
    <t>12 PENCILS SMALL TUBE RED SPOTTY</t>
  </si>
  <si>
    <t>HEARTS  STICKERS</t>
  </si>
  <si>
    <t>WOODLAND  STICKERS</t>
  </si>
  <si>
    <t>BLACK PIRATE TREASURE CHEST</t>
  </si>
  <si>
    <t>SKULLS  DESIGN  COTTON TOTE BAG</t>
  </si>
  <si>
    <t>LUNCH BAG  BLACK SKULL.</t>
  </si>
  <si>
    <t>LARGE CAMPHOR WOOD FIELD MUSHROOM</t>
  </si>
  <si>
    <t>47504K</t>
  </si>
  <si>
    <t>ENGLISH ROSE GARDEN SECATEURS</t>
  </si>
  <si>
    <t>47504F</t>
  </si>
  <si>
    <t>ENGLISH ROSE TORCH</t>
  </si>
  <si>
    <t>WHITE DOVE HONEYCOMB PAPER GARLAND</t>
  </si>
  <si>
    <t>SET OF 12 LILY BOTANICAL T-LIGHTS</t>
  </si>
  <si>
    <t>SLATE TILE NATURAL HANGING</t>
  </si>
  <si>
    <t>SET 12 KIDS COLOUR  CHALK STICKS</t>
  </si>
  <si>
    <t>84952B</t>
  </si>
  <si>
    <t>BLACK LOVE BIRD T-LIGHT HOLDER</t>
  </si>
  <si>
    <t>PHOTO CUBE</t>
  </si>
  <si>
    <t>3 STRIPEY MICE FELTCRAFT</t>
  </si>
  <si>
    <t>FELTCRAFT BUTTERFLY HEARTS</t>
  </si>
  <si>
    <t>SAVE THE PLANET COTTON TOTE BAG</t>
  </si>
  <si>
    <t>WOODLAND DESIGN  COTTON TOTE BAG</t>
  </si>
  <si>
    <t>SKULL SHOULDER BAG</t>
  </si>
  <si>
    <t>PORCELAIN T-LIGHT HOLDERS ASSORTED</t>
  </si>
  <si>
    <t>RED STAR CARD HOLDER</t>
  </si>
  <si>
    <t>CHRISTMAS HANGING TREE WITH BELL</t>
  </si>
  <si>
    <t>PINK STRIPE HOT WATER BOTTLE</t>
  </si>
  <si>
    <t>85170A</t>
  </si>
  <si>
    <t>SET/6 IVORY BIRD T-LIGHT CANDLES</t>
  </si>
  <si>
    <t>85033S</t>
  </si>
  <si>
    <t>SET/6 SILVER REINDEER T-LIGHTS</t>
  </si>
  <si>
    <t>SET/6 BLACK SNOWFLAKE T-LIGHTS</t>
  </si>
  <si>
    <t>RAIN HAT WITH RED SPOTS</t>
  </si>
  <si>
    <t>WISE MAN STAR SHAPE EGG PAN</t>
  </si>
  <si>
    <t>51012C</t>
  </si>
  <si>
    <t>FEATHER DUSTER, COAL BLACK</t>
  </si>
  <si>
    <t>84671B</t>
  </si>
  <si>
    <t>CROCHET BEAR WITH BLUE STRIPES</t>
  </si>
  <si>
    <t>SMALL SKULL WINDMILL</t>
  </si>
  <si>
    <t>72 ROUND PINK DOILIES</t>
  </si>
  <si>
    <t>SET OF 20 KIDS COOKIE CUTTERS</t>
  </si>
  <si>
    <t>STRAWBERRY BATH SPONGE</t>
  </si>
  <si>
    <t>WATERMELON BATH SPONGE</t>
  </si>
  <si>
    <t>SANDWICH BATH SPONGE</t>
  </si>
  <si>
    <t>17164D</t>
  </si>
  <si>
    <t>ASS COL SMALL SAND FROG P'WEIGHT</t>
  </si>
  <si>
    <t>S/6 WOODEN SKITTLES IN COTTON BAG</t>
  </si>
  <si>
    <t>85170D</t>
  </si>
  <si>
    <t>SET/6 PINK BIRD T-LIGHT CANDLES</t>
  </si>
  <si>
    <t>17091J</t>
  </si>
  <si>
    <t>VANILLA INCENSE IN TIN</t>
  </si>
  <si>
    <t>12 MINI TOADSTOOL PEGS</t>
  </si>
  <si>
    <t>TOAST ITS - FAIRY FLOWER</t>
  </si>
  <si>
    <t>TOAST ITS - DINOSAUR</t>
  </si>
  <si>
    <t>GLASS STAR FROSTED T-LIGHT HOLDER</t>
  </si>
  <si>
    <t>HI TEC ALPINE HAND WARMER</t>
  </si>
  <si>
    <t>LOVE HEART POCKET WARMER</t>
  </si>
  <si>
    <t>ASSORTED TUTTI FRUTTI BRACELET</t>
  </si>
  <si>
    <t>TRADITIONAL WOODEN CATCH CUP GAME</t>
  </si>
  <si>
    <t>QUEEN OF SKIES LUGGAGE TAG</t>
  </si>
  <si>
    <t>MODERN FLORAL STATIONERY SET</t>
  </si>
  <si>
    <t>LOLITA  DESIGN  COTTON TOTE BAG</t>
  </si>
  <si>
    <t>JUMBO BAG OWLS</t>
  </si>
  <si>
    <t>JUMBO BAG WOODLAND ANIMALS</t>
  </si>
  <si>
    <t>POP ART PEN CASE &amp; PENS</t>
  </si>
  <si>
    <t>DINOSAUR LUNCHBOX WITH CUTLERY</t>
  </si>
  <si>
    <t>SILVER FINCH DECORATION</t>
  </si>
  <si>
    <t>SMALL CAMPHOR WOOD FIELD  MUSHROOM</t>
  </si>
  <si>
    <t>CAMPHOR WOOD PORTOBELLO MUSHROOM</t>
  </si>
  <si>
    <t>BIRD BOX CHRISTMAS TREE DECORATION</t>
  </si>
  <si>
    <t>SET/6 BLACK GLITTER REINDEER CANDLE</t>
  </si>
  <si>
    <t>VINTAGE BILLBOARD DRINK ME MUG</t>
  </si>
  <si>
    <t>VINTAGE BILLBOARD LOVE/HATE MUG</t>
  </si>
  <si>
    <t>CREAM HEART CARD HOLDER</t>
  </si>
  <si>
    <t>DOOR MAT SWEET HOME</t>
  </si>
  <si>
    <t>GLITTER HANGING BUTTERFLY STRING</t>
  </si>
  <si>
    <t>72801F</t>
  </si>
  <si>
    <t>S/4 FESTIVE RED DINNER CANDLES</t>
  </si>
  <si>
    <t>84898F</t>
  </si>
  <si>
    <t>YELLOW FLOWERS FELT HANDBAG KIT</t>
  </si>
  <si>
    <t>85231G</t>
  </si>
  <si>
    <t>ORANGE SCENTED SET/9 T-LIGHTS</t>
  </si>
  <si>
    <t>RECIPE BOX WITH METAL HEART</t>
  </si>
  <si>
    <t>RED FLORAL FELTCRAFT SHOULDER BAG</t>
  </si>
  <si>
    <t>GREEN FLORAL FELTCRAFT SHOULDER BAG</t>
  </si>
  <si>
    <t>GARLAND WITH HEARTS AND BELLS</t>
  </si>
  <si>
    <t>72800E</t>
  </si>
  <si>
    <t>4 IVORY DINNER CANDLES SILVER FLOCK</t>
  </si>
  <si>
    <t>84899F</t>
  </si>
  <si>
    <t>YELLOW PURPLE DAISY FELT PURSE KIT</t>
  </si>
  <si>
    <t>FLORAL FOLK STATIONERY SET</t>
  </si>
  <si>
    <t>RED WHITE SCARF  HOT WATER BOTTLE</t>
  </si>
  <si>
    <t>75013B</t>
  </si>
  <si>
    <t>STRING OF 8 BUTTERFLIES,PINK</t>
  </si>
  <si>
    <t>72800F</t>
  </si>
  <si>
    <t>4 IVORY DINNER CANDLES GOLD FLOCK</t>
  </si>
  <si>
    <t>72801G</t>
  </si>
  <si>
    <t>S/4 BURGUNDY WINE DINNER CANDLES</t>
  </si>
  <si>
    <t>DOOR MAT WELCOME PUPPIES</t>
  </si>
  <si>
    <t>DOOR MAT ENGLISH ROSE</t>
  </si>
  <si>
    <t>PINK HEART DOTS HOT WATER BOTTLE</t>
  </si>
  <si>
    <t>SET 3 WICKER LOG BASKETS</t>
  </si>
  <si>
    <t>FRYING PAN UNION FLAG</t>
  </si>
  <si>
    <t>LIGHT BIRD HOUSE TREE DECORATION</t>
  </si>
  <si>
    <t>BROWN CHECK CAT DOORSTOP</t>
  </si>
  <si>
    <t>GARLAND WITH STARS AND BELLS</t>
  </si>
  <si>
    <t>85040B</t>
  </si>
  <si>
    <t>SET/4 BLUE FLOWER CANDLES IN BOWL</t>
  </si>
  <si>
    <t>SLEEPING CAT ERASERS</t>
  </si>
  <si>
    <t>BIG DOUGHNUT FRIDGE MAGNETS</t>
  </si>
  <si>
    <t>FUNKY MONKEY MUG</t>
  </si>
  <si>
    <t>FLORAL ELEPHANT SOFT TOY</t>
  </si>
  <si>
    <t>SET/4 PINK ORCHID CANDLES IN BOWL</t>
  </si>
  <si>
    <t>RED HANGING METAL STAR TLIGHT HLDR</t>
  </si>
  <si>
    <t>C489538</t>
  </si>
  <si>
    <t>CAKE STAND VICTORIAN FILIGREE MED</t>
  </si>
  <si>
    <t>C489541</t>
  </si>
  <si>
    <t>SET OF KITCHEN WALL  STICKERS</t>
  </si>
  <si>
    <t>BLACK AND WHITE PAISLEY FLOWER MUG</t>
  </si>
  <si>
    <t>C489543</t>
  </si>
  <si>
    <t>PACK OF 12 SKULL TISSUES</t>
  </si>
  <si>
    <t>84251F</t>
  </si>
  <si>
    <t>GREETING CARD, RITA</t>
  </si>
  <si>
    <t>SET/20 RED SPOTTY PAPER NAPKINS</t>
  </si>
  <si>
    <t>PLACE SETTING WHITE STAR</t>
  </si>
  <si>
    <t>WIRE FLOWER T-LIGHT HOLDER</t>
  </si>
  <si>
    <t>ASSORTED FRAGRANCE BATH CONFETTI</t>
  </si>
  <si>
    <t>SMALL FOLKART STAR CHRISTMAS DEC</t>
  </si>
  <si>
    <t>SMALLFOLKART BAUBLE CHRISTMAS DEC</t>
  </si>
  <si>
    <t>SMALL FOLKART CHRISTMAS TREE DEC</t>
  </si>
  <si>
    <t>PREMIUM CHURCH CANDLE</t>
  </si>
  <si>
    <t>ABSTRACT CIRCLES POCKET BOOK</t>
  </si>
  <si>
    <t>GREEN FERN POCKET BOOK</t>
  </si>
  <si>
    <t>MIRROR MOSAIC T-LIGHT HOLDER</t>
  </si>
  <si>
    <t>BIRD HOUSE HOT WATER BOTTLE</t>
  </si>
  <si>
    <t>RIBBON REEL FLORA + FAUNA</t>
  </si>
  <si>
    <t>RIBBON REEL HEARTS DESIGN</t>
  </si>
  <si>
    <t>SET OF 6 GIRLS CELEBRATION CANDLES</t>
  </si>
  <si>
    <t>SET 6 FOOTBALL CELEBRATION CANDLES</t>
  </si>
  <si>
    <t>SET/20 FRUIT SALAD PAPER NAPKINS</t>
  </si>
  <si>
    <t>SMALL HEART MEASURING SPOONS</t>
  </si>
  <si>
    <t>47591B</t>
  </si>
  <si>
    <t>SCOTTIES DES CHILD'S APRON</t>
  </si>
  <si>
    <t>PINK HEART SHAPE EGG FRYING PAN</t>
  </si>
  <si>
    <t>ENGLISH ROSE DESIGN PEG BAG</t>
  </si>
  <si>
    <t>84933A</t>
  </si>
  <si>
    <t>LARGE GREEN PEONY FOLDING STOOL</t>
  </si>
  <si>
    <t>84933B</t>
  </si>
  <si>
    <t>LARGE PINK PEONY FOLDING STOOL</t>
  </si>
  <si>
    <t>GREEN FERN JOURNAL</t>
  </si>
  <si>
    <t>FAMILY ALBUM WHITE PICTURE FRAME</t>
  </si>
  <si>
    <t>FRYING PAN BLUE POLKADOT</t>
  </si>
  <si>
    <t>TEA TIME CAKE STAND IN GIFT BOX</t>
  </si>
  <si>
    <t>84782A</t>
  </si>
  <si>
    <t>PINK 3 TIER GLASS PLATE STAND</t>
  </si>
  <si>
    <t>84782C</t>
  </si>
  <si>
    <t>GREEN 3 TIER GLASS PLATE STAND</t>
  </si>
  <si>
    <t>MA CAMPAGNE CUTLERY BOX</t>
  </si>
  <si>
    <t>85061W</t>
  </si>
  <si>
    <t>WHITE JEWELLED HEART DECORATION</t>
  </si>
  <si>
    <t>SWALLOW CIGAR BOX MATCHES</t>
  </si>
  <si>
    <t>TEA BAG PLATE RED SPOTTY</t>
  </si>
  <si>
    <t>85099C</t>
  </si>
  <si>
    <t>JUMBO  BAG BAROQUE BLACK WHITE</t>
  </si>
  <si>
    <t>PAPER CHAIN KIT SKULLS</t>
  </si>
  <si>
    <t>LADLE LOVE HEART RED</t>
  </si>
  <si>
    <t>RED LOVE HEART SHAPE CUP</t>
  </si>
  <si>
    <t>JAPANESE CROCHETED ANIMAL</t>
  </si>
  <si>
    <t>MOROCCAN TEA GLASS</t>
  </si>
  <si>
    <t>APPLE BATH SPONGE</t>
  </si>
  <si>
    <t>VINTAGE RED TEATIME MUG</t>
  </si>
  <si>
    <t>GLASS CHALICE BLUE  LARGE</t>
  </si>
  <si>
    <t>GLASS CHALICE GREEN  LARGE</t>
  </si>
  <si>
    <t>SKULL LUNCHBOX WITH CUTLERY</t>
  </si>
  <si>
    <t>FOOD CONTAINER SET 3 LOVE HEART</t>
  </si>
  <si>
    <t>STRAWBERRY LUNCHBOX WITH CUTLERY</t>
  </si>
  <si>
    <t>EASTER TREE YELLOW BIRDS</t>
  </si>
  <si>
    <t>WHITE BELL HONEYCOMB PAPER GARLAND</t>
  </si>
  <si>
    <t>GLASS CHICKEN BUTTER DISH</t>
  </si>
  <si>
    <t>ROSE CARAVAN DOORSTOP</t>
  </si>
  <si>
    <t>35004P</t>
  </si>
  <si>
    <t>SET OF 3 PINK FLYING DUCKS</t>
  </si>
  <si>
    <t>84706F</t>
  </si>
  <si>
    <t>RED PEONY TABLE CLOCK</t>
  </si>
  <si>
    <t>ASSORTED SANSKRIT MINI NOTEBOOK</t>
  </si>
  <si>
    <t>85231L</t>
  </si>
  <si>
    <t>LAVENDER SCENTED SET/9 T-LIGHTS</t>
  </si>
  <si>
    <t>85049B</t>
  </si>
  <si>
    <t>LUSH GREENS RIBBONS</t>
  </si>
  <si>
    <t>85049G</t>
  </si>
  <si>
    <t>CHOCOLATE BOX RIBBONS</t>
  </si>
  <si>
    <t>4 WILDFLOWER BOTANICAL CANDLES</t>
  </si>
  <si>
    <t>4 LAVENDER BOTANICAL DINNER CANDLES</t>
  </si>
  <si>
    <t>4 VANILLA BOTANICAL CANDLES</t>
  </si>
  <si>
    <t>SET 12 WILDFLOWER BOTANICAL T-LIGHT</t>
  </si>
  <si>
    <t>84968C</t>
  </si>
  <si>
    <t>S/16 VINTAGE PISTACHIO CUTLERY</t>
  </si>
  <si>
    <t>84968F</t>
  </si>
  <si>
    <t>S/16 VINTAGE SKY BLUE CUTLERY</t>
  </si>
  <si>
    <t>84968B</t>
  </si>
  <si>
    <t>S/16 VINTAGE IVORY CUTLERY</t>
  </si>
  <si>
    <t>OPEN CLOSED METAL SIGN</t>
  </si>
  <si>
    <t>TEA TIME TEAPOT IN GIFT BOX</t>
  </si>
  <si>
    <t>C489549</t>
  </si>
  <si>
    <t>C489551</t>
  </si>
  <si>
    <t xml:space="preserve">KEY FOB , FRONT  DOOR </t>
  </si>
  <si>
    <t xml:space="preserve">KEY FOB , BACK DOOR </t>
  </si>
  <si>
    <t>KEY FOB , SHED</t>
  </si>
  <si>
    <t>SET/4 BADGES WOODLAND ANIMAL</t>
  </si>
  <si>
    <t>85049H</t>
  </si>
  <si>
    <t>URBAN BLACK RIBBONS</t>
  </si>
  <si>
    <t>LETS GO SHOPPING COTTON TOTE BAG</t>
  </si>
  <si>
    <t>RABBIT  DESIGN  COTTON TOTE BAG</t>
  </si>
  <si>
    <t>C489553</t>
  </si>
  <si>
    <t>35004S</t>
  </si>
  <si>
    <t>SET OF 3 SILVER FLYING DUCKS</t>
  </si>
  <si>
    <t>35001W</t>
  </si>
  <si>
    <t>HAND OPEN SHAPE DECO.WHITE</t>
  </si>
  <si>
    <t>C489554</t>
  </si>
  <si>
    <t>35001B</t>
  </si>
  <si>
    <t>HAND OPEN SHAPE BLACK</t>
  </si>
  <si>
    <t>C489555</t>
  </si>
  <si>
    <t>FIRST AID TIN</t>
  </si>
  <si>
    <t>LAVENDER SCENTED FABRIC HEART</t>
  </si>
  <si>
    <t>36 PENCILS TUBE RED SPOTTY</t>
  </si>
  <si>
    <t>WOODEN PICTURE FRAME WHITE FINISH</t>
  </si>
  <si>
    <t>ROSE FOLKART HEART DECORATIONS</t>
  </si>
  <si>
    <t>12 PENCILS SMALL TUBE SKULL</t>
  </si>
  <si>
    <t>BLUE ROSE FABRIC MIRROR</t>
  </si>
  <si>
    <t>PINK ROSE FABRIC MIRROR</t>
  </si>
  <si>
    <t>12 PENCILS TALL TUBE RED SPOTTY</t>
  </si>
  <si>
    <t>36 PENCILS TUBE WOODLAND</t>
  </si>
  <si>
    <t>COSY SLIPPER SHOES LARGE RED</t>
  </si>
  <si>
    <t>COSY SLIPPER SHOES SMALL  RED</t>
  </si>
  <si>
    <t>POCKET BAG PINK PAISELY BROWN SPOT</t>
  </si>
  <si>
    <t>BABY MOUSE RED GINGHAM DRESS</t>
  </si>
  <si>
    <t>12 PENCILS TALL TUBE WOODLAND</t>
  </si>
  <si>
    <t>85232A</t>
  </si>
  <si>
    <t>SET/3 POLKA DOT STACKING TINS</t>
  </si>
  <si>
    <t>VINTAGE UNION JACK DOORSTOP</t>
  </si>
  <si>
    <t>VINTAGE UNION JACK BUNTING</t>
  </si>
  <si>
    <t>VINTAGE UNION JACK CUSHION COVER</t>
  </si>
  <si>
    <t>RED/WHITE DOT MINI CASES</t>
  </si>
  <si>
    <t>RED SPOTTY PURSE</t>
  </si>
  <si>
    <t>WHITE SWEETHEARTS CABINET 4 DRAWERS</t>
  </si>
  <si>
    <t>RED BIRD HOUSE TREE DECORATION</t>
  </si>
  <si>
    <t>16169D</t>
  </si>
  <si>
    <t>WRAP WINTER FOREST</t>
  </si>
  <si>
    <t>16169C</t>
  </si>
  <si>
    <t>WRAP BLUE REINDEER</t>
  </si>
  <si>
    <t>BASKET OF TOADSTOOLS</t>
  </si>
  <si>
    <t>SET OF 72 RETRO SPOT PAPER  DOILIES</t>
  </si>
  <si>
    <t>RED SPOTTY SHOPPING BAG</t>
  </si>
  <si>
    <t>SET OF 3 CASES WOODLAND DESIGN</t>
  </si>
  <si>
    <t>WOODLAND STORAGE BOX LARGE</t>
  </si>
  <si>
    <t>WOODLAND STORAGE BOX SMALL</t>
  </si>
  <si>
    <t>CHRISTMAS TOILET ROLL</t>
  </si>
  <si>
    <t>WHITE TISSUE REAM</t>
  </si>
  <si>
    <t>TRADITIONAL WOODEN SKIPPING ROPE</t>
  </si>
  <si>
    <t>17165B</t>
  </si>
  <si>
    <t>ASS COL LARGE SAND GECKO P'WEIGHT</t>
  </si>
  <si>
    <t>17165D</t>
  </si>
  <si>
    <t>ASS COL LARGE SAND FROG P'WEIGHT</t>
  </si>
  <si>
    <t>16161C</t>
  </si>
  <si>
    <t>WRAP SPEED DEMONS</t>
  </si>
  <si>
    <t>CRYSTAL STILETTO PHONE CHARM</t>
  </si>
  <si>
    <t>PINK STAR CHRISTMAS DECORATION</t>
  </si>
  <si>
    <t>PINK STOCKING CHRISTMAS DECORATION</t>
  </si>
  <si>
    <t>CRYSTAL SEA HORSE PHONE CHARM</t>
  </si>
  <si>
    <t>WHITE CHRISTMAS TREE DECORATION</t>
  </si>
  <si>
    <t>BLUE CRYSTAL BOOT PHONE CHARM</t>
  </si>
  <si>
    <t>CLEAR CRYSTAL STAR PHONE CHARM</t>
  </si>
  <si>
    <t>PINK CRYSTAL HEART PHONE CHARM</t>
  </si>
  <si>
    <t>CRYSTAL KEY+LOCK PHONE CHARM</t>
  </si>
  <si>
    <t>17108D</t>
  </si>
  <si>
    <t>FLOWER FAIRY SUMMER BOUQUET SACHET</t>
  </si>
  <si>
    <t>90125A</t>
  </si>
  <si>
    <t>PINK BERTIE GLASS BEAD BAG CHARM</t>
  </si>
  <si>
    <t>PINK CRYSTAL GUITAR PHONE CHARM</t>
  </si>
  <si>
    <t>BUDDHA INCENSE HOLDER ASSORTED</t>
  </si>
  <si>
    <t>SET/12 FUNKY FELT FLOWER PEG IN BAG</t>
  </si>
  <si>
    <t>ELEPHANT TOY WITH BLUE T-SHIRT</t>
  </si>
  <si>
    <t>BLACK FACE LAMB WITH PANTS</t>
  </si>
  <si>
    <t>ANGEL DECORATION STARS ON DRESS</t>
  </si>
  <si>
    <t>WORLD WAR 2 GLIDERS ASSTD DESIGNS</t>
  </si>
  <si>
    <t>36 PENCILS TUBE SKULLS</t>
  </si>
  <si>
    <t>84029C</t>
  </si>
  <si>
    <t>BROWN FURRY HOT WATER BOTTLE</t>
  </si>
  <si>
    <t>WHITE CHRISTMAS STAR DECORATION</t>
  </si>
  <si>
    <t>WHITE CHRISTMAS HEART DECORATION</t>
  </si>
  <si>
    <t>STAR  T-LIGHT HOLDER</t>
  </si>
  <si>
    <t>CHRISTMAS TREE T-LIGHT HOLDER</t>
  </si>
  <si>
    <t>35051B</t>
  </si>
  <si>
    <t>PINK BEADED CONE CHRISTMAS</t>
  </si>
  <si>
    <t>SET/6 GINGERBREAD STAR T-LIGHTS</t>
  </si>
  <si>
    <t>SET/3 CHRISTMAS DECOUPAGE CANDLES</t>
  </si>
  <si>
    <t>6 CHOCOLATE LOVE HEART T-LIGHTS</t>
  </si>
  <si>
    <t>84559A</t>
  </si>
  <si>
    <t>3D SHEET OF DOG STICKERS</t>
  </si>
  <si>
    <t>TOP SECRET PEN SET</t>
  </si>
  <si>
    <t>JAZZ HEARTS SPIRAL NOTEPAD</t>
  </si>
  <si>
    <t>JAZZ HEARTS PURSE NOTEBOOK</t>
  </si>
  <si>
    <t>SET/6 GINGERBREAD TREE T-LIGHTS</t>
  </si>
  <si>
    <t>PLACE SETTING WHITE HEART</t>
  </si>
  <si>
    <t>PINK GINGHAM ROSE CUSHION COVER</t>
  </si>
  <si>
    <t>DOVE DECORATION PAINTED ZINC</t>
  </si>
  <si>
    <t>HEART DECORATION WITH PEARLS</t>
  </si>
  <si>
    <t>STAR DECORATION PAINTED ZINC</t>
  </si>
  <si>
    <t>PAINTED METAL TREE WITH HOLLY BELLS</t>
  </si>
  <si>
    <t>GLITTER CHRISTMAS TREE WITH BELLS</t>
  </si>
  <si>
    <t>COSMETIC BAG VINTAGE ROSE PAISLEY</t>
  </si>
  <si>
    <t>SIX STRING SCANDINAVIAN HEART DECS</t>
  </si>
  <si>
    <t>PARTY BUNTING</t>
  </si>
  <si>
    <t>MOROCCAN BEATEN METAL DISH</t>
  </si>
  <si>
    <t>STRING OF 20 ROSE LIGHTS</t>
  </si>
  <si>
    <t>WHITE BEADED GARLAND STRING 20LIGHT</t>
  </si>
  <si>
    <t>PINK SPOTTY CHILDS UMBRELLA</t>
  </si>
  <si>
    <t>NEW BAROQUE WALL MIRROR</t>
  </si>
  <si>
    <t>PINK AND LILAC QUILTED THROW</t>
  </si>
  <si>
    <t>84910A</t>
  </si>
  <si>
    <t>PINK PAISLEY CUSHION COVER</t>
  </si>
  <si>
    <t>WHITE ROSE C/COVER</t>
  </si>
  <si>
    <t>MOUSE TOY WITH PINK T-SHIRT</t>
  </si>
  <si>
    <t>12 ASS ZINC CHRISTMAS DECORATIONS</t>
  </si>
  <si>
    <t>ANGEL DECORATION PAINTED ZINC</t>
  </si>
  <si>
    <t>C489563</t>
  </si>
  <si>
    <t>90125C</t>
  </si>
  <si>
    <t>TURQUOISE BERTIE GLASS BEAD CHARM</t>
  </si>
  <si>
    <t>90125D</t>
  </si>
  <si>
    <t>PURPLE BERTIE GLASS BEAD BAG CHARM</t>
  </si>
  <si>
    <t>90214H</t>
  </si>
  <si>
    <t>LETTER "H" BLING KEY RING</t>
  </si>
  <si>
    <t>C489565</t>
  </si>
  <si>
    <t>RED SPOTTY CHILDS APRON</t>
  </si>
  <si>
    <t>VINTAGE KEEPSAKE BOX PINK FLOWER</t>
  </si>
  <si>
    <t>METAL SHELF WITH RAIL</t>
  </si>
  <si>
    <t>CREAM SWEETHEART WALL CABINET</t>
  </si>
  <si>
    <t>72 SWEETHEART FAIRY CAKE CASES</t>
  </si>
  <si>
    <t>ASSTD FRUIT+FLOWERS FRIDGE MAGNETS</t>
  </si>
  <si>
    <t>COLUMBIAN CANDLE ROUND</t>
  </si>
  <si>
    <t>ASSORTED TUTTI FRUTTI PHOTO FRAME</t>
  </si>
  <si>
    <t>MIRRORED DISCO BALL</t>
  </si>
  <si>
    <t>SWEETHEART KEY CABINET</t>
  </si>
  <si>
    <t>CREAM SWEETHEART LETTER RACK</t>
  </si>
  <si>
    <t>85162A</t>
  </si>
  <si>
    <t>SILVER RETRODISC LAMPSHADE</t>
  </si>
  <si>
    <t>WOOD AND GLASS MEDICINE CABINET</t>
  </si>
  <si>
    <t>WHITE CHRISTMAS GARLAND STARS TREES</t>
  </si>
  <si>
    <t>84706C</t>
  </si>
  <si>
    <t>PINK FLOCK TABLE CLOCK</t>
  </si>
  <si>
    <t>C489568</t>
  </si>
  <si>
    <t>RED SPOTTY BISCUIT TIN</t>
  </si>
  <si>
    <t>C489570</t>
  </si>
  <si>
    <t>SILVER T-LIGHT SETTING</t>
  </si>
  <si>
    <t>HANGING BAUBLE T-LIGHT HOLDER LARGE</t>
  </si>
  <si>
    <t>HEART IVORY TRELLIS SMALL</t>
  </si>
  <si>
    <t>HEART GARLAND RUSTIC PADDED</t>
  </si>
  <si>
    <t>SET OF 4 DIAMOND NAPKIN RINGS</t>
  </si>
  <si>
    <t>72799D</t>
  </si>
  <si>
    <t>BLUE PILLAR CANDLE SILVER FLOCK</t>
  </si>
  <si>
    <t>85036C</t>
  </si>
  <si>
    <t>ROSE 1 WICK MORRIS BOXED CANDLE</t>
  </si>
  <si>
    <t>SILVER GLASS T-LIGHT SET</t>
  </si>
  <si>
    <t>COSY SLIPPER SHOES LARGE GREEN</t>
  </si>
  <si>
    <t>85071D</t>
  </si>
  <si>
    <t>CHARLIE+LOLA MY ROOM DOOR SIGN</t>
  </si>
  <si>
    <t>PANDA AND BUNNIES STICKER SHEET</t>
  </si>
  <si>
    <t>VINTAGE CARAVAN GREETING CARD</t>
  </si>
  <si>
    <t>VINTAGE KID DOLLY CARD</t>
  </si>
  <si>
    <t>TEA PARTY BIRTHDAY CARD</t>
  </si>
  <si>
    <t>SMALL MEDINA STAMPED METAL BOWL</t>
  </si>
  <si>
    <t>PACK OF 12 PINK SPOT TISSUES</t>
  </si>
  <si>
    <t>HEART SHAPED MIRROR</t>
  </si>
  <si>
    <t>SMALL GLASS HEART TRINKET POT</t>
  </si>
  <si>
    <t>47021G</t>
  </si>
  <si>
    <t>SET/6 BEAD COASTERS GAUZE BAG GOLD</t>
  </si>
  <si>
    <t>GARDEN METAL SIGN</t>
  </si>
  <si>
    <t>SET OF 6 HEART CHOPSTICKS</t>
  </si>
  <si>
    <t>MOBILE VINTAGE HEARTS</t>
  </si>
  <si>
    <t>BEACH HUT PHOTO FRAME</t>
  </si>
  <si>
    <t>EMBOSSED FLOWER TRELLIS PHOTO FRAME</t>
  </si>
  <si>
    <t>FRENCH ENAMEL WATER BASIN</t>
  </si>
  <si>
    <t>DAIRY MAID TRADITIONAL TEAPOT</t>
  </si>
  <si>
    <t>FRENCH ENAMEL POT W LID</t>
  </si>
  <si>
    <t>DAIRY MAID SUGAR JAM BOWL</t>
  </si>
  <si>
    <t>DAIRY MAID CERAMIC TOASTRACK</t>
  </si>
  <si>
    <t>37444A</t>
  </si>
  <si>
    <t>YELLOW BREAKFAST CUP AND SAUCER</t>
  </si>
  <si>
    <t>37444B</t>
  </si>
  <si>
    <t>BLUE BREAKFAST CUP AND SAUCER</t>
  </si>
  <si>
    <t>37444C</t>
  </si>
  <si>
    <t>PINK BREAKFAST CUP AND SAUCER</t>
  </si>
  <si>
    <t>FRENCH ENAMEL UTENSIL HOLDER</t>
  </si>
  <si>
    <t>85028L</t>
  </si>
  <si>
    <t>FRENCH CHATEAU LARGE FRUIT BOWL</t>
  </si>
  <si>
    <t>85028S</t>
  </si>
  <si>
    <t>FRENCH CHATEAU SMALL FRUITBOWL</t>
  </si>
  <si>
    <t>SET OF 72 IVORY PAPER DOILIES</t>
  </si>
  <si>
    <t>84985B</t>
  </si>
  <si>
    <t>SET OF 72 BLACK PAPER DOILIES</t>
  </si>
  <si>
    <t>84985A</t>
  </si>
  <si>
    <t>SET OF 72 GREEN PAPER DOILIES</t>
  </si>
  <si>
    <t>VINTAGE BILLBOARD MUG</t>
  </si>
  <si>
    <t>VINTAGE RED MUG</t>
  </si>
  <si>
    <t>VINTAGE BILLBOARD TEA MUG</t>
  </si>
  <si>
    <t>SPOTTY  HOME SWEET HOME DOORMAT</t>
  </si>
  <si>
    <t>DOOR MAT BIRD ON THE WIRE</t>
  </si>
  <si>
    <t>PINK FLOWER CROCHET FOOD COVER</t>
  </si>
  <si>
    <t>RED FLOWER CROCHET FOOD COVER</t>
  </si>
  <si>
    <t>CHERRY CROCHET FOOD COVER</t>
  </si>
  <si>
    <t>STRAWBERRY RAFFIA FOOD COVER</t>
  </si>
  <si>
    <t>SET OF 6 STRAWBERRY CHOPSTICKS</t>
  </si>
  <si>
    <t>CERAMIC BIRDHOUSE FINCH BLUE ROOF</t>
  </si>
  <si>
    <t>CERAMIC BIRDHOUSE RED ROOF SMALL</t>
  </si>
  <si>
    <t>CERAMIC BIRDHOUSE BUTTERFLY SMALL</t>
  </si>
  <si>
    <t>CERAMIC BIRDHOUSE CRESTED TIT SMALL</t>
  </si>
  <si>
    <t>CHRISTMAS CARD SINGING ANGEL</t>
  </si>
  <si>
    <t>ROBIN CHRISTMAS CARD</t>
  </si>
  <si>
    <t>S/15 SILVER GLASS BAUBLES IN BAG</t>
  </si>
  <si>
    <t>GLASS HEART T-LIGHT HOLDER</t>
  </si>
  <si>
    <t>VINTAGE UNION JACK APRON</t>
  </si>
  <si>
    <t>18096C</t>
  </si>
  <si>
    <t>WHITE ROUND PORCELAIN TLIGHT HOLDER</t>
  </si>
  <si>
    <t>JARDIN ETCHED GLASS CANDLEHLDR LONG</t>
  </si>
  <si>
    <t>84247C</t>
  </si>
  <si>
    <t>PACK/12 BLUE REINDEER CARD</t>
  </si>
  <si>
    <t>84509A</t>
  </si>
  <si>
    <t>ENGLISH ROSE PLACEMATS</t>
  </si>
  <si>
    <t>84510A</t>
  </si>
  <si>
    <t>SET OF 4 ENGLISH ROSE COASTERS</t>
  </si>
  <si>
    <t>LARGE FIBRE OPTIC CHRISTMAS TREE</t>
  </si>
  <si>
    <t>SEWING SUSAN 21 NEEDLE SET</t>
  </si>
  <si>
    <t>40018F</t>
  </si>
  <si>
    <t>CHERRY DESIGN PAPERLANTERNS</t>
  </si>
  <si>
    <t>40018E</t>
  </si>
  <si>
    <t>TEA TIME PAPER LANTERNS</t>
  </si>
  <si>
    <t>SET 12 KIDS  WHITE CHALK STICKS</t>
  </si>
  <si>
    <t>GAOLERS KEYS DECORATIVE GARDEN</t>
  </si>
  <si>
    <t>FROG CANDLE</t>
  </si>
  <si>
    <t>DARK BIRD HOUSE TREE DECORATION</t>
  </si>
  <si>
    <t>SWISS CHALET TREE DECORATION</t>
  </si>
  <si>
    <t>POTTING SHED SEED TIN</t>
  </si>
  <si>
    <t>MOTORING TISSUE BOX</t>
  </si>
  <si>
    <t>HANGING FAIRY CAKE DECORATION</t>
  </si>
  <si>
    <t>17084J</t>
  </si>
  <si>
    <t>LOVE POTION MASALA INCENSE</t>
  </si>
  <si>
    <t>PINK GLASS CANDLEHOLDER</t>
  </si>
  <si>
    <t>COCKLE SHELL DISH</t>
  </si>
  <si>
    <t>PAPER BUNTING COLOURED LACE</t>
  </si>
  <si>
    <t>CAKE STAND WHITE TWO TIER LACE</t>
  </si>
  <si>
    <t>SET/6 GARDEN GNOME T-LIGHT CANDLES</t>
  </si>
  <si>
    <t>72798C</t>
  </si>
  <si>
    <t>SET/4 GARDEN ROSE DINNER CANDLE</t>
  </si>
  <si>
    <t>84288B</t>
  </si>
  <si>
    <t>SET/2 BLUE  NOODLE BASKETS</t>
  </si>
  <si>
    <t>CERAMIC BIRDHOUSE FINCH BLUE  LARGE</t>
  </si>
  <si>
    <t>CERAMIC BIRDHOUSE RED ROOF LARGE</t>
  </si>
  <si>
    <t>BROWN  PIRATE TREASURE CHEST</t>
  </si>
  <si>
    <t>47591C</t>
  </si>
  <si>
    <t>BLUE FAIRY CAKE CHILD'S APRON</t>
  </si>
  <si>
    <t>STAR PORTABLE TABLE LIGHT</t>
  </si>
  <si>
    <t>SNOWFLAKE PORTABLE TABLE LIGHT</t>
  </si>
  <si>
    <t>IVORY HANGING DECORATION  HEART</t>
  </si>
  <si>
    <t>85099F</t>
  </si>
  <si>
    <t>JUMBO BAG STRAWBERRY</t>
  </si>
  <si>
    <t>C489577</t>
  </si>
  <si>
    <t>TEA TIME TEA SET IN GIFT BOX</t>
  </si>
  <si>
    <t>C489578</t>
  </si>
  <si>
    <t>BLUE SPOTS  WRAP</t>
  </si>
  <si>
    <t>PINK  SPOTTY PLATE</t>
  </si>
  <si>
    <t>RED SPOTTY PEG BAG</t>
  </si>
  <si>
    <t>72799F</t>
  </si>
  <si>
    <t>IVORY PILLAR CANDLE GOLD FLOCK</t>
  </si>
  <si>
    <t>72799E</t>
  </si>
  <si>
    <t>IVORY PILLAR CANDLE SILVER FLOCK</t>
  </si>
  <si>
    <t>35001G</t>
  </si>
  <si>
    <t>HAND OPEN SHAPE GOLD</t>
  </si>
  <si>
    <t>VINTAGE GOLD TINSEL REEL</t>
  </si>
  <si>
    <t>72799C</t>
  </si>
  <si>
    <t>PINK PILLAR CANDLE SILVER FLOCK</t>
  </si>
  <si>
    <t>BLOKEY SILVER TOOL SET</t>
  </si>
  <si>
    <t>GIRLY PINK TOOL SET</t>
  </si>
  <si>
    <t>SET 3 RED SPOT TIN TEA,COFFEE,SUGAR</t>
  </si>
  <si>
    <t>RED SPOTTY BIG BOWL</t>
  </si>
  <si>
    <t>SET OF RED SALAD SERVERS</t>
  </si>
  <si>
    <t>85136C</t>
  </si>
  <si>
    <t>RED SHARK HELICOPTER</t>
  </si>
  <si>
    <t>PACK OF 60 DINOSAUR CAKE CASES</t>
  </si>
  <si>
    <t>PACK OF 72 SKULL CAKE CASES</t>
  </si>
  <si>
    <t>CACTI T-LIGHT CANDLES</t>
  </si>
  <si>
    <t>ROSES WHITE ROUND CANDLE</t>
  </si>
  <si>
    <t>ASSORTED COLOUR T-LIGHT HOLDER</t>
  </si>
  <si>
    <t>TABLE LAMP WHITE SHADE WOOD BASE</t>
  </si>
  <si>
    <t>COLOUR GLASS T-LIGHT HOLDER HANGING</t>
  </si>
  <si>
    <t>S/4 CACTI CANDLES</t>
  </si>
  <si>
    <t>71028B</t>
  </si>
  <si>
    <t>SILVER BLUE EGG T-LIGHT HOLDER</t>
  </si>
  <si>
    <t>72140F</t>
  </si>
  <si>
    <t>HAPPY ANNIVERSARY CANDLE LETTERS</t>
  </si>
  <si>
    <t>84970L</t>
  </si>
  <si>
    <t>SINGLE HEART ZINC T-LIGHT HOLDER</t>
  </si>
  <si>
    <t>RED ROSE AND LACE C/COVER</t>
  </si>
  <si>
    <t>84984D</t>
  </si>
  <si>
    <t>ORIENTAL RED C/COVER</t>
  </si>
  <si>
    <t>72799B</t>
  </si>
  <si>
    <t>PURPLE PILLAR CANDLE BLACK FLOCK</t>
  </si>
  <si>
    <t>84601A</t>
  </si>
  <si>
    <t>NEW BAROQUE IVORY CUSHION COVER</t>
  </si>
  <si>
    <t>WALL MOUNTED VINTAGE ORGANISER</t>
  </si>
  <si>
    <t>C489583</t>
  </si>
  <si>
    <t>72807B</t>
  </si>
  <si>
    <t>SET/3 OCEAN SCENT CANDLE JEWEL BOX</t>
  </si>
  <si>
    <t>72802C</t>
  </si>
  <si>
    <t>VANILLA SCENT CANDLE JEWELLED BOX</t>
  </si>
  <si>
    <t>LIBRARY LAMP</t>
  </si>
  <si>
    <t>6 HOOK JEWELLERY STAND BLACK DRESS</t>
  </si>
  <si>
    <t>72753A</t>
  </si>
  <si>
    <t>S/3 FLWR FAIRY LILLY CANDLES</t>
  </si>
  <si>
    <t>72750C</t>
  </si>
  <si>
    <t>F.FAIRY S/3 CANDLE/GLASS, ROSE</t>
  </si>
  <si>
    <t>C489587</t>
  </si>
  <si>
    <t>C489588</t>
  </si>
  <si>
    <t>WELCOME  WOODEN BLOCK LETTERS</t>
  </si>
  <si>
    <t>79323GR</t>
  </si>
  <si>
    <t>GREEN CHERRY LIGHTS</t>
  </si>
  <si>
    <t>C489589</t>
  </si>
  <si>
    <t>84341B</t>
  </si>
  <si>
    <t>SMALL PINK MAGIC CHRISTMAS TREE</t>
  </si>
  <si>
    <t>6 EGG HOUSE PAINTED WOOD</t>
  </si>
  <si>
    <t>GREEN CHRISTMAS TREE CARD HOLDER</t>
  </si>
  <si>
    <t>TWO DOOR CURIO CABINET</t>
  </si>
  <si>
    <t>S/4 GROOVY CAT MAGNETS</t>
  </si>
  <si>
    <t>WOOD STAMP SET FLOWERS</t>
  </si>
  <si>
    <t>DOOR MAT FRIENDSHIP</t>
  </si>
  <si>
    <t>DOOR MAT MULTICOLOUR STRIPE</t>
  </si>
  <si>
    <t>C489591</t>
  </si>
  <si>
    <t>79323B</t>
  </si>
  <si>
    <t>BLACK CHERRY LIGHTS</t>
  </si>
  <si>
    <t>VICTORIAN SEWING BOX MEDIUM</t>
  </si>
  <si>
    <t>3 HOOK PHOTO SHELF ANTIQUE WHITE</t>
  </si>
  <si>
    <t>FRENCH STYLE WIRE DOOR CABINET</t>
  </si>
  <si>
    <t>CREAM SWEETHEART SHELF + HOOKS</t>
  </si>
  <si>
    <t>84596B</t>
  </si>
  <si>
    <t>SMALL DOLLY MIX DESIGN ORANGE BOWL</t>
  </si>
  <si>
    <t>TEA TIME MUG IN GIFT BOX</t>
  </si>
  <si>
    <t>84535B</t>
  </si>
  <si>
    <t>FAIRY CAKES NOTEBOOK A6 SIZE</t>
  </si>
  <si>
    <t>84536B</t>
  </si>
  <si>
    <t>FAIRY CAKES NOTEBOOK A7 SIZE</t>
  </si>
  <si>
    <t>84596K</t>
  </si>
  <si>
    <t>JELLY BABIES YELLOW SMALL BOWL</t>
  </si>
  <si>
    <t>PIZZA SLICE DISH</t>
  </si>
  <si>
    <t>84596E</t>
  </si>
  <si>
    <t>SMALL LICORICE DES PINK BOWL</t>
  </si>
  <si>
    <t>84596G</t>
  </si>
  <si>
    <t>SMALL CHOCOLATES PINK BOWL</t>
  </si>
  <si>
    <t>72349B</t>
  </si>
  <si>
    <t>SET/6 PURPLE BUTTERFLY T-LIGHTS</t>
  </si>
  <si>
    <t>84534B</t>
  </si>
  <si>
    <t>FAIRY CAKE NOTEBOOK A5 SIZE</t>
  </si>
  <si>
    <t>CERAMIC CAKE DESIGN SPOTTED MUG</t>
  </si>
  <si>
    <t>CERAMIC CAKE DESIGN SPOTTED PLATE</t>
  </si>
  <si>
    <t>MINI CAKE STAND  HANGING STRAWBERY</t>
  </si>
  <si>
    <t>84508A</t>
  </si>
  <si>
    <t>CAMOFLAGE DESIGN TEDDY</t>
  </si>
  <si>
    <t>CERAMIC BOWL WITH LOVE HEART DESIGN</t>
  </si>
  <si>
    <t>84507C</t>
  </si>
  <si>
    <t>BLUE CIRCLES DESIGN MONKEY DOLL</t>
  </si>
  <si>
    <t>79302M</t>
  </si>
  <si>
    <t>ART LIGHTS,FUNK MONKEY</t>
  </si>
  <si>
    <t>C489592</t>
  </si>
  <si>
    <t>C489595</t>
  </si>
  <si>
    <t>GLASS CAKE STAND MIRRORED BASE</t>
  </si>
  <si>
    <t>RED SPOTTY EGG CUP</t>
  </si>
  <si>
    <t>FAIRY CAKE FLANNEL ASSORTED COLOUR</t>
  </si>
  <si>
    <t>CLEAR MILKSHAKE GLASS</t>
  </si>
  <si>
    <t>PINK MILKSHAKE GLASS</t>
  </si>
  <si>
    <t>OWL DOORSTOP</t>
  </si>
  <si>
    <t>LARGE WHITE HONEYCOMB PAPER BELL</t>
  </si>
  <si>
    <t>SMALL SPOTTY CHOCOLATE GIFT BAG</t>
  </si>
  <si>
    <t>PATCHWORK PENCIL CASE BUTTERFLY</t>
  </si>
  <si>
    <t>RED SPOTTY OVEN GLOVE</t>
  </si>
  <si>
    <t>BEWARE OF THE CAT METAL SIGN</t>
  </si>
  <si>
    <t>HOME SWEET HOME  BLACKBOARD</t>
  </si>
  <si>
    <t>WOODLAND  HEIGHT CHART STICKERS</t>
  </si>
  <si>
    <t>DINOSAUR HEIGHT CHART STICKER SET</t>
  </si>
  <si>
    <t>FRENCH BOTTLE, BRASSERIE DES ARTIST</t>
  </si>
  <si>
    <t>WOODLAND ANIMAL  WRITING SET</t>
  </si>
  <si>
    <t>17012A</t>
  </si>
  <si>
    <t>ORIGAMI VANILLA INCENSE/CANDLE SET</t>
  </si>
  <si>
    <t>17129D</t>
  </si>
  <si>
    <t>CLEAR COLOUR GLASS GEMS IN BAG</t>
  </si>
  <si>
    <t>CHERRY BLOSSOM PASSPORT COVER</t>
  </si>
  <si>
    <t>QUEEN OF THE SKIES PASSPORT COVER</t>
  </si>
  <si>
    <t>BLUE SPOTTY LUGGAGE TAG</t>
  </si>
  <si>
    <t>FIRST CLASS LUGGAGE TAG</t>
  </si>
  <si>
    <t>ECONOMY LUGGAGE TAG</t>
  </si>
  <si>
    <t>GREEN SPOTTY BOWL</t>
  </si>
  <si>
    <t>FLORAL PINK MONSTER</t>
  </si>
  <si>
    <t>POSY SHOPPER BAG</t>
  </si>
  <si>
    <t>RED SPOTTY CANDY BAG</t>
  </si>
  <si>
    <t>*USB Office Glitter Lamp</t>
  </si>
  <si>
    <t>BLUE PAISLEY SKETCHBOOK</t>
  </si>
  <si>
    <t>BLACK EAR MUFF HEADPHONES</t>
  </si>
  <si>
    <t>HEART EAR MUFF HEADPHONES</t>
  </si>
  <si>
    <t>RED FLOCK LOVE HEART PHOTO FRAME</t>
  </si>
  <si>
    <t>BLUE PATCH PENCIL CASE PINK HEART</t>
  </si>
  <si>
    <t>BOX OF 9 PEBBLE CANDLES</t>
  </si>
  <si>
    <t>SET 3 JARDIN DE FEMME SCENT CANDLES</t>
  </si>
  <si>
    <t>VINTAGE KEEPSAKE BOX TRAVELOGUE</t>
  </si>
  <si>
    <t>36 PENCILS TUBE POSY</t>
  </si>
  <si>
    <t>JAZZ HEARTS MAGNETIC MEMO PAD</t>
  </si>
  <si>
    <t>ANTIQUE ALL GLASS CANDLESTICK</t>
  </si>
  <si>
    <t>SPACE FROG</t>
  </si>
  <si>
    <t>TOOL BOX SOFT TOY</t>
  </si>
  <si>
    <t>BOOM BOX SPEAKER BOYS</t>
  </si>
  <si>
    <t>LARGE CAKE TOWEL PINK SPOTS</t>
  </si>
  <si>
    <t>VICTORIAN METAL POSTCARD CHRISTMAS</t>
  </si>
  <si>
    <t>ANTIQUE GLASS PLACE SETTING</t>
  </si>
  <si>
    <t>KEEP OUT GIRLS DOOR HANGER</t>
  </si>
  <si>
    <t>HOME SWEET HOME METAL SIGN</t>
  </si>
  <si>
    <t>WHITE HEART CONFETTI IN TUBE</t>
  </si>
  <si>
    <t>FRENCH BOTTLE , LAVENDER</t>
  </si>
  <si>
    <t>VICTORIAN SEWING BOX SMALL</t>
  </si>
  <si>
    <t>VINTAGE SILVER TINSEL REEL</t>
  </si>
  <si>
    <t>NATURAL BARK CANDLE SMALL</t>
  </si>
  <si>
    <t>RETRO SPOT CANDLE  SMALL</t>
  </si>
  <si>
    <t>BALLOONS  WRITING SET</t>
  </si>
  <si>
    <t>PINK SPOTS CHOCOLATE NESTING BOXES</t>
  </si>
  <si>
    <t>BLUE CHALET BIRDFEEDER</t>
  </si>
  <si>
    <t>12 PINK ROSE PEG PLACE SETTINGS</t>
  </si>
  <si>
    <t>Write a query that uses the SELECT statement to select all the invoices and price of items</t>
  </si>
  <si>
    <t>Using the AND and WHERE clauses, write a query that shows the item description and quantity ordered for anything with a price between $1 and $5.</t>
  </si>
  <si>
    <t xml:space="preserve">Using the OR and WHERE clauses, write a query that shows the item description and quantity ordered for anything with a price between $1 and $5.                </t>
  </si>
  <si>
    <t xml:space="preserve">The inventory manager has requested a list of the 10 highest-priced items and the stock code, description, and price for each. The highest-priced item should be at the top. In the spreadsheet, write a query that uses the ORDER BY and LIMIT clauses to specify the requested data.
</t>
  </si>
  <si>
    <t>We want to use a query to identify the invoice number, then multiply together the item quantity and price to determine a total price for each line.</t>
  </si>
  <si>
    <t>What is the total cost for invoice 489447?</t>
  </si>
  <si>
    <t>Write a query to find the average quantity of items ordered, as well as the maximum price of a given item</t>
  </si>
  <si>
    <t>Write a query to find the count of invoices, average quantity of items ordered, sum of price as well as the maximum and minimum price of a given item</t>
  </si>
  <si>
    <t>Write a query that returns the maximum and minimum values of InvoiceDate (latest and earliest transaction)</t>
  </si>
  <si>
    <t>Write a GROUP BY query to determine how many orders are from each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</si>
</sst>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"/>
    <numFmt numFmtId="165" formatCode="m/d/yyyy\ h:mm:ss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rgb="FF0F1114"/>
      <name val="Arial"/>
      <family val="2"/>
    </font>
    <font>
      <sz val="9"/>
      <color rgb="FF0F11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0" borderId="0" xfId="0" applyFont="1" applyAlignment="1">
      <alignment wrapText="1"/>
    </xf>
    <xf numFmtId="165" fontId="1" fillId="0" borderId="0" xfId="0" applyNumberFormat="1" applyFont="1"/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24</xdr:row>
      <xdr:rowOff>0</xdr:rowOff>
    </xdr:from>
    <xdr:ext cx="6877050" cy="4171950"/>
    <xdr:pic>
      <xdr:nvPicPr>
        <xdr:cNvPr id="1711291964" name="Chart1" title="Chart">
          <a:extLst>
            <a:ext uri="{FF2B5EF4-FFF2-40B4-BE49-F238E27FC236}">
              <a16:creationId xmlns:a16="http://schemas.microsoft.com/office/drawing/2014/main" id="{00000000-0008-0000-0200-00003C3E006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6762750" cy="4171950"/>
    <xdr:pic>
      <xdr:nvPicPr>
        <xdr:cNvPr id="694070457" name="Chart2" title="Chart">
          <a:extLst>
            <a:ext uri="{FF2B5EF4-FFF2-40B4-BE49-F238E27FC236}">
              <a16:creationId xmlns:a16="http://schemas.microsoft.com/office/drawing/2014/main" id="{00000000-0008-0000-0200-0000B9AC5E2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51</xdr:row>
      <xdr:rowOff>142875</xdr:rowOff>
    </xdr:from>
    <xdr:ext cx="7019925" cy="4067175"/>
    <xdr:pic>
      <xdr:nvPicPr>
        <xdr:cNvPr id="1810958680" name="Chart3" title="Chart">
          <a:extLst>
            <a:ext uri="{FF2B5EF4-FFF2-40B4-BE49-F238E27FC236}">
              <a16:creationId xmlns:a16="http://schemas.microsoft.com/office/drawing/2014/main" id="{00000000-0008-0000-0200-00005809F16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923925</xdr:colOff>
      <xdr:row>1</xdr:row>
      <xdr:rowOff>0</xdr:rowOff>
    </xdr:from>
    <xdr:ext cx="6819900" cy="4171950"/>
    <xdr:pic>
      <xdr:nvPicPr>
        <xdr:cNvPr id="886356473" name="Chart4" title="Chart">
          <a:extLst>
            <a:ext uri="{FF2B5EF4-FFF2-40B4-BE49-F238E27FC236}">
              <a16:creationId xmlns:a16="http://schemas.microsoft.com/office/drawing/2014/main" id="{00000000-0008-0000-0200-0000F9B9D43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52</xdr:row>
      <xdr:rowOff>142875</xdr:rowOff>
    </xdr:from>
    <xdr:ext cx="7019925" cy="4067175"/>
    <xdr:pic>
      <xdr:nvPicPr>
        <xdr:cNvPr id="829232037" name="Chart5" title="Chart">
          <a:extLst>
            <a:ext uri="{FF2B5EF4-FFF2-40B4-BE49-F238E27FC236}">
              <a16:creationId xmlns:a16="http://schemas.microsoft.com/office/drawing/2014/main" id="{00000000-0008-0000-0200-0000A5136D3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104775</xdr:rowOff>
    </xdr:from>
    <xdr:ext cx="6762750" cy="3914775"/>
    <xdr:pic>
      <xdr:nvPicPr>
        <xdr:cNvPr id="1772523972" name="Chart6" title="Chart">
          <a:extLst>
            <a:ext uri="{FF2B5EF4-FFF2-40B4-BE49-F238E27FC236}">
              <a16:creationId xmlns:a16="http://schemas.microsoft.com/office/drawing/2014/main" id="{00000000-0008-0000-0200-0000C491A66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3002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9.140625" customWidth="1"/>
    <col min="3" max="3" width="38.42578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">
      <c r="A2" s="1">
        <v>489434</v>
      </c>
      <c r="B2" s="1">
        <v>22041</v>
      </c>
      <c r="C2" s="1" t="s">
        <v>9</v>
      </c>
      <c r="D2" s="1">
        <v>48</v>
      </c>
      <c r="E2" s="3">
        <v>40148.322916666664</v>
      </c>
      <c r="F2" s="1">
        <v>2.1</v>
      </c>
      <c r="G2" s="1">
        <v>13085</v>
      </c>
      <c r="H2" s="1" t="s">
        <v>10</v>
      </c>
      <c r="I2" s="1">
        <f t="shared" ref="I2:I256" si="0">D2*F2</f>
        <v>100.80000000000001</v>
      </c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1">
        <v>489434</v>
      </c>
      <c r="B3" s="1">
        <v>21232</v>
      </c>
      <c r="C3" s="1" t="s">
        <v>11</v>
      </c>
      <c r="D3" s="1">
        <v>24</v>
      </c>
      <c r="E3" s="3">
        <v>40148.322916666664</v>
      </c>
      <c r="F3" s="1">
        <v>1.25</v>
      </c>
      <c r="G3" s="1">
        <v>13085</v>
      </c>
      <c r="H3" s="1" t="s">
        <v>10</v>
      </c>
      <c r="I3" s="1">
        <f t="shared" si="0"/>
        <v>30</v>
      </c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1">
        <v>489434</v>
      </c>
      <c r="B4" s="1">
        <v>22064</v>
      </c>
      <c r="C4" s="1" t="s">
        <v>12</v>
      </c>
      <c r="D4" s="1">
        <v>24</v>
      </c>
      <c r="E4" s="3">
        <v>40148.322916666664</v>
      </c>
      <c r="F4" s="1">
        <v>1.65</v>
      </c>
      <c r="G4" s="1">
        <v>13085</v>
      </c>
      <c r="H4" s="1" t="s">
        <v>10</v>
      </c>
      <c r="I4" s="1">
        <f t="shared" si="0"/>
        <v>39.599999999999994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1">
        <v>489434</v>
      </c>
      <c r="B5" s="1">
        <v>21871</v>
      </c>
      <c r="C5" s="1" t="s">
        <v>13</v>
      </c>
      <c r="D5" s="1">
        <v>24</v>
      </c>
      <c r="E5" s="3">
        <v>40148.322916666664</v>
      </c>
      <c r="F5" s="1">
        <v>1.25</v>
      </c>
      <c r="G5" s="1">
        <v>13085</v>
      </c>
      <c r="H5" s="1" t="s">
        <v>10</v>
      </c>
      <c r="I5" s="1">
        <f t="shared" si="0"/>
        <v>30</v>
      </c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1">
        <v>489434</v>
      </c>
      <c r="B6" s="1">
        <v>85048</v>
      </c>
      <c r="C6" s="1" t="s">
        <v>14</v>
      </c>
      <c r="D6" s="1">
        <v>12</v>
      </c>
      <c r="E6" s="3">
        <v>40148.322916666664</v>
      </c>
      <c r="F6" s="1">
        <v>6.95</v>
      </c>
      <c r="G6" s="1">
        <v>13085</v>
      </c>
      <c r="H6" s="1" t="s">
        <v>10</v>
      </c>
      <c r="I6" s="1">
        <f t="shared" si="0"/>
        <v>83.4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1">
        <v>489434</v>
      </c>
      <c r="B7" s="1" t="s">
        <v>15</v>
      </c>
      <c r="C7" s="1" t="s">
        <v>16</v>
      </c>
      <c r="D7" s="1">
        <v>12</v>
      </c>
      <c r="E7" s="3">
        <v>40148.322916666664</v>
      </c>
      <c r="F7" s="1">
        <v>6.75</v>
      </c>
      <c r="G7" s="1">
        <v>13085</v>
      </c>
      <c r="H7" s="1" t="s">
        <v>10</v>
      </c>
      <c r="I7" s="1">
        <f t="shared" si="0"/>
        <v>81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1">
        <v>489434</v>
      </c>
      <c r="B8" s="1" t="s">
        <v>17</v>
      </c>
      <c r="C8" s="1" t="s">
        <v>18</v>
      </c>
      <c r="D8" s="1">
        <v>12</v>
      </c>
      <c r="E8" s="3">
        <v>40148.322916666664</v>
      </c>
      <c r="F8" s="1">
        <v>6.75</v>
      </c>
      <c r="G8" s="1">
        <v>13085</v>
      </c>
      <c r="H8" s="1" t="s">
        <v>10</v>
      </c>
      <c r="I8" s="1">
        <f t="shared" si="0"/>
        <v>81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">
      <c r="A9" s="1">
        <v>489434</v>
      </c>
      <c r="B9" s="1">
        <v>21523</v>
      </c>
      <c r="C9" s="1" t="s">
        <v>19</v>
      </c>
      <c r="D9" s="1">
        <v>10</v>
      </c>
      <c r="E9" s="3">
        <v>40148.322916666664</v>
      </c>
      <c r="F9" s="1">
        <v>5.95</v>
      </c>
      <c r="G9" s="1">
        <v>13085</v>
      </c>
      <c r="H9" s="1" t="s">
        <v>10</v>
      </c>
      <c r="I9" s="1">
        <f t="shared" si="0"/>
        <v>59.5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">
      <c r="A10" s="1">
        <v>489435</v>
      </c>
      <c r="B10" s="1">
        <v>22195</v>
      </c>
      <c r="C10" s="1" t="s">
        <v>20</v>
      </c>
      <c r="D10" s="1">
        <v>24</v>
      </c>
      <c r="E10" s="3">
        <v>40148.323611111111</v>
      </c>
      <c r="F10" s="1">
        <v>1.65</v>
      </c>
      <c r="G10" s="1">
        <v>13085</v>
      </c>
      <c r="H10" s="1" t="s">
        <v>10</v>
      </c>
      <c r="I10" s="1">
        <f t="shared" si="0"/>
        <v>39.599999999999994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1">
        <v>489435</v>
      </c>
      <c r="B11" s="1">
        <v>22350</v>
      </c>
      <c r="C11" s="1" t="s">
        <v>21</v>
      </c>
      <c r="D11" s="1">
        <v>12</v>
      </c>
      <c r="E11" s="3">
        <v>40148.323611111111</v>
      </c>
      <c r="F11" s="1">
        <v>2.5499999999999998</v>
      </c>
      <c r="G11" s="1">
        <v>13085</v>
      </c>
      <c r="H11" s="1" t="s">
        <v>10</v>
      </c>
      <c r="I11" s="1">
        <f t="shared" si="0"/>
        <v>30.599999999999998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1">
        <v>489435</v>
      </c>
      <c r="B12" s="1">
        <v>22349</v>
      </c>
      <c r="C12" s="1" t="s">
        <v>22</v>
      </c>
      <c r="D12" s="1">
        <v>12</v>
      </c>
      <c r="E12" s="3">
        <v>40148.323611111111</v>
      </c>
      <c r="F12" s="1">
        <v>3.75</v>
      </c>
      <c r="G12" s="1">
        <v>13085</v>
      </c>
      <c r="H12" s="1" t="s">
        <v>10</v>
      </c>
      <c r="I12" s="1">
        <f t="shared" si="0"/>
        <v>45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">
      <c r="A13" s="1">
        <v>489435</v>
      </c>
      <c r="B13" s="1">
        <v>22353</v>
      </c>
      <c r="C13" s="1" t="s">
        <v>23</v>
      </c>
      <c r="D13" s="1">
        <v>12</v>
      </c>
      <c r="E13" s="3">
        <v>40148.323611111111</v>
      </c>
      <c r="F13" s="1">
        <v>2.5499999999999998</v>
      </c>
      <c r="G13" s="1">
        <v>13085</v>
      </c>
      <c r="H13" s="1" t="s">
        <v>10</v>
      </c>
      <c r="I13" s="1">
        <f t="shared" si="0"/>
        <v>30.599999999999998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1">
        <v>489436</v>
      </c>
      <c r="B14" s="1">
        <v>22111</v>
      </c>
      <c r="C14" s="1" t="s">
        <v>24</v>
      </c>
      <c r="D14" s="1">
        <v>24</v>
      </c>
      <c r="E14" s="3">
        <v>40148.379166666666</v>
      </c>
      <c r="F14" s="1">
        <v>4.25</v>
      </c>
      <c r="G14" s="1">
        <v>13078</v>
      </c>
      <c r="H14" s="1" t="s">
        <v>10</v>
      </c>
      <c r="I14" s="1">
        <f t="shared" si="0"/>
        <v>102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1">
        <v>489436</v>
      </c>
      <c r="B15" s="1">
        <v>21755</v>
      </c>
      <c r="C15" s="1" t="s">
        <v>25</v>
      </c>
      <c r="D15" s="1">
        <v>18</v>
      </c>
      <c r="E15" s="3">
        <v>40148.379166666666</v>
      </c>
      <c r="F15" s="1">
        <v>5.45</v>
      </c>
      <c r="G15" s="1">
        <v>13078</v>
      </c>
      <c r="H15" s="1" t="s">
        <v>10</v>
      </c>
      <c r="I15" s="1">
        <f t="shared" si="0"/>
        <v>98.100000000000009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">
      <c r="A16" s="1">
        <v>489436</v>
      </c>
      <c r="B16" s="1">
        <v>84879</v>
      </c>
      <c r="C16" s="1" t="s">
        <v>26</v>
      </c>
      <c r="D16" s="1">
        <v>16</v>
      </c>
      <c r="E16" s="3">
        <v>40148.379166666666</v>
      </c>
      <c r="F16" s="1">
        <v>1.69</v>
      </c>
      <c r="G16" s="1">
        <v>13078</v>
      </c>
      <c r="H16" s="1" t="s">
        <v>10</v>
      </c>
      <c r="I16" s="1">
        <f t="shared" si="0"/>
        <v>27.04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1">
        <v>489436</v>
      </c>
      <c r="B17" s="1">
        <v>22109</v>
      </c>
      <c r="C17" s="1" t="s">
        <v>27</v>
      </c>
      <c r="D17" s="1">
        <v>16</v>
      </c>
      <c r="E17" s="3">
        <v>40148.379166666666</v>
      </c>
      <c r="F17" s="1">
        <v>3.39</v>
      </c>
      <c r="G17" s="1">
        <v>13078</v>
      </c>
      <c r="H17" s="1" t="s">
        <v>10</v>
      </c>
      <c r="I17" s="1">
        <f t="shared" si="0"/>
        <v>54.24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1">
        <v>489436</v>
      </c>
      <c r="B18" s="1">
        <v>22142</v>
      </c>
      <c r="C18" s="1" t="s">
        <v>28</v>
      </c>
      <c r="D18" s="1">
        <v>12</v>
      </c>
      <c r="E18" s="3">
        <v>40148.379166666666</v>
      </c>
      <c r="F18" s="1">
        <v>1.45</v>
      </c>
      <c r="G18" s="1">
        <v>13078</v>
      </c>
      <c r="H18" s="1" t="s">
        <v>10</v>
      </c>
      <c r="I18" s="1">
        <f t="shared" si="0"/>
        <v>17.399999999999999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1">
        <v>489436</v>
      </c>
      <c r="B19" s="1">
        <v>22296</v>
      </c>
      <c r="C19" s="1" t="s">
        <v>29</v>
      </c>
      <c r="D19" s="1">
        <v>12</v>
      </c>
      <c r="E19" s="3">
        <v>40148.379166666666</v>
      </c>
      <c r="F19" s="1">
        <v>1.65</v>
      </c>
      <c r="G19" s="1">
        <v>13078</v>
      </c>
      <c r="H19" s="1" t="s">
        <v>10</v>
      </c>
      <c r="I19" s="1">
        <f t="shared" si="0"/>
        <v>19.799999999999997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1">
        <v>489436</v>
      </c>
      <c r="B20" s="1">
        <v>22295</v>
      </c>
      <c r="C20" s="1" t="s">
        <v>30</v>
      </c>
      <c r="D20" s="1">
        <v>12</v>
      </c>
      <c r="E20" s="3">
        <v>40148.379166666666</v>
      </c>
      <c r="F20" s="1">
        <v>1.65</v>
      </c>
      <c r="G20" s="1">
        <v>13078</v>
      </c>
      <c r="H20" s="1" t="s">
        <v>10</v>
      </c>
      <c r="I20" s="1">
        <f t="shared" si="0"/>
        <v>19.799999999999997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1">
        <v>489436</v>
      </c>
      <c r="B21" s="1" t="s">
        <v>31</v>
      </c>
      <c r="C21" s="1" t="s">
        <v>32</v>
      </c>
      <c r="D21" s="1">
        <v>12</v>
      </c>
      <c r="E21" s="3">
        <v>40148.379166666666</v>
      </c>
      <c r="F21" s="1">
        <v>4.6500000000000004</v>
      </c>
      <c r="G21" s="1">
        <v>13078</v>
      </c>
      <c r="H21" s="1" t="s">
        <v>10</v>
      </c>
      <c r="I21" s="1">
        <f t="shared" si="0"/>
        <v>55.800000000000004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">
      <c r="A22" s="1">
        <v>489436</v>
      </c>
      <c r="B22" s="1">
        <v>82582</v>
      </c>
      <c r="C22" s="1" t="s">
        <v>33</v>
      </c>
      <c r="D22" s="1">
        <v>12</v>
      </c>
      <c r="E22" s="3">
        <v>40148.379166666666</v>
      </c>
      <c r="F22" s="1">
        <v>2.1</v>
      </c>
      <c r="G22" s="1">
        <v>13078</v>
      </c>
      <c r="H22" s="1" t="s">
        <v>10</v>
      </c>
      <c r="I22" s="1">
        <f t="shared" si="0"/>
        <v>25.200000000000003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">
      <c r="A23" s="1">
        <v>489436</v>
      </c>
      <c r="B23" s="1">
        <v>21181</v>
      </c>
      <c r="C23" s="1" t="s">
        <v>34</v>
      </c>
      <c r="D23" s="1">
        <v>12</v>
      </c>
      <c r="E23" s="3">
        <v>40148.379166666666</v>
      </c>
      <c r="F23" s="1">
        <v>2.1</v>
      </c>
      <c r="G23" s="1">
        <v>13078</v>
      </c>
      <c r="H23" s="1" t="s">
        <v>10</v>
      </c>
      <c r="I23" s="1">
        <f t="shared" si="0"/>
        <v>25.200000000000003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">
      <c r="A24" s="1">
        <v>489436</v>
      </c>
      <c r="B24" s="1" t="s">
        <v>35</v>
      </c>
      <c r="C24" s="1" t="s">
        <v>36</v>
      </c>
      <c r="D24" s="1">
        <v>10</v>
      </c>
      <c r="E24" s="3">
        <v>40148.379166666666</v>
      </c>
      <c r="F24" s="1">
        <v>5.95</v>
      </c>
      <c r="G24" s="1">
        <v>13078</v>
      </c>
      <c r="H24" s="1" t="s">
        <v>10</v>
      </c>
      <c r="I24" s="1">
        <f t="shared" si="0"/>
        <v>59.5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1">
        <v>489436</v>
      </c>
      <c r="B25" s="1" t="s">
        <v>37</v>
      </c>
      <c r="C25" s="1" t="s">
        <v>38</v>
      </c>
      <c r="D25" s="1">
        <v>8</v>
      </c>
      <c r="E25" s="3">
        <v>40148.379166666666</v>
      </c>
      <c r="F25" s="1">
        <v>1.25</v>
      </c>
      <c r="G25" s="1">
        <v>13078</v>
      </c>
      <c r="H25" s="1" t="s">
        <v>10</v>
      </c>
      <c r="I25" s="1">
        <f t="shared" si="0"/>
        <v>10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1">
        <v>489436</v>
      </c>
      <c r="B26" s="1" t="s">
        <v>39</v>
      </c>
      <c r="C26" s="1" t="s">
        <v>40</v>
      </c>
      <c r="D26" s="1">
        <v>8</v>
      </c>
      <c r="E26" s="3">
        <v>40148.379166666666</v>
      </c>
      <c r="F26" s="1">
        <v>1.25</v>
      </c>
      <c r="G26" s="1">
        <v>13078</v>
      </c>
      <c r="H26" s="1" t="s">
        <v>10</v>
      </c>
      <c r="I26" s="1">
        <f t="shared" si="0"/>
        <v>10</v>
      </c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1">
        <v>489436</v>
      </c>
      <c r="B27" s="1">
        <v>21333</v>
      </c>
      <c r="C27" s="1" t="s">
        <v>41</v>
      </c>
      <c r="D27" s="1">
        <v>6</v>
      </c>
      <c r="E27" s="3">
        <v>40148.379166666666</v>
      </c>
      <c r="F27" s="1">
        <v>2.95</v>
      </c>
      <c r="G27" s="1">
        <v>13078</v>
      </c>
      <c r="H27" s="1" t="s">
        <v>10</v>
      </c>
      <c r="I27" s="1">
        <f t="shared" si="0"/>
        <v>17.700000000000003</v>
      </c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">
      <c r="A28" s="1">
        <v>489436</v>
      </c>
      <c r="B28" s="1">
        <v>22107</v>
      </c>
      <c r="C28" s="1" t="s">
        <v>42</v>
      </c>
      <c r="D28" s="1">
        <v>4</v>
      </c>
      <c r="E28" s="3">
        <v>40148.379166666666</v>
      </c>
      <c r="F28" s="1">
        <v>3.75</v>
      </c>
      <c r="G28" s="1">
        <v>13078</v>
      </c>
      <c r="H28" s="1" t="s">
        <v>10</v>
      </c>
      <c r="I28" s="1">
        <f t="shared" si="0"/>
        <v>15</v>
      </c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">
      <c r="A29" s="1">
        <v>489436</v>
      </c>
      <c r="B29" s="1">
        <v>21754</v>
      </c>
      <c r="C29" s="1" t="s">
        <v>43</v>
      </c>
      <c r="D29" s="1">
        <v>3</v>
      </c>
      <c r="E29" s="3">
        <v>40148.379166666666</v>
      </c>
      <c r="F29" s="1">
        <v>5.95</v>
      </c>
      <c r="G29" s="1">
        <v>13078</v>
      </c>
      <c r="H29" s="1" t="s">
        <v>10</v>
      </c>
      <c r="I29" s="1">
        <f t="shared" si="0"/>
        <v>17.850000000000001</v>
      </c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">
      <c r="A30" s="1">
        <v>489436</v>
      </c>
      <c r="B30" s="1">
        <v>22119</v>
      </c>
      <c r="C30" s="1" t="s">
        <v>44</v>
      </c>
      <c r="D30" s="1">
        <v>3</v>
      </c>
      <c r="E30" s="3">
        <v>40148.379166666666</v>
      </c>
      <c r="F30" s="1">
        <v>6.95</v>
      </c>
      <c r="G30" s="1">
        <v>13078</v>
      </c>
      <c r="H30" s="1" t="s">
        <v>10</v>
      </c>
      <c r="I30" s="1">
        <f t="shared" si="0"/>
        <v>20.85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">
      <c r="A31" s="1">
        <v>489436</v>
      </c>
      <c r="B31" s="1">
        <v>21756</v>
      </c>
      <c r="C31" s="1" t="s">
        <v>45</v>
      </c>
      <c r="D31" s="1">
        <v>3</v>
      </c>
      <c r="E31" s="3">
        <v>40148.379166666666</v>
      </c>
      <c r="F31" s="1">
        <v>5.95</v>
      </c>
      <c r="G31" s="1">
        <v>13078</v>
      </c>
      <c r="H31" s="1" t="s">
        <v>10</v>
      </c>
      <c r="I31" s="1">
        <f t="shared" si="0"/>
        <v>17.850000000000001</v>
      </c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">
      <c r="A32" s="1">
        <v>489436</v>
      </c>
      <c r="B32" s="1">
        <v>22194</v>
      </c>
      <c r="C32" s="1" t="s">
        <v>46</v>
      </c>
      <c r="D32" s="1">
        <v>2</v>
      </c>
      <c r="E32" s="3">
        <v>40148.379166666666</v>
      </c>
      <c r="F32" s="1">
        <v>8.5</v>
      </c>
      <c r="G32" s="1">
        <v>13078</v>
      </c>
      <c r="H32" s="1" t="s">
        <v>10</v>
      </c>
      <c r="I32" s="1">
        <f t="shared" si="0"/>
        <v>17</v>
      </c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">
      <c r="A33" s="1">
        <v>489437</v>
      </c>
      <c r="B33" s="1">
        <v>22130</v>
      </c>
      <c r="C33" s="1" t="s">
        <v>47</v>
      </c>
      <c r="D33" s="1">
        <v>12</v>
      </c>
      <c r="E33" s="3">
        <v>40148.380555555559</v>
      </c>
      <c r="F33" s="1">
        <v>0.85</v>
      </c>
      <c r="G33" s="1">
        <v>15362</v>
      </c>
      <c r="H33" s="1" t="s">
        <v>10</v>
      </c>
      <c r="I33" s="1">
        <f t="shared" si="0"/>
        <v>10.199999999999999</v>
      </c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">
      <c r="A34" s="1">
        <v>489437</v>
      </c>
      <c r="B34" s="1">
        <v>37370</v>
      </c>
      <c r="C34" s="1" t="s">
        <v>48</v>
      </c>
      <c r="D34" s="1">
        <v>12</v>
      </c>
      <c r="E34" s="3">
        <v>40148.380555555559</v>
      </c>
      <c r="F34" s="1">
        <v>1.25</v>
      </c>
      <c r="G34" s="1">
        <v>15362</v>
      </c>
      <c r="H34" s="1" t="s">
        <v>10</v>
      </c>
      <c r="I34" s="1">
        <f t="shared" si="0"/>
        <v>15</v>
      </c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">
      <c r="A35" s="1">
        <v>489437</v>
      </c>
      <c r="B35" s="1">
        <v>10002</v>
      </c>
      <c r="C35" s="1" t="s">
        <v>49</v>
      </c>
      <c r="D35" s="1">
        <v>12</v>
      </c>
      <c r="E35" s="3">
        <v>40148.380555555559</v>
      </c>
      <c r="F35" s="1">
        <v>0.85</v>
      </c>
      <c r="G35" s="1">
        <v>15362</v>
      </c>
      <c r="H35" s="1" t="s">
        <v>10</v>
      </c>
      <c r="I35" s="1">
        <f t="shared" si="0"/>
        <v>10.199999999999999</v>
      </c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">
      <c r="A36" s="1">
        <v>489437</v>
      </c>
      <c r="B36" s="1">
        <v>21987</v>
      </c>
      <c r="C36" s="1" t="s">
        <v>50</v>
      </c>
      <c r="D36" s="1">
        <v>12</v>
      </c>
      <c r="E36" s="3">
        <v>40148.380555555559</v>
      </c>
      <c r="F36" s="1">
        <v>0.65</v>
      </c>
      <c r="G36" s="1">
        <v>15362</v>
      </c>
      <c r="H36" s="1" t="s">
        <v>10</v>
      </c>
      <c r="I36" s="1">
        <f t="shared" si="0"/>
        <v>7.8000000000000007</v>
      </c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">
      <c r="A37" s="1">
        <v>489437</v>
      </c>
      <c r="B37" s="1">
        <v>21989</v>
      </c>
      <c r="C37" s="1" t="s">
        <v>51</v>
      </c>
      <c r="D37" s="1">
        <v>12</v>
      </c>
      <c r="E37" s="3">
        <v>40148.380555555559</v>
      </c>
      <c r="F37" s="1">
        <v>0.85</v>
      </c>
      <c r="G37" s="1">
        <v>15362</v>
      </c>
      <c r="H37" s="1" t="s">
        <v>10</v>
      </c>
      <c r="I37" s="1">
        <f t="shared" si="0"/>
        <v>10.199999999999999</v>
      </c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A38" s="1">
        <v>489437</v>
      </c>
      <c r="B38" s="1" t="s">
        <v>52</v>
      </c>
      <c r="C38" s="1" t="s">
        <v>53</v>
      </c>
      <c r="D38" s="1">
        <v>12</v>
      </c>
      <c r="E38" s="3">
        <v>40148.380555555559</v>
      </c>
      <c r="F38" s="1">
        <v>0.85</v>
      </c>
      <c r="G38" s="1">
        <v>15362</v>
      </c>
      <c r="H38" s="1" t="s">
        <v>10</v>
      </c>
      <c r="I38" s="1">
        <f t="shared" si="0"/>
        <v>10.199999999999999</v>
      </c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">
      <c r="A39" s="1">
        <v>489437</v>
      </c>
      <c r="B39" s="1">
        <v>20971</v>
      </c>
      <c r="C39" s="1" t="s">
        <v>54</v>
      </c>
      <c r="D39" s="1">
        <v>12</v>
      </c>
      <c r="E39" s="3">
        <v>40148.380555555559</v>
      </c>
      <c r="F39" s="1">
        <v>1.25</v>
      </c>
      <c r="G39" s="1">
        <v>15362</v>
      </c>
      <c r="H39" s="1" t="s">
        <v>10</v>
      </c>
      <c r="I39" s="1">
        <f t="shared" si="0"/>
        <v>15</v>
      </c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">
      <c r="A40" s="1">
        <v>489437</v>
      </c>
      <c r="B40" s="1">
        <v>22143</v>
      </c>
      <c r="C40" s="1" t="s">
        <v>55</v>
      </c>
      <c r="D40" s="1">
        <v>6</v>
      </c>
      <c r="E40" s="3">
        <v>40148.380555555559</v>
      </c>
      <c r="F40" s="1">
        <v>2.1</v>
      </c>
      <c r="G40" s="1">
        <v>15362</v>
      </c>
      <c r="H40" s="1" t="s">
        <v>10</v>
      </c>
      <c r="I40" s="1">
        <f t="shared" si="0"/>
        <v>12.600000000000001</v>
      </c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">
      <c r="A41" s="1">
        <v>489437</v>
      </c>
      <c r="B41" s="1">
        <v>22145</v>
      </c>
      <c r="C41" s="1" t="s">
        <v>56</v>
      </c>
      <c r="D41" s="1">
        <v>6</v>
      </c>
      <c r="E41" s="3">
        <v>40148.380555555559</v>
      </c>
      <c r="F41" s="1">
        <v>2.1</v>
      </c>
      <c r="G41" s="1">
        <v>15362</v>
      </c>
      <c r="H41" s="1" t="s">
        <v>10</v>
      </c>
      <c r="I41" s="1">
        <f t="shared" si="0"/>
        <v>12.600000000000001</v>
      </c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">
      <c r="A42" s="1">
        <v>489437</v>
      </c>
      <c r="B42" s="1" t="s">
        <v>57</v>
      </c>
      <c r="C42" s="1" t="s">
        <v>58</v>
      </c>
      <c r="D42" s="1">
        <v>6</v>
      </c>
      <c r="E42" s="3">
        <v>40148.380555555559</v>
      </c>
      <c r="F42" s="1">
        <v>2.5499999999999998</v>
      </c>
      <c r="G42" s="1">
        <v>15362</v>
      </c>
      <c r="H42" s="1" t="s">
        <v>10</v>
      </c>
      <c r="I42" s="1">
        <f t="shared" si="0"/>
        <v>15.299999999999999</v>
      </c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1">
        <v>489437</v>
      </c>
      <c r="B43" s="1">
        <v>22271</v>
      </c>
      <c r="C43" s="1" t="s">
        <v>59</v>
      </c>
      <c r="D43" s="1">
        <v>6</v>
      </c>
      <c r="E43" s="3">
        <v>40148.380555555559</v>
      </c>
      <c r="F43" s="1">
        <v>2.95</v>
      </c>
      <c r="G43" s="1">
        <v>15362</v>
      </c>
      <c r="H43" s="1" t="s">
        <v>10</v>
      </c>
      <c r="I43" s="1">
        <f t="shared" si="0"/>
        <v>17.700000000000003</v>
      </c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">
      <c r="A44" s="1">
        <v>489437</v>
      </c>
      <c r="B44" s="1">
        <v>22272</v>
      </c>
      <c r="C44" s="1" t="s">
        <v>60</v>
      </c>
      <c r="D44" s="1">
        <v>6</v>
      </c>
      <c r="E44" s="3">
        <v>40148.380555555559</v>
      </c>
      <c r="F44" s="1">
        <v>2.95</v>
      </c>
      <c r="G44" s="1">
        <v>15362</v>
      </c>
      <c r="H44" s="1" t="s">
        <v>10</v>
      </c>
      <c r="I44" s="1">
        <f t="shared" si="0"/>
        <v>17.700000000000003</v>
      </c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">
      <c r="A45" s="1">
        <v>489437</v>
      </c>
      <c r="B45" s="1">
        <v>22274</v>
      </c>
      <c r="C45" s="1" t="s">
        <v>61</v>
      </c>
      <c r="D45" s="1">
        <v>6</v>
      </c>
      <c r="E45" s="3">
        <v>40148.380555555559</v>
      </c>
      <c r="F45" s="1">
        <v>2.95</v>
      </c>
      <c r="G45" s="1">
        <v>15362</v>
      </c>
      <c r="H45" s="1" t="s">
        <v>10</v>
      </c>
      <c r="I45" s="1">
        <f t="shared" si="0"/>
        <v>17.700000000000003</v>
      </c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1">
        <v>489437</v>
      </c>
      <c r="B46" s="1">
        <v>21912</v>
      </c>
      <c r="C46" s="1" t="s">
        <v>62</v>
      </c>
      <c r="D46" s="1">
        <v>4</v>
      </c>
      <c r="E46" s="3">
        <v>40148.380555555559</v>
      </c>
      <c r="F46" s="1">
        <v>3.75</v>
      </c>
      <c r="G46" s="1">
        <v>15362</v>
      </c>
      <c r="H46" s="1" t="s">
        <v>10</v>
      </c>
      <c r="I46" s="1">
        <f t="shared" si="0"/>
        <v>15</v>
      </c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">
      <c r="A47" s="1">
        <v>489437</v>
      </c>
      <c r="B47" s="1">
        <v>20695</v>
      </c>
      <c r="C47" s="1" t="s">
        <v>63</v>
      </c>
      <c r="D47" s="1">
        <v>3</v>
      </c>
      <c r="E47" s="3">
        <v>40148.380555555559</v>
      </c>
      <c r="F47" s="1">
        <v>4.25</v>
      </c>
      <c r="G47" s="1">
        <v>15362</v>
      </c>
      <c r="H47" s="1" t="s">
        <v>10</v>
      </c>
      <c r="I47" s="1">
        <f t="shared" si="0"/>
        <v>12.75</v>
      </c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">
      <c r="A48" s="1">
        <v>489437</v>
      </c>
      <c r="B48" s="1">
        <v>20703</v>
      </c>
      <c r="C48" s="1" t="s">
        <v>64</v>
      </c>
      <c r="D48" s="1">
        <v>3</v>
      </c>
      <c r="E48" s="3">
        <v>40148.380555555559</v>
      </c>
      <c r="F48" s="1">
        <v>4.25</v>
      </c>
      <c r="G48" s="1">
        <v>15362</v>
      </c>
      <c r="H48" s="1" t="s">
        <v>10</v>
      </c>
      <c r="I48" s="1">
        <f t="shared" si="0"/>
        <v>12.75</v>
      </c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1">
        <v>489437</v>
      </c>
      <c r="B49" s="1">
        <v>22111</v>
      </c>
      <c r="C49" s="1" t="s">
        <v>24</v>
      </c>
      <c r="D49" s="1">
        <v>3</v>
      </c>
      <c r="E49" s="3">
        <v>40148.380555555559</v>
      </c>
      <c r="F49" s="1">
        <v>4.95</v>
      </c>
      <c r="G49" s="1">
        <v>15362</v>
      </c>
      <c r="H49" s="1" t="s">
        <v>10</v>
      </c>
      <c r="I49" s="1">
        <f t="shared" si="0"/>
        <v>14.850000000000001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1">
        <v>489437</v>
      </c>
      <c r="B50" s="1">
        <v>22112</v>
      </c>
      <c r="C50" s="1" t="s">
        <v>65</v>
      </c>
      <c r="D50" s="1">
        <v>3</v>
      </c>
      <c r="E50" s="3">
        <v>40148.380555555559</v>
      </c>
      <c r="F50" s="1">
        <v>4.95</v>
      </c>
      <c r="G50" s="1">
        <v>15362</v>
      </c>
      <c r="H50" s="1" t="s">
        <v>10</v>
      </c>
      <c r="I50" s="1">
        <f t="shared" si="0"/>
        <v>14.850000000000001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">
      <c r="A51" s="1">
        <v>489437</v>
      </c>
      <c r="B51" s="1">
        <v>21364</v>
      </c>
      <c r="C51" s="1" t="s">
        <v>66</v>
      </c>
      <c r="D51" s="1">
        <v>2</v>
      </c>
      <c r="E51" s="3">
        <v>40148.380555555559</v>
      </c>
      <c r="F51" s="1">
        <v>6.75</v>
      </c>
      <c r="G51" s="1">
        <v>15362</v>
      </c>
      <c r="H51" s="1" t="s">
        <v>10</v>
      </c>
      <c r="I51" s="1">
        <f t="shared" si="0"/>
        <v>13.5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">
      <c r="A52" s="1">
        <v>489437</v>
      </c>
      <c r="B52" s="1">
        <v>21351</v>
      </c>
      <c r="C52" s="1" t="s">
        <v>67</v>
      </c>
      <c r="D52" s="1">
        <v>2</v>
      </c>
      <c r="E52" s="3">
        <v>40148.380555555559</v>
      </c>
      <c r="F52" s="1">
        <v>6.75</v>
      </c>
      <c r="G52" s="1">
        <v>15362</v>
      </c>
      <c r="H52" s="1" t="s">
        <v>10</v>
      </c>
      <c r="I52" s="1">
        <f t="shared" si="0"/>
        <v>13.5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1">
        <v>489437</v>
      </c>
      <c r="B53" s="1">
        <v>21352</v>
      </c>
      <c r="C53" s="1" t="s">
        <v>68</v>
      </c>
      <c r="D53" s="1">
        <v>2</v>
      </c>
      <c r="E53" s="3">
        <v>40148.380555555559</v>
      </c>
      <c r="F53" s="1">
        <v>6.75</v>
      </c>
      <c r="G53" s="1">
        <v>15362</v>
      </c>
      <c r="H53" s="1" t="s">
        <v>10</v>
      </c>
      <c r="I53" s="1">
        <f t="shared" si="0"/>
        <v>13.5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1">
        <v>489437</v>
      </c>
      <c r="B54" s="1">
        <v>35400</v>
      </c>
      <c r="C54" s="1" t="s">
        <v>69</v>
      </c>
      <c r="D54" s="1">
        <v>2</v>
      </c>
      <c r="E54" s="3">
        <v>40148.380555555559</v>
      </c>
      <c r="F54" s="1">
        <v>8.9499999999999993</v>
      </c>
      <c r="G54" s="1">
        <v>15362</v>
      </c>
      <c r="H54" s="1" t="s">
        <v>10</v>
      </c>
      <c r="I54" s="1">
        <f t="shared" si="0"/>
        <v>17.899999999999999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1">
        <v>489437</v>
      </c>
      <c r="B55" s="1">
        <v>21360</v>
      </c>
      <c r="C55" s="1" t="s">
        <v>70</v>
      </c>
      <c r="D55" s="1">
        <v>1</v>
      </c>
      <c r="E55" s="3">
        <v>40148.380555555559</v>
      </c>
      <c r="F55" s="1">
        <v>9.9499999999999993</v>
      </c>
      <c r="G55" s="1">
        <v>15362</v>
      </c>
      <c r="H55" s="1" t="s">
        <v>10</v>
      </c>
      <c r="I55" s="1">
        <f t="shared" si="0"/>
        <v>9.9499999999999993</v>
      </c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s="1">
        <v>489438</v>
      </c>
      <c r="B56" s="1">
        <v>20711</v>
      </c>
      <c r="C56" s="1" t="s">
        <v>71</v>
      </c>
      <c r="D56" s="1">
        <v>60</v>
      </c>
      <c r="E56" s="3">
        <v>40148.39166666667</v>
      </c>
      <c r="F56" s="1">
        <v>1.3</v>
      </c>
      <c r="G56" s="1">
        <v>18102</v>
      </c>
      <c r="H56" s="1" t="s">
        <v>10</v>
      </c>
      <c r="I56" s="1">
        <f t="shared" si="0"/>
        <v>78</v>
      </c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1">
        <v>489438</v>
      </c>
      <c r="B57" s="1" t="s">
        <v>72</v>
      </c>
      <c r="C57" s="1" t="s">
        <v>73</v>
      </c>
      <c r="D57" s="1">
        <v>60</v>
      </c>
      <c r="E57" s="3">
        <v>40148.39166666667</v>
      </c>
      <c r="F57" s="1">
        <v>1.9</v>
      </c>
      <c r="G57" s="1">
        <v>18102</v>
      </c>
      <c r="H57" s="1" t="s">
        <v>10</v>
      </c>
      <c r="I57" s="1">
        <f t="shared" si="0"/>
        <v>114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1">
        <v>489438</v>
      </c>
      <c r="B58" s="1" t="s">
        <v>74</v>
      </c>
      <c r="C58" s="1" t="s">
        <v>75</v>
      </c>
      <c r="D58" s="1">
        <v>60</v>
      </c>
      <c r="E58" s="3">
        <v>40148.39166666667</v>
      </c>
      <c r="F58" s="1">
        <v>2.4</v>
      </c>
      <c r="G58" s="1">
        <v>18102</v>
      </c>
      <c r="H58" s="1" t="s">
        <v>10</v>
      </c>
      <c r="I58" s="1">
        <f t="shared" si="0"/>
        <v>144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">
      <c r="A59" s="1">
        <v>489438</v>
      </c>
      <c r="B59" s="1" t="s">
        <v>76</v>
      </c>
      <c r="C59" s="1" t="s">
        <v>77</v>
      </c>
      <c r="D59" s="1">
        <v>60</v>
      </c>
      <c r="E59" s="3">
        <v>40148.39166666667</v>
      </c>
      <c r="F59" s="1">
        <v>6.38</v>
      </c>
      <c r="G59" s="1">
        <v>18102</v>
      </c>
      <c r="H59" s="1" t="s">
        <v>10</v>
      </c>
      <c r="I59" s="1">
        <f t="shared" si="0"/>
        <v>382.8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">
      <c r="A60" s="1">
        <v>489438</v>
      </c>
      <c r="B60" s="1" t="s">
        <v>78</v>
      </c>
      <c r="C60" s="1" t="s">
        <v>79</v>
      </c>
      <c r="D60" s="1">
        <v>60</v>
      </c>
      <c r="E60" s="3">
        <v>40148.39166666667</v>
      </c>
      <c r="F60" s="1">
        <v>6.4</v>
      </c>
      <c r="G60" s="1">
        <v>18102</v>
      </c>
      <c r="H60" s="1" t="s">
        <v>10</v>
      </c>
      <c r="I60" s="1">
        <f t="shared" si="0"/>
        <v>384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">
      <c r="A61" s="1">
        <v>489438</v>
      </c>
      <c r="B61" s="1" t="s">
        <v>80</v>
      </c>
      <c r="C61" s="1" t="s">
        <v>81</v>
      </c>
      <c r="D61" s="1">
        <v>60</v>
      </c>
      <c r="E61" s="3">
        <v>40148.39166666667</v>
      </c>
      <c r="F61" s="1">
        <v>2.4</v>
      </c>
      <c r="G61" s="1">
        <v>18102</v>
      </c>
      <c r="H61" s="1" t="s">
        <v>10</v>
      </c>
      <c r="I61" s="1">
        <f t="shared" si="0"/>
        <v>144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">
      <c r="A62" s="1">
        <v>489438</v>
      </c>
      <c r="B62" s="1" t="s">
        <v>82</v>
      </c>
      <c r="C62" s="1" t="s">
        <v>83</v>
      </c>
      <c r="D62" s="1">
        <v>60</v>
      </c>
      <c r="E62" s="3">
        <v>40148.39166666667</v>
      </c>
      <c r="F62" s="1">
        <v>2.4</v>
      </c>
      <c r="G62" s="1">
        <v>18102</v>
      </c>
      <c r="H62" s="1" t="s">
        <v>10</v>
      </c>
      <c r="I62" s="1">
        <f t="shared" si="0"/>
        <v>144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">
      <c r="A63" s="1">
        <v>489438</v>
      </c>
      <c r="B63" s="1" t="s">
        <v>84</v>
      </c>
      <c r="C63" s="1" t="s">
        <v>85</v>
      </c>
      <c r="D63" s="1">
        <v>56</v>
      </c>
      <c r="E63" s="3">
        <v>40148.39166666667</v>
      </c>
      <c r="F63" s="1">
        <v>3</v>
      </c>
      <c r="G63" s="1">
        <v>18102</v>
      </c>
      <c r="H63" s="1" t="s">
        <v>10</v>
      </c>
      <c r="I63" s="1">
        <f t="shared" si="0"/>
        <v>168</v>
      </c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">
      <c r="A64" s="1">
        <v>489438</v>
      </c>
      <c r="B64" s="1" t="s">
        <v>86</v>
      </c>
      <c r="C64" s="1" t="s">
        <v>87</v>
      </c>
      <c r="D64" s="1">
        <v>56</v>
      </c>
      <c r="E64" s="3">
        <v>40148.39166666667</v>
      </c>
      <c r="F64" s="1">
        <v>3</v>
      </c>
      <c r="G64" s="1">
        <v>18102</v>
      </c>
      <c r="H64" s="1" t="s">
        <v>10</v>
      </c>
      <c r="I64" s="1">
        <f t="shared" si="0"/>
        <v>168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">
      <c r="A65" s="1">
        <v>489438</v>
      </c>
      <c r="B65" s="1" t="s">
        <v>88</v>
      </c>
      <c r="C65" s="1" t="s">
        <v>89</v>
      </c>
      <c r="D65" s="1">
        <v>56</v>
      </c>
      <c r="E65" s="3">
        <v>40148.39166666667</v>
      </c>
      <c r="F65" s="1">
        <v>1.9</v>
      </c>
      <c r="G65" s="1">
        <v>18102</v>
      </c>
      <c r="H65" s="1" t="s">
        <v>10</v>
      </c>
      <c r="I65" s="1">
        <f t="shared" si="0"/>
        <v>106.39999999999999</v>
      </c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">
      <c r="A66" s="1">
        <v>489438</v>
      </c>
      <c r="B66" s="1" t="s">
        <v>90</v>
      </c>
      <c r="C66" s="1" t="s">
        <v>91</v>
      </c>
      <c r="D66" s="1">
        <v>56</v>
      </c>
      <c r="E66" s="3">
        <v>40148.39166666667</v>
      </c>
      <c r="F66" s="1">
        <v>2.15</v>
      </c>
      <c r="G66" s="1">
        <v>18102</v>
      </c>
      <c r="H66" s="1" t="s">
        <v>10</v>
      </c>
      <c r="I66" s="1">
        <f t="shared" si="0"/>
        <v>120.39999999999999</v>
      </c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">
      <c r="A67" s="1">
        <v>489438</v>
      </c>
      <c r="B67" s="1">
        <v>21410</v>
      </c>
      <c r="C67" s="1" t="s">
        <v>92</v>
      </c>
      <c r="D67" s="1">
        <v>32</v>
      </c>
      <c r="E67" s="3">
        <v>40148.39166666667</v>
      </c>
      <c r="F67" s="1">
        <v>2.5</v>
      </c>
      <c r="G67" s="1">
        <v>18102</v>
      </c>
      <c r="H67" s="1" t="s">
        <v>10</v>
      </c>
      <c r="I67" s="1">
        <f t="shared" si="0"/>
        <v>80</v>
      </c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">
      <c r="A68" s="1">
        <v>489438</v>
      </c>
      <c r="B68" s="1">
        <v>21411</v>
      </c>
      <c r="C68" s="1" t="s">
        <v>93</v>
      </c>
      <c r="D68" s="1">
        <v>32</v>
      </c>
      <c r="E68" s="3">
        <v>40148.39166666667</v>
      </c>
      <c r="F68" s="1">
        <v>2.5</v>
      </c>
      <c r="G68" s="1">
        <v>18102</v>
      </c>
      <c r="H68" s="1" t="s">
        <v>10</v>
      </c>
      <c r="I68" s="1">
        <f t="shared" si="0"/>
        <v>80</v>
      </c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">
      <c r="A69" s="1">
        <v>489438</v>
      </c>
      <c r="B69" s="1">
        <v>21252</v>
      </c>
      <c r="C69" s="1" t="s">
        <v>94</v>
      </c>
      <c r="D69" s="1">
        <v>30</v>
      </c>
      <c r="E69" s="3">
        <v>40148.39166666667</v>
      </c>
      <c r="F69" s="1">
        <v>1.69</v>
      </c>
      <c r="G69" s="1">
        <v>18102</v>
      </c>
      <c r="H69" s="1" t="s">
        <v>10</v>
      </c>
      <c r="I69" s="1">
        <f t="shared" si="0"/>
        <v>50.699999999999996</v>
      </c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">
      <c r="A70" s="1">
        <v>489438</v>
      </c>
      <c r="B70" s="1">
        <v>21100</v>
      </c>
      <c r="C70" s="1" t="s">
        <v>95</v>
      </c>
      <c r="D70" s="1">
        <v>30</v>
      </c>
      <c r="E70" s="3">
        <v>40148.39166666667</v>
      </c>
      <c r="F70" s="1">
        <v>1.1499999999999999</v>
      </c>
      <c r="G70" s="1">
        <v>18102</v>
      </c>
      <c r="H70" s="1" t="s">
        <v>10</v>
      </c>
      <c r="I70" s="1">
        <f t="shared" si="0"/>
        <v>34.5</v>
      </c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">
      <c r="A71" s="1">
        <v>489438</v>
      </c>
      <c r="B71" s="1">
        <v>21033</v>
      </c>
      <c r="C71" s="1" t="s">
        <v>96</v>
      </c>
      <c r="D71" s="1">
        <v>30</v>
      </c>
      <c r="E71" s="3">
        <v>40148.39166666667</v>
      </c>
      <c r="F71" s="1">
        <v>2</v>
      </c>
      <c r="G71" s="1">
        <v>18102</v>
      </c>
      <c r="H71" s="1" t="s">
        <v>10</v>
      </c>
      <c r="I71" s="1">
        <f t="shared" si="0"/>
        <v>60</v>
      </c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">
      <c r="A72" s="1">
        <v>489438</v>
      </c>
      <c r="B72" s="1">
        <v>21329</v>
      </c>
      <c r="C72" s="1" t="s">
        <v>97</v>
      </c>
      <c r="D72" s="1">
        <v>28</v>
      </c>
      <c r="E72" s="3">
        <v>40148.39166666667</v>
      </c>
      <c r="F72" s="1">
        <v>0.98</v>
      </c>
      <c r="G72" s="1">
        <v>18102</v>
      </c>
      <c r="H72" s="1" t="s">
        <v>10</v>
      </c>
      <c r="I72" s="1">
        <f t="shared" si="0"/>
        <v>27.439999999999998</v>
      </c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">
      <c r="A73" s="1">
        <v>489439</v>
      </c>
      <c r="B73" s="1" t="s">
        <v>98</v>
      </c>
      <c r="C73" s="1" t="s">
        <v>99</v>
      </c>
      <c r="D73" s="1">
        <v>25</v>
      </c>
      <c r="E73" s="3">
        <v>40148.394444444442</v>
      </c>
      <c r="F73" s="1">
        <v>0.42</v>
      </c>
      <c r="G73" s="1">
        <v>12682</v>
      </c>
      <c r="H73" s="1" t="s">
        <v>100</v>
      </c>
      <c r="I73" s="1">
        <f t="shared" si="0"/>
        <v>10.5</v>
      </c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">
      <c r="A74" s="1">
        <v>489439</v>
      </c>
      <c r="B74" s="1" t="s">
        <v>101</v>
      </c>
      <c r="C74" s="1" t="s">
        <v>102</v>
      </c>
      <c r="D74" s="1">
        <v>25</v>
      </c>
      <c r="E74" s="3">
        <v>40148.394444444442</v>
      </c>
      <c r="F74" s="1">
        <v>0.42</v>
      </c>
      <c r="G74" s="1">
        <v>12682</v>
      </c>
      <c r="H74" s="1" t="s">
        <v>100</v>
      </c>
      <c r="I74" s="1">
        <f t="shared" si="0"/>
        <v>10.5</v>
      </c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">
      <c r="A75" s="1">
        <v>489439</v>
      </c>
      <c r="B75" s="1">
        <v>22130</v>
      </c>
      <c r="C75" s="1" t="s">
        <v>47</v>
      </c>
      <c r="D75" s="1">
        <v>24</v>
      </c>
      <c r="E75" s="3">
        <v>40148.394444444442</v>
      </c>
      <c r="F75" s="1">
        <v>0.85</v>
      </c>
      <c r="G75" s="1">
        <v>12682</v>
      </c>
      <c r="H75" s="1" t="s">
        <v>100</v>
      </c>
      <c r="I75" s="1">
        <f t="shared" si="0"/>
        <v>20.399999999999999</v>
      </c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">
      <c r="A76" s="1">
        <v>489439</v>
      </c>
      <c r="B76" s="1">
        <v>21731</v>
      </c>
      <c r="C76" s="1" t="s">
        <v>103</v>
      </c>
      <c r="D76" s="1">
        <v>24</v>
      </c>
      <c r="E76" s="3">
        <v>40148.394444444442</v>
      </c>
      <c r="F76" s="1">
        <v>1.65</v>
      </c>
      <c r="G76" s="1">
        <v>12682</v>
      </c>
      <c r="H76" s="1" t="s">
        <v>100</v>
      </c>
      <c r="I76" s="1">
        <f t="shared" si="0"/>
        <v>39.599999999999994</v>
      </c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">
      <c r="A77" s="1">
        <v>489439</v>
      </c>
      <c r="B77" s="1">
        <v>22065</v>
      </c>
      <c r="C77" s="1" t="s">
        <v>104</v>
      </c>
      <c r="D77" s="1">
        <v>12</v>
      </c>
      <c r="E77" s="3">
        <v>40148.394444444442</v>
      </c>
      <c r="F77" s="1">
        <v>1.45</v>
      </c>
      <c r="G77" s="1">
        <v>12682</v>
      </c>
      <c r="H77" s="1" t="s">
        <v>100</v>
      </c>
      <c r="I77" s="1">
        <f t="shared" si="0"/>
        <v>17.399999999999999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">
      <c r="A78" s="1">
        <v>489439</v>
      </c>
      <c r="B78" s="1">
        <v>22352</v>
      </c>
      <c r="C78" s="1" t="s">
        <v>105</v>
      </c>
      <c r="D78" s="1">
        <v>12</v>
      </c>
      <c r="E78" s="3">
        <v>40148.394444444442</v>
      </c>
      <c r="F78" s="1">
        <v>2.5499999999999998</v>
      </c>
      <c r="G78" s="1">
        <v>12682</v>
      </c>
      <c r="H78" s="1" t="s">
        <v>100</v>
      </c>
      <c r="I78" s="1">
        <f t="shared" si="0"/>
        <v>30.599999999999998</v>
      </c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">
      <c r="A79" s="1">
        <v>489439</v>
      </c>
      <c r="B79" s="1">
        <v>85216</v>
      </c>
      <c r="C79" s="1" t="s">
        <v>106</v>
      </c>
      <c r="D79" s="1">
        <v>12</v>
      </c>
      <c r="E79" s="3">
        <v>40148.394444444442</v>
      </c>
      <c r="F79" s="1">
        <v>0.65</v>
      </c>
      <c r="G79" s="1">
        <v>12682</v>
      </c>
      <c r="H79" s="1" t="s">
        <v>100</v>
      </c>
      <c r="I79" s="1">
        <f t="shared" si="0"/>
        <v>7.8000000000000007</v>
      </c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">
      <c r="A80" s="1">
        <v>489439</v>
      </c>
      <c r="B80" s="1">
        <v>21493</v>
      </c>
      <c r="C80" s="1" t="s">
        <v>107</v>
      </c>
      <c r="D80" s="1">
        <v>12</v>
      </c>
      <c r="E80" s="3">
        <v>40148.394444444442</v>
      </c>
      <c r="F80" s="1">
        <v>0.85</v>
      </c>
      <c r="G80" s="1">
        <v>12682</v>
      </c>
      <c r="H80" s="1" t="s">
        <v>100</v>
      </c>
      <c r="I80" s="1">
        <f t="shared" si="0"/>
        <v>10.199999999999999</v>
      </c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">
      <c r="A81" s="1">
        <v>489439</v>
      </c>
      <c r="B81" s="1">
        <v>22064</v>
      </c>
      <c r="C81" s="1" t="s">
        <v>12</v>
      </c>
      <c r="D81" s="1">
        <v>12</v>
      </c>
      <c r="E81" s="3">
        <v>40148.394444444442</v>
      </c>
      <c r="F81" s="1">
        <v>1.65</v>
      </c>
      <c r="G81" s="1">
        <v>12682</v>
      </c>
      <c r="H81" s="1" t="s">
        <v>100</v>
      </c>
      <c r="I81" s="1">
        <f t="shared" si="0"/>
        <v>19.799999999999997</v>
      </c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">
      <c r="A82" s="1">
        <v>489439</v>
      </c>
      <c r="B82" s="1">
        <v>84691</v>
      </c>
      <c r="C82" s="1" t="s">
        <v>108</v>
      </c>
      <c r="D82" s="1">
        <v>12</v>
      </c>
      <c r="E82" s="3">
        <v>40148.394444444442</v>
      </c>
      <c r="F82" s="1">
        <v>0.85</v>
      </c>
      <c r="G82" s="1">
        <v>12682</v>
      </c>
      <c r="H82" s="1" t="s">
        <v>100</v>
      </c>
      <c r="I82" s="1">
        <f t="shared" si="0"/>
        <v>10.199999999999999</v>
      </c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">
      <c r="A83" s="1">
        <v>489439</v>
      </c>
      <c r="B83" s="1">
        <v>22138</v>
      </c>
      <c r="C83" s="1" t="s">
        <v>109</v>
      </c>
      <c r="D83" s="1">
        <v>9</v>
      </c>
      <c r="E83" s="3">
        <v>40148.394444444442</v>
      </c>
      <c r="F83" s="1">
        <v>4.95</v>
      </c>
      <c r="G83" s="1">
        <v>12682</v>
      </c>
      <c r="H83" s="1" t="s">
        <v>100</v>
      </c>
      <c r="I83" s="1">
        <f t="shared" si="0"/>
        <v>44.550000000000004</v>
      </c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">
      <c r="A84" s="1">
        <v>489439</v>
      </c>
      <c r="B84" s="1">
        <v>22139</v>
      </c>
      <c r="C84" s="1" t="s">
        <v>110</v>
      </c>
      <c r="D84" s="1">
        <v>9</v>
      </c>
      <c r="E84" s="3">
        <v>40148.394444444442</v>
      </c>
      <c r="F84" s="1">
        <v>4.95</v>
      </c>
      <c r="G84" s="1">
        <v>12682</v>
      </c>
      <c r="H84" s="1" t="s">
        <v>100</v>
      </c>
      <c r="I84" s="1">
        <f t="shared" si="0"/>
        <v>44.550000000000004</v>
      </c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">
      <c r="A85" s="1">
        <v>489439</v>
      </c>
      <c r="B85" s="1">
        <v>22333</v>
      </c>
      <c r="C85" s="1" t="s">
        <v>111</v>
      </c>
      <c r="D85" s="1">
        <v>8</v>
      </c>
      <c r="E85" s="3">
        <v>40148.394444444442</v>
      </c>
      <c r="F85" s="1">
        <v>1.65</v>
      </c>
      <c r="G85" s="1">
        <v>12682</v>
      </c>
      <c r="H85" s="1" t="s">
        <v>100</v>
      </c>
      <c r="I85" s="1">
        <f t="shared" si="0"/>
        <v>13.2</v>
      </c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">
      <c r="A86" s="1">
        <v>489439</v>
      </c>
      <c r="B86" s="1">
        <v>21491</v>
      </c>
      <c r="C86" s="1" t="s">
        <v>112</v>
      </c>
      <c r="D86" s="1">
        <v>6</v>
      </c>
      <c r="E86" s="3">
        <v>40148.394444444442</v>
      </c>
      <c r="F86" s="1">
        <v>1.95</v>
      </c>
      <c r="G86" s="1">
        <v>12682</v>
      </c>
      <c r="H86" s="1" t="s">
        <v>100</v>
      </c>
      <c r="I86" s="1">
        <f t="shared" si="0"/>
        <v>11.7</v>
      </c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">
      <c r="A87" s="1">
        <v>489439</v>
      </c>
      <c r="B87" s="1" t="s">
        <v>113</v>
      </c>
      <c r="C87" s="1" t="s">
        <v>114</v>
      </c>
      <c r="D87" s="1">
        <v>6</v>
      </c>
      <c r="E87" s="3">
        <v>40148.394444444442</v>
      </c>
      <c r="F87" s="1">
        <v>4.95</v>
      </c>
      <c r="G87" s="1">
        <v>12682</v>
      </c>
      <c r="H87" s="1" t="s">
        <v>100</v>
      </c>
      <c r="I87" s="1">
        <f t="shared" si="0"/>
        <v>29.700000000000003</v>
      </c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">
      <c r="A88" s="1">
        <v>489439</v>
      </c>
      <c r="B88" s="1" t="s">
        <v>115</v>
      </c>
      <c r="C88" s="1" t="s">
        <v>116</v>
      </c>
      <c r="D88" s="1">
        <v>3</v>
      </c>
      <c r="E88" s="3">
        <v>40148.394444444442</v>
      </c>
      <c r="F88" s="1">
        <v>5.95</v>
      </c>
      <c r="G88" s="1">
        <v>12682</v>
      </c>
      <c r="H88" s="1" t="s">
        <v>100</v>
      </c>
      <c r="I88" s="1">
        <f t="shared" si="0"/>
        <v>17.850000000000001</v>
      </c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">
      <c r="A89" s="1">
        <v>489439</v>
      </c>
      <c r="B89" s="1" t="s">
        <v>117</v>
      </c>
      <c r="C89" s="1" t="s">
        <v>118</v>
      </c>
      <c r="D89" s="1">
        <v>3</v>
      </c>
      <c r="E89" s="3">
        <v>40148.394444444442</v>
      </c>
      <c r="F89" s="1">
        <v>5.95</v>
      </c>
      <c r="G89" s="1">
        <v>12682</v>
      </c>
      <c r="H89" s="1" t="s">
        <v>100</v>
      </c>
      <c r="I89" s="1">
        <f t="shared" si="0"/>
        <v>17.850000000000001</v>
      </c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">
      <c r="A90" s="1">
        <v>489439</v>
      </c>
      <c r="B90" s="1" t="s">
        <v>119</v>
      </c>
      <c r="C90" s="1" t="s">
        <v>120</v>
      </c>
      <c r="D90" s="1">
        <v>3</v>
      </c>
      <c r="E90" s="3">
        <v>40148.394444444442</v>
      </c>
      <c r="F90" s="1">
        <v>18</v>
      </c>
      <c r="G90" s="1">
        <v>12682</v>
      </c>
      <c r="H90" s="1" t="s">
        <v>100</v>
      </c>
      <c r="I90" s="1">
        <f t="shared" si="0"/>
        <v>54</v>
      </c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">
      <c r="A91" s="1">
        <v>489439</v>
      </c>
      <c r="B91" s="1">
        <v>20749</v>
      </c>
      <c r="C91" s="1" t="s">
        <v>121</v>
      </c>
      <c r="D91" s="1">
        <v>2</v>
      </c>
      <c r="E91" s="3">
        <v>40148.394444444442</v>
      </c>
      <c r="F91" s="1">
        <v>7.95</v>
      </c>
      <c r="G91" s="1">
        <v>12682</v>
      </c>
      <c r="H91" s="1" t="s">
        <v>100</v>
      </c>
      <c r="I91" s="1">
        <f t="shared" si="0"/>
        <v>15.9</v>
      </c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">
      <c r="A92" s="1">
        <v>489440</v>
      </c>
      <c r="B92" s="1">
        <v>22350</v>
      </c>
      <c r="C92" s="1" t="s">
        <v>21</v>
      </c>
      <c r="D92" s="1">
        <v>8</v>
      </c>
      <c r="E92" s="3">
        <v>40148.404861111114</v>
      </c>
      <c r="F92" s="1">
        <v>2.5499999999999998</v>
      </c>
      <c r="G92" s="1">
        <v>18087</v>
      </c>
      <c r="H92" s="1" t="s">
        <v>10</v>
      </c>
      <c r="I92" s="1">
        <f t="shared" si="0"/>
        <v>20.399999999999999</v>
      </c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">
      <c r="A93" s="1">
        <v>489440</v>
      </c>
      <c r="B93" s="1">
        <v>22349</v>
      </c>
      <c r="C93" s="1" t="s">
        <v>22</v>
      </c>
      <c r="D93" s="1">
        <v>8</v>
      </c>
      <c r="E93" s="3">
        <v>40148.404861111114</v>
      </c>
      <c r="F93" s="1">
        <v>3.75</v>
      </c>
      <c r="G93" s="1">
        <v>18087</v>
      </c>
      <c r="H93" s="1" t="s">
        <v>10</v>
      </c>
      <c r="I93" s="1">
        <f t="shared" si="0"/>
        <v>30</v>
      </c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">
      <c r="A94" s="1">
        <v>489441</v>
      </c>
      <c r="B94" s="1">
        <v>22111</v>
      </c>
      <c r="C94" s="1" t="s">
        <v>24</v>
      </c>
      <c r="D94" s="1">
        <v>48</v>
      </c>
      <c r="E94" s="3">
        <v>40148.405555555553</v>
      </c>
      <c r="F94" s="1">
        <v>4.25</v>
      </c>
      <c r="G94" s="1">
        <v>18087</v>
      </c>
      <c r="H94" s="1" t="s">
        <v>10</v>
      </c>
      <c r="I94" s="1">
        <f t="shared" si="0"/>
        <v>204</v>
      </c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">
      <c r="A95" s="1">
        <v>489441</v>
      </c>
      <c r="B95" s="1" t="s">
        <v>122</v>
      </c>
      <c r="C95" s="1" t="s">
        <v>123</v>
      </c>
      <c r="D95" s="1">
        <v>36</v>
      </c>
      <c r="E95" s="3">
        <v>40148.405555555553</v>
      </c>
      <c r="F95" s="1">
        <v>2.95</v>
      </c>
      <c r="G95" s="1">
        <v>18087</v>
      </c>
      <c r="H95" s="1" t="s">
        <v>10</v>
      </c>
      <c r="I95" s="1">
        <f t="shared" si="0"/>
        <v>106.2</v>
      </c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1">
        <v>489441</v>
      </c>
      <c r="B96" s="1">
        <v>22321</v>
      </c>
      <c r="C96" s="1" t="s">
        <v>124</v>
      </c>
      <c r="D96" s="1">
        <v>12</v>
      </c>
      <c r="E96" s="3">
        <v>40148.405555555553</v>
      </c>
      <c r="F96" s="1">
        <v>0.72</v>
      </c>
      <c r="G96" s="1">
        <v>18087</v>
      </c>
      <c r="H96" s="1" t="s">
        <v>10</v>
      </c>
      <c r="I96" s="1">
        <f t="shared" si="0"/>
        <v>8.64</v>
      </c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">
      <c r="A97" s="1">
        <v>489441</v>
      </c>
      <c r="B97" s="1">
        <v>22138</v>
      </c>
      <c r="C97" s="1" t="s">
        <v>109</v>
      </c>
      <c r="D97" s="1">
        <v>6</v>
      </c>
      <c r="E97" s="3">
        <v>40148.405555555553</v>
      </c>
      <c r="F97" s="1">
        <v>4.25</v>
      </c>
      <c r="G97" s="1">
        <v>18087</v>
      </c>
      <c r="H97" s="1" t="s">
        <v>10</v>
      </c>
      <c r="I97" s="1">
        <f t="shared" si="0"/>
        <v>25.5</v>
      </c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">
      <c r="A98" s="1">
        <v>489442</v>
      </c>
      <c r="B98" s="1">
        <v>21590</v>
      </c>
      <c r="C98" s="1" t="s">
        <v>125</v>
      </c>
      <c r="D98" s="1">
        <v>48</v>
      </c>
      <c r="E98" s="3">
        <v>40148.406944444447</v>
      </c>
      <c r="F98" s="1">
        <v>1.25</v>
      </c>
      <c r="G98" s="1">
        <v>13635</v>
      </c>
      <c r="H98" s="1" t="s">
        <v>10</v>
      </c>
      <c r="I98" s="1">
        <f t="shared" si="0"/>
        <v>60</v>
      </c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">
      <c r="A99" s="1">
        <v>489442</v>
      </c>
      <c r="B99" s="1">
        <v>21916</v>
      </c>
      <c r="C99" s="1" t="s">
        <v>126</v>
      </c>
      <c r="D99" s="1">
        <v>24</v>
      </c>
      <c r="E99" s="3">
        <v>40148.406944444447</v>
      </c>
      <c r="F99" s="1">
        <v>0.42</v>
      </c>
      <c r="G99" s="1">
        <v>13635</v>
      </c>
      <c r="H99" s="1" t="s">
        <v>10</v>
      </c>
      <c r="I99" s="1">
        <f t="shared" si="0"/>
        <v>10.08</v>
      </c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">
      <c r="A100" s="1">
        <v>489442</v>
      </c>
      <c r="B100" s="1">
        <v>21582</v>
      </c>
      <c r="C100" s="1" t="s">
        <v>127</v>
      </c>
      <c r="D100" s="1">
        <v>20</v>
      </c>
      <c r="E100" s="3">
        <v>40148.406944444447</v>
      </c>
      <c r="F100" s="1">
        <v>1.65</v>
      </c>
      <c r="G100" s="1">
        <v>13635</v>
      </c>
      <c r="H100" s="1" t="s">
        <v>10</v>
      </c>
      <c r="I100" s="1">
        <f t="shared" si="0"/>
        <v>33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">
      <c r="A101" s="1">
        <v>489442</v>
      </c>
      <c r="B101" s="1">
        <v>22296</v>
      </c>
      <c r="C101" s="1" t="s">
        <v>29</v>
      </c>
      <c r="D101" s="1">
        <v>12</v>
      </c>
      <c r="E101" s="3">
        <v>40148.406944444447</v>
      </c>
      <c r="F101" s="1">
        <v>1.65</v>
      </c>
      <c r="G101" s="1">
        <v>13635</v>
      </c>
      <c r="H101" s="1" t="s">
        <v>10</v>
      </c>
      <c r="I101" s="1">
        <f t="shared" si="0"/>
        <v>19.799999999999997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">
      <c r="A102" s="1">
        <v>489442</v>
      </c>
      <c r="B102" s="1" t="s">
        <v>128</v>
      </c>
      <c r="C102" s="1" t="s">
        <v>129</v>
      </c>
      <c r="D102" s="1">
        <v>12</v>
      </c>
      <c r="E102" s="3">
        <v>40148.406944444447</v>
      </c>
      <c r="F102" s="1">
        <v>1.25</v>
      </c>
      <c r="G102" s="1">
        <v>13635</v>
      </c>
      <c r="H102" s="1" t="s">
        <v>10</v>
      </c>
      <c r="I102" s="1">
        <f t="shared" si="0"/>
        <v>15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">
      <c r="A103" s="1">
        <v>489442</v>
      </c>
      <c r="B103" s="1">
        <v>21586</v>
      </c>
      <c r="C103" s="1" t="s">
        <v>130</v>
      </c>
      <c r="D103" s="1">
        <v>12</v>
      </c>
      <c r="E103" s="3">
        <v>40148.406944444447</v>
      </c>
      <c r="F103" s="1">
        <v>2.5499999999999998</v>
      </c>
      <c r="G103" s="1">
        <v>13635</v>
      </c>
      <c r="H103" s="1" t="s">
        <v>10</v>
      </c>
      <c r="I103" s="1">
        <f t="shared" si="0"/>
        <v>30.599999999999998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">
      <c r="A104" s="1">
        <v>489442</v>
      </c>
      <c r="B104" s="1">
        <v>22091</v>
      </c>
      <c r="C104" s="1" t="s">
        <v>131</v>
      </c>
      <c r="D104" s="1">
        <v>12</v>
      </c>
      <c r="E104" s="3">
        <v>40148.406944444447</v>
      </c>
      <c r="F104" s="1">
        <v>1.25</v>
      </c>
      <c r="G104" s="1">
        <v>13635</v>
      </c>
      <c r="H104" s="1" t="s">
        <v>10</v>
      </c>
      <c r="I104" s="1">
        <f t="shared" si="0"/>
        <v>15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">
      <c r="A105" s="1">
        <v>489442</v>
      </c>
      <c r="B105" s="1" t="s">
        <v>132</v>
      </c>
      <c r="C105" s="1" t="s">
        <v>133</v>
      </c>
      <c r="D105" s="1">
        <v>12</v>
      </c>
      <c r="E105" s="3">
        <v>40148.406944444447</v>
      </c>
      <c r="F105" s="1">
        <v>0.42</v>
      </c>
      <c r="G105" s="1">
        <v>13635</v>
      </c>
      <c r="H105" s="1" t="s">
        <v>10</v>
      </c>
      <c r="I105" s="1">
        <f t="shared" si="0"/>
        <v>5.04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">
      <c r="A106" s="1">
        <v>489442</v>
      </c>
      <c r="B106" s="1">
        <v>22024</v>
      </c>
      <c r="C106" s="1" t="s">
        <v>134</v>
      </c>
      <c r="D106" s="1">
        <v>12</v>
      </c>
      <c r="E106" s="3">
        <v>40148.406944444447</v>
      </c>
      <c r="F106" s="1">
        <v>0.42</v>
      </c>
      <c r="G106" s="1">
        <v>13635</v>
      </c>
      <c r="H106" s="1" t="s">
        <v>10</v>
      </c>
      <c r="I106" s="1">
        <f t="shared" si="0"/>
        <v>5.04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">
      <c r="A107" s="1">
        <v>489442</v>
      </c>
      <c r="B107" s="1">
        <v>22026</v>
      </c>
      <c r="C107" s="1" t="s">
        <v>135</v>
      </c>
      <c r="D107" s="1">
        <v>12</v>
      </c>
      <c r="E107" s="3">
        <v>40148.406944444447</v>
      </c>
      <c r="F107" s="1">
        <v>0.42</v>
      </c>
      <c r="G107" s="1">
        <v>13635</v>
      </c>
      <c r="H107" s="1" t="s">
        <v>10</v>
      </c>
      <c r="I107" s="1">
        <f t="shared" si="0"/>
        <v>5.04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">
      <c r="A108" s="1">
        <v>489442</v>
      </c>
      <c r="B108" s="1">
        <v>22029</v>
      </c>
      <c r="C108" s="1" t="s">
        <v>136</v>
      </c>
      <c r="D108" s="1">
        <v>12</v>
      </c>
      <c r="E108" s="3">
        <v>40148.406944444447</v>
      </c>
      <c r="F108" s="1">
        <v>0.42</v>
      </c>
      <c r="G108" s="1">
        <v>13635</v>
      </c>
      <c r="H108" s="1" t="s">
        <v>10</v>
      </c>
      <c r="I108" s="1">
        <f t="shared" si="0"/>
        <v>5.04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">
      <c r="A109" s="1">
        <v>489442</v>
      </c>
      <c r="B109" s="1">
        <v>22025</v>
      </c>
      <c r="C109" s="1" t="s">
        <v>137</v>
      </c>
      <c r="D109" s="1">
        <v>12</v>
      </c>
      <c r="E109" s="3">
        <v>40148.406944444447</v>
      </c>
      <c r="F109" s="1">
        <v>0.42</v>
      </c>
      <c r="G109" s="1">
        <v>13635</v>
      </c>
      <c r="H109" s="1" t="s">
        <v>10</v>
      </c>
      <c r="I109" s="1">
        <f t="shared" si="0"/>
        <v>5.04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">
      <c r="A110" s="1">
        <v>489442</v>
      </c>
      <c r="B110" s="1">
        <v>22031</v>
      </c>
      <c r="C110" s="1" t="s">
        <v>138</v>
      </c>
      <c r="D110" s="1">
        <v>12</v>
      </c>
      <c r="E110" s="3">
        <v>40148.406944444447</v>
      </c>
      <c r="F110" s="1">
        <v>0.42</v>
      </c>
      <c r="G110" s="1">
        <v>13635</v>
      </c>
      <c r="H110" s="1" t="s">
        <v>10</v>
      </c>
      <c r="I110" s="1">
        <f t="shared" si="0"/>
        <v>5.04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">
      <c r="A111" s="1">
        <v>489442</v>
      </c>
      <c r="B111" s="1">
        <v>21790</v>
      </c>
      <c r="C111" s="1" t="s">
        <v>139</v>
      </c>
      <c r="D111" s="1">
        <v>12</v>
      </c>
      <c r="E111" s="3">
        <v>40148.406944444447</v>
      </c>
      <c r="F111" s="1">
        <v>0.85</v>
      </c>
      <c r="G111" s="1">
        <v>13635</v>
      </c>
      <c r="H111" s="1" t="s">
        <v>10</v>
      </c>
      <c r="I111" s="1">
        <f t="shared" si="0"/>
        <v>10.199999999999999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2">
      <c r="A112" s="1">
        <v>489442</v>
      </c>
      <c r="B112" s="1">
        <v>85178</v>
      </c>
      <c r="C112" s="1" t="s">
        <v>140</v>
      </c>
      <c r="D112" s="1">
        <v>12</v>
      </c>
      <c r="E112" s="3">
        <v>40148.406944444447</v>
      </c>
      <c r="F112" s="1">
        <v>1.25</v>
      </c>
      <c r="G112" s="1">
        <v>13635</v>
      </c>
      <c r="H112" s="1" t="s">
        <v>10</v>
      </c>
      <c r="I112" s="1">
        <f t="shared" si="0"/>
        <v>15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">
      <c r="A113" s="1">
        <v>489442</v>
      </c>
      <c r="B113" s="1">
        <v>21888</v>
      </c>
      <c r="C113" s="1" t="s">
        <v>141</v>
      </c>
      <c r="D113" s="1">
        <v>8</v>
      </c>
      <c r="E113" s="3">
        <v>40148.406944444447</v>
      </c>
      <c r="F113" s="1">
        <v>3.75</v>
      </c>
      <c r="G113" s="1">
        <v>13635</v>
      </c>
      <c r="H113" s="1" t="s">
        <v>10</v>
      </c>
      <c r="I113" s="1">
        <f t="shared" si="0"/>
        <v>30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">
      <c r="A114" s="1">
        <v>489442</v>
      </c>
      <c r="B114" s="1">
        <v>22271</v>
      </c>
      <c r="C114" s="1" t="s">
        <v>59</v>
      </c>
      <c r="D114" s="1">
        <v>6</v>
      </c>
      <c r="E114" s="3">
        <v>40148.406944444447</v>
      </c>
      <c r="F114" s="1">
        <v>2.95</v>
      </c>
      <c r="G114" s="1">
        <v>13635</v>
      </c>
      <c r="H114" s="1" t="s">
        <v>10</v>
      </c>
      <c r="I114" s="1">
        <f t="shared" si="0"/>
        <v>17.700000000000003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">
      <c r="A115" s="1">
        <v>489442</v>
      </c>
      <c r="B115" s="1">
        <v>22272</v>
      </c>
      <c r="C115" s="1" t="s">
        <v>60</v>
      </c>
      <c r="D115" s="1">
        <v>6</v>
      </c>
      <c r="E115" s="3">
        <v>40148.406944444447</v>
      </c>
      <c r="F115" s="1">
        <v>2.95</v>
      </c>
      <c r="G115" s="1">
        <v>13635</v>
      </c>
      <c r="H115" s="1" t="s">
        <v>10</v>
      </c>
      <c r="I115" s="1">
        <f t="shared" si="0"/>
        <v>17.700000000000003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">
      <c r="A116" s="1">
        <v>489442</v>
      </c>
      <c r="B116" s="1" t="s">
        <v>142</v>
      </c>
      <c r="C116" s="1" t="s">
        <v>143</v>
      </c>
      <c r="D116" s="1">
        <v>6</v>
      </c>
      <c r="E116" s="3">
        <v>40148.406944444447</v>
      </c>
      <c r="F116" s="1">
        <v>2.95</v>
      </c>
      <c r="G116" s="1">
        <v>13635</v>
      </c>
      <c r="H116" s="1" t="s">
        <v>10</v>
      </c>
      <c r="I116" s="1">
        <f t="shared" si="0"/>
        <v>17.700000000000003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">
      <c r="A117" s="1">
        <v>489442</v>
      </c>
      <c r="B117" s="1">
        <v>21428</v>
      </c>
      <c r="C117" s="1" t="s">
        <v>144</v>
      </c>
      <c r="D117" s="1">
        <v>4</v>
      </c>
      <c r="E117" s="3">
        <v>40148.406944444447</v>
      </c>
      <c r="F117" s="1">
        <v>4.25</v>
      </c>
      <c r="G117" s="1">
        <v>13635</v>
      </c>
      <c r="H117" s="1" t="s">
        <v>10</v>
      </c>
      <c r="I117" s="1">
        <f t="shared" si="0"/>
        <v>17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">
      <c r="A118" s="1">
        <v>489442</v>
      </c>
      <c r="B118" s="1">
        <v>21430</v>
      </c>
      <c r="C118" s="1" t="s">
        <v>145</v>
      </c>
      <c r="D118" s="1">
        <v>4</v>
      </c>
      <c r="E118" s="3">
        <v>40148.406944444447</v>
      </c>
      <c r="F118" s="1">
        <v>3.75</v>
      </c>
      <c r="G118" s="1">
        <v>13635</v>
      </c>
      <c r="H118" s="1" t="s">
        <v>10</v>
      </c>
      <c r="I118" s="1">
        <f t="shared" si="0"/>
        <v>15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">
      <c r="A119" s="1">
        <v>489442</v>
      </c>
      <c r="B119" s="1">
        <v>22111</v>
      </c>
      <c r="C119" s="1" t="s">
        <v>24</v>
      </c>
      <c r="D119" s="1">
        <v>3</v>
      </c>
      <c r="E119" s="3">
        <v>40148.406944444447</v>
      </c>
      <c r="F119" s="1">
        <v>4.95</v>
      </c>
      <c r="G119" s="1">
        <v>13635</v>
      </c>
      <c r="H119" s="1" t="s">
        <v>10</v>
      </c>
      <c r="I119" s="1">
        <f t="shared" si="0"/>
        <v>14.850000000000001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">
      <c r="A120" s="1">
        <v>489442</v>
      </c>
      <c r="B120" s="1">
        <v>21955</v>
      </c>
      <c r="C120" s="1" t="s">
        <v>146</v>
      </c>
      <c r="D120" s="1">
        <v>2</v>
      </c>
      <c r="E120" s="3">
        <v>40148.406944444447</v>
      </c>
      <c r="F120" s="1">
        <v>6.75</v>
      </c>
      <c r="G120" s="1">
        <v>13635</v>
      </c>
      <c r="H120" s="1" t="s">
        <v>10</v>
      </c>
      <c r="I120" s="1">
        <f t="shared" si="0"/>
        <v>13.5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">
      <c r="A121" s="1">
        <v>489443</v>
      </c>
      <c r="B121" s="1">
        <v>22041</v>
      </c>
      <c r="C121" s="1" t="s">
        <v>9</v>
      </c>
      <c r="D121" s="1">
        <v>48</v>
      </c>
      <c r="E121" s="3">
        <v>40148.409722222219</v>
      </c>
      <c r="F121" s="1">
        <v>2.1</v>
      </c>
      <c r="G121" s="1">
        <v>14110</v>
      </c>
      <c r="H121" s="1" t="s">
        <v>10</v>
      </c>
      <c r="I121" s="1">
        <f t="shared" si="0"/>
        <v>100.80000000000001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2">
      <c r="A122" s="1">
        <v>489443</v>
      </c>
      <c r="B122" s="1" t="s">
        <v>147</v>
      </c>
      <c r="C122" s="1" t="s">
        <v>148</v>
      </c>
      <c r="D122" s="1">
        <v>24</v>
      </c>
      <c r="E122" s="3">
        <v>40148.409722222219</v>
      </c>
      <c r="F122" s="1">
        <v>3.39</v>
      </c>
      <c r="G122" s="1">
        <v>14110</v>
      </c>
      <c r="H122" s="1" t="s">
        <v>10</v>
      </c>
      <c r="I122" s="1">
        <f t="shared" si="0"/>
        <v>81.36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">
      <c r="A123" s="1">
        <v>489443</v>
      </c>
      <c r="B123" s="1">
        <v>21035</v>
      </c>
      <c r="C123" s="1" t="s">
        <v>149</v>
      </c>
      <c r="D123" s="1">
        <v>12</v>
      </c>
      <c r="E123" s="3">
        <v>40148.409722222219</v>
      </c>
      <c r="F123" s="1">
        <v>2.95</v>
      </c>
      <c r="G123" s="1">
        <v>14110</v>
      </c>
      <c r="H123" s="1" t="s">
        <v>10</v>
      </c>
      <c r="I123" s="1">
        <f t="shared" si="0"/>
        <v>35.400000000000006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">
      <c r="A124" s="1">
        <v>489443</v>
      </c>
      <c r="B124" s="1">
        <v>82580</v>
      </c>
      <c r="C124" s="1" t="s">
        <v>150</v>
      </c>
      <c r="D124" s="1">
        <v>12</v>
      </c>
      <c r="E124" s="3">
        <v>40148.409722222219</v>
      </c>
      <c r="F124" s="1">
        <v>0.55000000000000004</v>
      </c>
      <c r="G124" s="1">
        <v>14110</v>
      </c>
      <c r="H124" s="1" t="s">
        <v>10</v>
      </c>
      <c r="I124" s="1">
        <f t="shared" si="0"/>
        <v>6.6000000000000005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">
      <c r="A125" s="1">
        <v>489443</v>
      </c>
      <c r="B125" s="1">
        <v>85150</v>
      </c>
      <c r="C125" s="1" t="s">
        <v>151</v>
      </c>
      <c r="D125" s="1">
        <v>12</v>
      </c>
      <c r="E125" s="3">
        <v>40148.409722222219</v>
      </c>
      <c r="F125" s="1">
        <v>2.5499999999999998</v>
      </c>
      <c r="G125" s="1">
        <v>14110</v>
      </c>
      <c r="H125" s="1" t="s">
        <v>10</v>
      </c>
      <c r="I125" s="1">
        <f t="shared" si="0"/>
        <v>30.599999999999998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">
      <c r="A126" s="1">
        <v>489443</v>
      </c>
      <c r="B126" s="1">
        <v>20754</v>
      </c>
      <c r="C126" s="1" t="s">
        <v>152</v>
      </c>
      <c r="D126" s="1">
        <v>6</v>
      </c>
      <c r="E126" s="3">
        <v>40148.409722222219</v>
      </c>
      <c r="F126" s="1">
        <v>2.1</v>
      </c>
      <c r="G126" s="1">
        <v>14110</v>
      </c>
      <c r="H126" s="1" t="s">
        <v>10</v>
      </c>
      <c r="I126" s="1">
        <f t="shared" si="0"/>
        <v>12.600000000000001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">
      <c r="A127" s="1">
        <v>489443</v>
      </c>
      <c r="B127" s="1">
        <v>21041</v>
      </c>
      <c r="C127" s="1" t="s">
        <v>153</v>
      </c>
      <c r="D127" s="1">
        <v>6</v>
      </c>
      <c r="E127" s="3">
        <v>40148.409722222219</v>
      </c>
      <c r="F127" s="1">
        <v>2.95</v>
      </c>
      <c r="G127" s="1">
        <v>14110</v>
      </c>
      <c r="H127" s="1" t="s">
        <v>10</v>
      </c>
      <c r="I127" s="1">
        <f t="shared" si="0"/>
        <v>17.700000000000003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">
      <c r="A128" s="1">
        <v>489444</v>
      </c>
      <c r="B128" s="1" t="s">
        <v>119</v>
      </c>
      <c r="C128" s="1" t="s">
        <v>120</v>
      </c>
      <c r="D128" s="1">
        <v>1</v>
      </c>
      <c r="E128" s="3">
        <v>40148.413194444445</v>
      </c>
      <c r="F128" s="1">
        <v>141</v>
      </c>
      <c r="G128" s="1">
        <v>12636</v>
      </c>
      <c r="H128" s="1" t="s">
        <v>154</v>
      </c>
      <c r="I128" s="1">
        <f t="shared" si="0"/>
        <v>141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">
      <c r="A129" s="1">
        <v>489445</v>
      </c>
      <c r="B129" s="1">
        <v>35951</v>
      </c>
      <c r="C129" s="1" t="s">
        <v>155</v>
      </c>
      <c r="D129" s="1">
        <v>48</v>
      </c>
      <c r="E129" s="3">
        <v>40148.414583333331</v>
      </c>
      <c r="F129" s="1">
        <v>0.38</v>
      </c>
      <c r="G129" s="1">
        <v>17519</v>
      </c>
      <c r="H129" s="1" t="s">
        <v>10</v>
      </c>
      <c r="I129" s="1">
        <f t="shared" si="0"/>
        <v>18.240000000000002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">
      <c r="A130" s="1">
        <v>489445</v>
      </c>
      <c r="B130" s="1">
        <v>22321</v>
      </c>
      <c r="C130" s="1" t="s">
        <v>124</v>
      </c>
      <c r="D130" s="1">
        <v>24</v>
      </c>
      <c r="E130" s="3">
        <v>40148.414583333331</v>
      </c>
      <c r="F130" s="1">
        <v>0.85</v>
      </c>
      <c r="G130" s="1">
        <v>17519</v>
      </c>
      <c r="H130" s="1" t="s">
        <v>10</v>
      </c>
      <c r="I130" s="1">
        <f t="shared" si="0"/>
        <v>20.399999999999999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2">
      <c r="A131" s="1">
        <v>489445</v>
      </c>
      <c r="B131" s="1">
        <v>22219</v>
      </c>
      <c r="C131" s="1" t="s">
        <v>156</v>
      </c>
      <c r="D131" s="1">
        <v>24</v>
      </c>
      <c r="E131" s="3">
        <v>40148.414583333331</v>
      </c>
      <c r="F131" s="1">
        <v>0.85</v>
      </c>
      <c r="G131" s="1">
        <v>17519</v>
      </c>
      <c r="H131" s="1" t="s">
        <v>10</v>
      </c>
      <c r="I131" s="1">
        <f t="shared" si="0"/>
        <v>20.399999999999999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">
      <c r="A132" s="1">
        <v>489445</v>
      </c>
      <c r="B132" s="1">
        <v>21099</v>
      </c>
      <c r="C132" s="1" t="s">
        <v>157</v>
      </c>
      <c r="D132" s="1">
        <v>24</v>
      </c>
      <c r="E132" s="3">
        <v>40148.414583333331</v>
      </c>
      <c r="F132" s="1">
        <v>0.65</v>
      </c>
      <c r="G132" s="1">
        <v>17519</v>
      </c>
      <c r="H132" s="1" t="s">
        <v>10</v>
      </c>
      <c r="I132" s="1">
        <f t="shared" si="0"/>
        <v>15.600000000000001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">
      <c r="A133" s="1">
        <v>489445</v>
      </c>
      <c r="B133" s="1">
        <v>21085</v>
      </c>
      <c r="C133" s="1" t="s">
        <v>158</v>
      </c>
      <c r="D133" s="1">
        <v>24</v>
      </c>
      <c r="E133" s="3">
        <v>40148.414583333331</v>
      </c>
      <c r="F133" s="1">
        <v>0.65</v>
      </c>
      <c r="G133" s="1">
        <v>17519</v>
      </c>
      <c r="H133" s="1" t="s">
        <v>10</v>
      </c>
      <c r="I133" s="1">
        <f t="shared" si="0"/>
        <v>15.600000000000001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">
      <c r="A134" s="1">
        <v>489445</v>
      </c>
      <c r="B134" s="1">
        <v>22241</v>
      </c>
      <c r="C134" s="1" t="s">
        <v>159</v>
      </c>
      <c r="D134" s="1">
        <v>24</v>
      </c>
      <c r="E134" s="3">
        <v>40148.414583333331</v>
      </c>
      <c r="F134" s="1">
        <v>1.25</v>
      </c>
      <c r="G134" s="1">
        <v>17519</v>
      </c>
      <c r="H134" s="1" t="s">
        <v>10</v>
      </c>
      <c r="I134" s="1">
        <f t="shared" si="0"/>
        <v>30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">
      <c r="A135" s="1">
        <v>489445</v>
      </c>
      <c r="B135" s="1" t="s">
        <v>160</v>
      </c>
      <c r="C135" s="1" t="s">
        <v>161</v>
      </c>
      <c r="D135" s="1">
        <v>12</v>
      </c>
      <c r="E135" s="3">
        <v>40148.414583333331</v>
      </c>
      <c r="F135" s="1">
        <v>0.85</v>
      </c>
      <c r="G135" s="1">
        <v>17519</v>
      </c>
      <c r="H135" s="1" t="s">
        <v>10</v>
      </c>
      <c r="I135" s="1">
        <f t="shared" si="0"/>
        <v>10.199999999999999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">
      <c r="A136" s="1">
        <v>489445</v>
      </c>
      <c r="B136" s="1" t="s">
        <v>162</v>
      </c>
      <c r="C136" s="1" t="s">
        <v>163</v>
      </c>
      <c r="D136" s="1">
        <v>12</v>
      </c>
      <c r="E136" s="3">
        <v>40148.414583333331</v>
      </c>
      <c r="F136" s="1">
        <v>0.85</v>
      </c>
      <c r="G136" s="1">
        <v>17519</v>
      </c>
      <c r="H136" s="1" t="s">
        <v>10</v>
      </c>
      <c r="I136" s="1">
        <f t="shared" si="0"/>
        <v>10.199999999999999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">
      <c r="A137" s="1">
        <v>489445</v>
      </c>
      <c r="B137" s="1">
        <v>22130</v>
      </c>
      <c r="C137" s="1" t="s">
        <v>47</v>
      </c>
      <c r="D137" s="1">
        <v>12</v>
      </c>
      <c r="E137" s="3">
        <v>40148.414583333331</v>
      </c>
      <c r="F137" s="1">
        <v>0.85</v>
      </c>
      <c r="G137" s="1">
        <v>17519</v>
      </c>
      <c r="H137" s="1" t="s">
        <v>10</v>
      </c>
      <c r="I137" s="1">
        <f t="shared" si="0"/>
        <v>10.199999999999999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">
      <c r="A138" s="1">
        <v>489445</v>
      </c>
      <c r="B138" s="1">
        <v>22128</v>
      </c>
      <c r="C138" s="1" t="s">
        <v>164</v>
      </c>
      <c r="D138" s="1">
        <v>12</v>
      </c>
      <c r="E138" s="3">
        <v>40148.414583333331</v>
      </c>
      <c r="F138" s="1">
        <v>1.25</v>
      </c>
      <c r="G138" s="1">
        <v>17519</v>
      </c>
      <c r="H138" s="1" t="s">
        <v>10</v>
      </c>
      <c r="I138" s="1">
        <f t="shared" si="0"/>
        <v>15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">
      <c r="A139" s="1">
        <v>489445</v>
      </c>
      <c r="B139" s="1">
        <v>22253</v>
      </c>
      <c r="C139" s="1" t="s">
        <v>165</v>
      </c>
      <c r="D139" s="1">
        <v>12</v>
      </c>
      <c r="E139" s="3">
        <v>40148.414583333331</v>
      </c>
      <c r="F139" s="1">
        <v>1.25</v>
      </c>
      <c r="G139" s="1">
        <v>17519</v>
      </c>
      <c r="H139" s="1" t="s">
        <v>10</v>
      </c>
      <c r="I139" s="1">
        <f t="shared" si="0"/>
        <v>15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">
      <c r="A140" s="1">
        <v>489445</v>
      </c>
      <c r="B140" s="1">
        <v>84988</v>
      </c>
      <c r="C140" s="1" t="s">
        <v>166</v>
      </c>
      <c r="D140" s="1">
        <v>12</v>
      </c>
      <c r="E140" s="3">
        <v>40148.414583333331</v>
      </c>
      <c r="F140" s="1">
        <v>1.45</v>
      </c>
      <c r="G140" s="1">
        <v>17519</v>
      </c>
      <c r="H140" s="1" t="s">
        <v>10</v>
      </c>
      <c r="I140" s="1">
        <f t="shared" si="0"/>
        <v>17.399999999999999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">
      <c r="A141" s="1">
        <v>489445</v>
      </c>
      <c r="B141" s="1">
        <v>21091</v>
      </c>
      <c r="C141" s="1" t="s">
        <v>167</v>
      </c>
      <c r="D141" s="1">
        <v>12</v>
      </c>
      <c r="E141" s="3">
        <v>40148.414583333331</v>
      </c>
      <c r="F141" s="1">
        <v>0.85</v>
      </c>
      <c r="G141" s="1">
        <v>17519</v>
      </c>
      <c r="H141" s="1" t="s">
        <v>10</v>
      </c>
      <c r="I141" s="1">
        <f t="shared" si="0"/>
        <v>10.199999999999999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">
      <c r="A142" s="1">
        <v>489445</v>
      </c>
      <c r="B142" s="1">
        <v>21929</v>
      </c>
      <c r="C142" s="1" t="s">
        <v>168</v>
      </c>
      <c r="D142" s="1">
        <v>10</v>
      </c>
      <c r="E142" s="3">
        <v>40148.414583333331</v>
      </c>
      <c r="F142" s="1">
        <v>1.95</v>
      </c>
      <c r="G142" s="1">
        <v>17519</v>
      </c>
      <c r="H142" s="1" t="s">
        <v>10</v>
      </c>
      <c r="I142" s="1">
        <f t="shared" si="0"/>
        <v>19.5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">
      <c r="A143" s="1">
        <v>489445</v>
      </c>
      <c r="B143" s="1">
        <v>22163</v>
      </c>
      <c r="C143" s="1" t="s">
        <v>169</v>
      </c>
      <c r="D143" s="1">
        <v>6</v>
      </c>
      <c r="E143" s="3">
        <v>40148.414583333331</v>
      </c>
      <c r="F143" s="1">
        <v>2.95</v>
      </c>
      <c r="G143" s="1">
        <v>17519</v>
      </c>
      <c r="H143" s="1" t="s">
        <v>10</v>
      </c>
      <c r="I143" s="1">
        <f t="shared" si="0"/>
        <v>17.700000000000003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">
      <c r="A144" s="1">
        <v>489445</v>
      </c>
      <c r="B144" s="1" t="s">
        <v>170</v>
      </c>
      <c r="C144" s="1" t="s">
        <v>171</v>
      </c>
      <c r="D144" s="1">
        <v>6</v>
      </c>
      <c r="E144" s="3">
        <v>40148.414583333331</v>
      </c>
      <c r="F144" s="1">
        <v>2.5499999999999998</v>
      </c>
      <c r="G144" s="1">
        <v>17519</v>
      </c>
      <c r="H144" s="1" t="s">
        <v>10</v>
      </c>
      <c r="I144" s="1">
        <f t="shared" si="0"/>
        <v>15.299999999999999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">
      <c r="A145" s="1">
        <v>489445</v>
      </c>
      <c r="B145" s="1">
        <v>22138</v>
      </c>
      <c r="C145" s="1" t="s">
        <v>109</v>
      </c>
      <c r="D145" s="1">
        <v>3</v>
      </c>
      <c r="E145" s="3">
        <v>40148.414583333331</v>
      </c>
      <c r="F145" s="1">
        <v>4.95</v>
      </c>
      <c r="G145" s="1">
        <v>17519</v>
      </c>
      <c r="H145" s="1" t="s">
        <v>10</v>
      </c>
      <c r="I145" s="1">
        <f t="shared" si="0"/>
        <v>14.850000000000001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">
      <c r="A146" s="1">
        <v>489445</v>
      </c>
      <c r="B146" s="1">
        <v>22180</v>
      </c>
      <c r="C146" s="1" t="s">
        <v>172</v>
      </c>
      <c r="D146" s="1">
        <v>2</v>
      </c>
      <c r="E146" s="3">
        <v>40148.414583333331</v>
      </c>
      <c r="F146" s="1">
        <v>9.9499999999999993</v>
      </c>
      <c r="G146" s="1">
        <v>17519</v>
      </c>
      <c r="H146" s="1" t="s">
        <v>10</v>
      </c>
      <c r="I146" s="1">
        <f t="shared" si="0"/>
        <v>19.899999999999999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">
      <c r="A147" s="1">
        <v>489445</v>
      </c>
      <c r="B147" s="1">
        <v>21299</v>
      </c>
      <c r="C147" s="1" t="s">
        <v>173</v>
      </c>
      <c r="D147" s="1">
        <v>1</v>
      </c>
      <c r="E147" s="3">
        <v>40148.414583333331</v>
      </c>
      <c r="F147" s="1">
        <v>12.75</v>
      </c>
      <c r="G147" s="1">
        <v>17519</v>
      </c>
      <c r="H147" s="1" t="s">
        <v>10</v>
      </c>
      <c r="I147" s="1">
        <f t="shared" si="0"/>
        <v>12.75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">
      <c r="A148" s="1">
        <v>489446</v>
      </c>
      <c r="B148" s="1">
        <v>21733</v>
      </c>
      <c r="C148" s="1" t="s">
        <v>174</v>
      </c>
      <c r="D148" s="1">
        <v>32</v>
      </c>
      <c r="E148" s="3">
        <v>40148.42083333333</v>
      </c>
      <c r="F148" s="1">
        <v>2.5499999999999998</v>
      </c>
      <c r="G148" s="1">
        <v>13758</v>
      </c>
      <c r="H148" s="1" t="s">
        <v>10</v>
      </c>
      <c r="I148" s="1">
        <f t="shared" si="0"/>
        <v>81.599999999999994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">
      <c r="A149" s="1">
        <v>489446</v>
      </c>
      <c r="B149" s="1" t="s">
        <v>142</v>
      </c>
      <c r="C149" s="1" t="s">
        <v>143</v>
      </c>
      <c r="D149" s="1">
        <v>32</v>
      </c>
      <c r="E149" s="3">
        <v>40148.42083333333</v>
      </c>
      <c r="F149" s="1">
        <v>2.5499999999999998</v>
      </c>
      <c r="G149" s="1">
        <v>13758</v>
      </c>
      <c r="H149" s="1" t="s">
        <v>10</v>
      </c>
      <c r="I149" s="1">
        <f t="shared" si="0"/>
        <v>81.599999999999994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">
      <c r="A150" s="1">
        <v>489446</v>
      </c>
      <c r="B150" s="1">
        <v>22294</v>
      </c>
      <c r="C150" s="1" t="s">
        <v>175</v>
      </c>
      <c r="D150" s="1">
        <v>24</v>
      </c>
      <c r="E150" s="3">
        <v>40148.42083333333</v>
      </c>
      <c r="F150" s="1">
        <v>1.25</v>
      </c>
      <c r="G150" s="1">
        <v>13758</v>
      </c>
      <c r="H150" s="1" t="s">
        <v>10</v>
      </c>
      <c r="I150" s="1">
        <f t="shared" si="0"/>
        <v>30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">
      <c r="A151" s="1">
        <v>489446</v>
      </c>
      <c r="B151" s="1">
        <v>22083</v>
      </c>
      <c r="C151" s="1" t="s">
        <v>176</v>
      </c>
      <c r="D151" s="1">
        <v>24</v>
      </c>
      <c r="E151" s="3">
        <v>40148.42083333333</v>
      </c>
      <c r="F151" s="1">
        <v>2.95</v>
      </c>
      <c r="G151" s="1">
        <v>13758</v>
      </c>
      <c r="H151" s="1" t="s">
        <v>10</v>
      </c>
      <c r="I151" s="1">
        <f t="shared" si="0"/>
        <v>70.800000000000011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">
      <c r="A152" s="1">
        <v>489446</v>
      </c>
      <c r="B152" s="1">
        <v>21590</v>
      </c>
      <c r="C152" s="1" t="s">
        <v>125</v>
      </c>
      <c r="D152" s="1">
        <v>24</v>
      </c>
      <c r="E152" s="3">
        <v>40148.42083333333</v>
      </c>
      <c r="F152" s="1">
        <v>1.25</v>
      </c>
      <c r="G152" s="1">
        <v>13758</v>
      </c>
      <c r="H152" s="1" t="s">
        <v>10</v>
      </c>
      <c r="I152" s="1">
        <f t="shared" si="0"/>
        <v>30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">
      <c r="A153" s="1">
        <v>489446</v>
      </c>
      <c r="B153" s="1">
        <v>21592</v>
      </c>
      <c r="C153" s="1" t="s">
        <v>177</v>
      </c>
      <c r="D153" s="1">
        <v>24</v>
      </c>
      <c r="E153" s="3">
        <v>40148.42083333333</v>
      </c>
      <c r="F153" s="1">
        <v>1.25</v>
      </c>
      <c r="G153" s="1">
        <v>13758</v>
      </c>
      <c r="H153" s="1" t="s">
        <v>10</v>
      </c>
      <c r="I153" s="1">
        <f t="shared" si="0"/>
        <v>30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">
      <c r="A154" s="1">
        <v>489446</v>
      </c>
      <c r="B154" s="1" t="s">
        <v>178</v>
      </c>
      <c r="C154" s="1" t="s">
        <v>179</v>
      </c>
      <c r="D154" s="1">
        <v>20</v>
      </c>
      <c r="E154" s="3">
        <v>40148.42083333333</v>
      </c>
      <c r="F154" s="1">
        <v>1.95</v>
      </c>
      <c r="G154" s="1">
        <v>13758</v>
      </c>
      <c r="H154" s="1" t="s">
        <v>10</v>
      </c>
      <c r="I154" s="1">
        <f t="shared" si="0"/>
        <v>39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">
      <c r="A155" s="1">
        <v>489446</v>
      </c>
      <c r="B155" s="1">
        <v>22178</v>
      </c>
      <c r="C155" s="1" t="s">
        <v>180</v>
      </c>
      <c r="D155" s="1">
        <v>12</v>
      </c>
      <c r="E155" s="3">
        <v>40148.42083333333</v>
      </c>
      <c r="F155" s="1">
        <v>1.25</v>
      </c>
      <c r="G155" s="1">
        <v>13758</v>
      </c>
      <c r="H155" s="1" t="s">
        <v>10</v>
      </c>
      <c r="I155" s="1">
        <f t="shared" si="0"/>
        <v>15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">
      <c r="A156" s="1">
        <v>489446</v>
      </c>
      <c r="B156" s="1">
        <v>22125</v>
      </c>
      <c r="C156" s="1" t="s">
        <v>181</v>
      </c>
      <c r="D156" s="1">
        <v>12</v>
      </c>
      <c r="E156" s="3">
        <v>40148.42083333333</v>
      </c>
      <c r="F156" s="1">
        <v>5.95</v>
      </c>
      <c r="G156" s="1">
        <v>13758</v>
      </c>
      <c r="H156" s="1" t="s">
        <v>10</v>
      </c>
      <c r="I156" s="1">
        <f t="shared" si="0"/>
        <v>71.400000000000006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">
      <c r="A157" s="1">
        <v>489446</v>
      </c>
      <c r="B157" s="1">
        <v>21671</v>
      </c>
      <c r="C157" s="1" t="s">
        <v>182</v>
      </c>
      <c r="D157" s="1">
        <v>12</v>
      </c>
      <c r="E157" s="3">
        <v>40148.42083333333</v>
      </c>
      <c r="F157" s="1">
        <v>1.25</v>
      </c>
      <c r="G157" s="1">
        <v>13758</v>
      </c>
      <c r="H157" s="1" t="s">
        <v>10</v>
      </c>
      <c r="I157" s="1">
        <f t="shared" si="0"/>
        <v>15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">
      <c r="A158" s="1">
        <v>489446</v>
      </c>
      <c r="B158" s="1">
        <v>22086</v>
      </c>
      <c r="C158" s="1" t="s">
        <v>183</v>
      </c>
      <c r="D158" s="1">
        <v>12</v>
      </c>
      <c r="E158" s="3">
        <v>40148.42083333333</v>
      </c>
      <c r="F158" s="1">
        <v>2.95</v>
      </c>
      <c r="G158" s="1">
        <v>13758</v>
      </c>
      <c r="H158" s="1" t="s">
        <v>10</v>
      </c>
      <c r="I158" s="1">
        <f t="shared" si="0"/>
        <v>35.400000000000006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">
      <c r="A159" s="1">
        <v>489446</v>
      </c>
      <c r="B159" s="1">
        <v>22112</v>
      </c>
      <c r="C159" s="1" t="s">
        <v>65</v>
      </c>
      <c r="D159" s="1">
        <v>12</v>
      </c>
      <c r="E159" s="3">
        <v>40148.42083333333</v>
      </c>
      <c r="F159" s="1">
        <v>4.95</v>
      </c>
      <c r="G159" s="1">
        <v>13758</v>
      </c>
      <c r="H159" s="1" t="s">
        <v>10</v>
      </c>
      <c r="I159" s="1">
        <f t="shared" si="0"/>
        <v>59.400000000000006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">
      <c r="A160" s="1">
        <v>489446</v>
      </c>
      <c r="B160" s="1">
        <v>22114</v>
      </c>
      <c r="C160" s="1" t="s">
        <v>184</v>
      </c>
      <c r="D160" s="1">
        <v>12</v>
      </c>
      <c r="E160" s="3">
        <v>40148.42083333333</v>
      </c>
      <c r="F160" s="1">
        <v>3.95</v>
      </c>
      <c r="G160" s="1">
        <v>13758</v>
      </c>
      <c r="H160" s="1" t="s">
        <v>10</v>
      </c>
      <c r="I160" s="1">
        <f t="shared" si="0"/>
        <v>47.400000000000006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">
      <c r="A161" s="1">
        <v>489446</v>
      </c>
      <c r="B161" s="1">
        <v>21485</v>
      </c>
      <c r="C161" s="1" t="s">
        <v>185</v>
      </c>
      <c r="D161" s="1">
        <v>12</v>
      </c>
      <c r="E161" s="3">
        <v>40148.42083333333</v>
      </c>
      <c r="F161" s="1">
        <v>4.95</v>
      </c>
      <c r="G161" s="1">
        <v>13758</v>
      </c>
      <c r="H161" s="1" t="s">
        <v>10</v>
      </c>
      <c r="I161" s="1">
        <f t="shared" si="0"/>
        <v>59.400000000000006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">
      <c r="A162" s="1">
        <v>489446</v>
      </c>
      <c r="B162" s="1">
        <v>20754</v>
      </c>
      <c r="C162" s="1" t="s">
        <v>152</v>
      </c>
      <c r="D162" s="1">
        <v>12</v>
      </c>
      <c r="E162" s="3">
        <v>40148.42083333333</v>
      </c>
      <c r="F162" s="1">
        <v>2.1</v>
      </c>
      <c r="G162" s="1">
        <v>13758</v>
      </c>
      <c r="H162" s="1" t="s">
        <v>10</v>
      </c>
      <c r="I162" s="1">
        <f t="shared" si="0"/>
        <v>25.200000000000003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">
      <c r="A163" s="1">
        <v>489446</v>
      </c>
      <c r="B163" s="1">
        <v>21217</v>
      </c>
      <c r="C163" s="1" t="s">
        <v>186</v>
      </c>
      <c r="D163" s="1">
        <v>12</v>
      </c>
      <c r="E163" s="3">
        <v>40148.42083333333</v>
      </c>
      <c r="F163" s="1">
        <v>8.9499999999999993</v>
      </c>
      <c r="G163" s="1">
        <v>13758</v>
      </c>
      <c r="H163" s="1" t="s">
        <v>10</v>
      </c>
      <c r="I163" s="1">
        <f t="shared" si="0"/>
        <v>107.39999999999999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">
      <c r="A164" s="1">
        <v>489446</v>
      </c>
      <c r="B164" s="1">
        <v>22195</v>
      </c>
      <c r="C164" s="1" t="s">
        <v>187</v>
      </c>
      <c r="D164" s="1">
        <v>12</v>
      </c>
      <c r="E164" s="3">
        <v>40148.42083333333</v>
      </c>
      <c r="F164" s="1">
        <v>1.65</v>
      </c>
      <c r="G164" s="1">
        <v>13758</v>
      </c>
      <c r="H164" s="1" t="s">
        <v>10</v>
      </c>
      <c r="I164" s="1">
        <f t="shared" si="0"/>
        <v>19.799999999999997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">
      <c r="A165" s="1">
        <v>489446</v>
      </c>
      <c r="B165" s="1">
        <v>21928</v>
      </c>
      <c r="C165" s="1" t="s">
        <v>188</v>
      </c>
      <c r="D165" s="1">
        <v>10</v>
      </c>
      <c r="E165" s="3">
        <v>40148.42083333333</v>
      </c>
      <c r="F165" s="1">
        <v>1.95</v>
      </c>
      <c r="G165" s="1">
        <v>13758</v>
      </c>
      <c r="H165" s="1" t="s">
        <v>10</v>
      </c>
      <c r="I165" s="1">
        <f t="shared" si="0"/>
        <v>19.5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">
      <c r="A166" s="1">
        <v>489446</v>
      </c>
      <c r="B166" s="1">
        <v>21929</v>
      </c>
      <c r="C166" s="1" t="s">
        <v>168</v>
      </c>
      <c r="D166" s="1">
        <v>10</v>
      </c>
      <c r="E166" s="3">
        <v>40148.42083333333</v>
      </c>
      <c r="F166" s="1">
        <v>1.95</v>
      </c>
      <c r="G166" s="1">
        <v>13758</v>
      </c>
      <c r="H166" s="1" t="s">
        <v>10</v>
      </c>
      <c r="I166" s="1">
        <f t="shared" si="0"/>
        <v>19.5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">
      <c r="A167" s="1">
        <v>489446</v>
      </c>
      <c r="B167" s="1">
        <v>22356</v>
      </c>
      <c r="C167" s="1" t="s">
        <v>189</v>
      </c>
      <c r="D167" s="1">
        <v>10</v>
      </c>
      <c r="E167" s="3">
        <v>40148.42083333333</v>
      </c>
      <c r="F167" s="1">
        <v>0.85</v>
      </c>
      <c r="G167" s="1">
        <v>13758</v>
      </c>
      <c r="H167" s="1" t="s">
        <v>10</v>
      </c>
      <c r="I167" s="1">
        <f t="shared" si="0"/>
        <v>8.5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">
      <c r="A168" s="1">
        <v>489446</v>
      </c>
      <c r="B168" s="1">
        <v>20724</v>
      </c>
      <c r="C168" s="1" t="s">
        <v>190</v>
      </c>
      <c r="D168" s="1">
        <v>10</v>
      </c>
      <c r="E168" s="3">
        <v>40148.42083333333</v>
      </c>
      <c r="F168" s="1">
        <v>0.85</v>
      </c>
      <c r="G168" s="1">
        <v>13758</v>
      </c>
      <c r="H168" s="1" t="s">
        <v>10</v>
      </c>
      <c r="I168" s="1">
        <f t="shared" si="0"/>
        <v>8.5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">
      <c r="A169" s="1">
        <v>489446</v>
      </c>
      <c r="B169" s="1">
        <v>20725</v>
      </c>
      <c r="C169" s="1" t="s">
        <v>191</v>
      </c>
      <c r="D169" s="1">
        <v>10</v>
      </c>
      <c r="E169" s="3">
        <v>40148.42083333333</v>
      </c>
      <c r="F169" s="1">
        <v>1.65</v>
      </c>
      <c r="G169" s="1">
        <v>13758</v>
      </c>
      <c r="H169" s="1" t="s">
        <v>10</v>
      </c>
      <c r="I169" s="1">
        <f t="shared" si="0"/>
        <v>16.5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">
      <c r="A170" s="1">
        <v>489446</v>
      </c>
      <c r="B170" s="1">
        <v>20728</v>
      </c>
      <c r="C170" s="1" t="s">
        <v>192</v>
      </c>
      <c r="D170" s="1">
        <v>10</v>
      </c>
      <c r="E170" s="3">
        <v>40148.42083333333</v>
      </c>
      <c r="F170" s="1">
        <v>1.65</v>
      </c>
      <c r="G170" s="1">
        <v>13758</v>
      </c>
      <c r="H170" s="1" t="s">
        <v>10</v>
      </c>
      <c r="I170" s="1">
        <f t="shared" si="0"/>
        <v>16.5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">
      <c r="A171" s="1">
        <v>489446</v>
      </c>
      <c r="B171" s="1">
        <v>20726</v>
      </c>
      <c r="C171" s="1" t="s">
        <v>193</v>
      </c>
      <c r="D171" s="1">
        <v>10</v>
      </c>
      <c r="E171" s="3">
        <v>40148.42083333333</v>
      </c>
      <c r="F171" s="1">
        <v>1.65</v>
      </c>
      <c r="G171" s="1">
        <v>13758</v>
      </c>
      <c r="H171" s="1" t="s">
        <v>10</v>
      </c>
      <c r="I171" s="1">
        <f t="shared" si="0"/>
        <v>16.5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">
      <c r="A172" s="1">
        <v>489446</v>
      </c>
      <c r="B172" s="1">
        <v>22111</v>
      </c>
      <c r="C172" s="1" t="s">
        <v>24</v>
      </c>
      <c r="D172" s="1">
        <v>6</v>
      </c>
      <c r="E172" s="3">
        <v>40148.42083333333</v>
      </c>
      <c r="F172" s="1">
        <v>4.95</v>
      </c>
      <c r="G172" s="1">
        <v>13758</v>
      </c>
      <c r="H172" s="1" t="s">
        <v>10</v>
      </c>
      <c r="I172" s="1">
        <f t="shared" si="0"/>
        <v>29.700000000000003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">
      <c r="A173" s="1">
        <v>489446</v>
      </c>
      <c r="B173" s="1">
        <v>22199</v>
      </c>
      <c r="C173" s="1" t="s">
        <v>194</v>
      </c>
      <c r="D173" s="1">
        <v>4</v>
      </c>
      <c r="E173" s="3">
        <v>40148.42083333333</v>
      </c>
      <c r="F173" s="1">
        <v>4.25</v>
      </c>
      <c r="G173" s="1">
        <v>13758</v>
      </c>
      <c r="H173" s="1" t="s">
        <v>10</v>
      </c>
      <c r="I173" s="1">
        <f t="shared" si="0"/>
        <v>17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">
      <c r="A174" s="1">
        <v>489446</v>
      </c>
      <c r="B174" s="1">
        <v>85066</v>
      </c>
      <c r="C174" s="1" t="s">
        <v>195</v>
      </c>
      <c r="D174" s="1">
        <v>2</v>
      </c>
      <c r="E174" s="3">
        <v>40148.42083333333</v>
      </c>
      <c r="F174" s="1">
        <v>12.75</v>
      </c>
      <c r="G174" s="1">
        <v>13758</v>
      </c>
      <c r="H174" s="1" t="s">
        <v>10</v>
      </c>
      <c r="I174" s="1">
        <f t="shared" si="0"/>
        <v>25.5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">
      <c r="A175" s="1">
        <v>489447</v>
      </c>
      <c r="B175" s="1" t="s">
        <v>119</v>
      </c>
      <c r="C175" s="1" t="s">
        <v>120</v>
      </c>
      <c r="D175" s="1">
        <v>1</v>
      </c>
      <c r="E175" s="3">
        <v>40148.423611111109</v>
      </c>
      <c r="F175" s="1">
        <v>130</v>
      </c>
      <c r="G175" s="1">
        <v>12362</v>
      </c>
      <c r="H175" s="1" t="s">
        <v>196</v>
      </c>
      <c r="I175" s="1">
        <f t="shared" si="0"/>
        <v>130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">
      <c r="A176" s="1">
        <v>489448</v>
      </c>
      <c r="B176" s="1">
        <v>20827</v>
      </c>
      <c r="C176" s="1" t="s">
        <v>197</v>
      </c>
      <c r="D176" s="1">
        <v>48</v>
      </c>
      <c r="E176" s="3">
        <v>40148.429166666669</v>
      </c>
      <c r="F176" s="1">
        <v>2.12</v>
      </c>
      <c r="G176" s="1">
        <v>15413</v>
      </c>
      <c r="H176" s="1" t="s">
        <v>10</v>
      </c>
      <c r="I176" s="1">
        <f t="shared" si="0"/>
        <v>101.76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">
      <c r="A177" s="1">
        <v>489448</v>
      </c>
      <c r="B177" s="1">
        <v>20825</v>
      </c>
      <c r="C177" s="1" t="s">
        <v>198</v>
      </c>
      <c r="D177" s="1">
        <v>48</v>
      </c>
      <c r="E177" s="3">
        <v>40148.429166666669</v>
      </c>
      <c r="F177" s="1">
        <v>3.39</v>
      </c>
      <c r="G177" s="1">
        <v>15413</v>
      </c>
      <c r="H177" s="1" t="s">
        <v>10</v>
      </c>
      <c r="I177" s="1">
        <f t="shared" si="0"/>
        <v>162.72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">
      <c r="A178" s="1">
        <v>489448</v>
      </c>
      <c r="B178" s="1">
        <v>20823</v>
      </c>
      <c r="C178" s="1" t="s">
        <v>199</v>
      </c>
      <c r="D178" s="1">
        <v>48</v>
      </c>
      <c r="E178" s="3">
        <v>40148.429166666669</v>
      </c>
      <c r="F178" s="1">
        <v>4.25</v>
      </c>
      <c r="G178" s="1">
        <v>15413</v>
      </c>
      <c r="H178" s="1" t="s">
        <v>10</v>
      </c>
      <c r="I178" s="1">
        <f t="shared" si="0"/>
        <v>204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">
      <c r="A179" s="1">
        <v>489448</v>
      </c>
      <c r="B179" s="1">
        <v>20826</v>
      </c>
      <c r="C179" s="1" t="s">
        <v>200</v>
      </c>
      <c r="D179" s="1">
        <v>48</v>
      </c>
      <c r="E179" s="3">
        <v>40148.429166666669</v>
      </c>
      <c r="F179" s="1">
        <v>2.12</v>
      </c>
      <c r="G179" s="1">
        <v>15413</v>
      </c>
      <c r="H179" s="1" t="s">
        <v>10</v>
      </c>
      <c r="I179" s="1">
        <f t="shared" si="0"/>
        <v>101.76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">
      <c r="A180" s="1" t="s">
        <v>201</v>
      </c>
      <c r="B180" s="1">
        <v>21895</v>
      </c>
      <c r="C180" s="1" t="s">
        <v>202</v>
      </c>
      <c r="D180" s="1">
        <v>-4</v>
      </c>
      <c r="E180" s="3">
        <v>40148.439583333333</v>
      </c>
      <c r="F180" s="1">
        <v>4.25</v>
      </c>
      <c r="G180" s="1">
        <v>16321</v>
      </c>
      <c r="H180" s="1" t="s">
        <v>203</v>
      </c>
      <c r="I180" s="1">
        <f t="shared" si="0"/>
        <v>-17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">
      <c r="A181" s="1" t="s">
        <v>201</v>
      </c>
      <c r="B181" s="1" t="s">
        <v>204</v>
      </c>
      <c r="C181" s="1" t="s">
        <v>205</v>
      </c>
      <c r="D181" s="1">
        <v>-6</v>
      </c>
      <c r="E181" s="3">
        <v>40148.439583333333</v>
      </c>
      <c r="F181" s="1">
        <v>1.65</v>
      </c>
      <c r="G181" s="1">
        <v>16321</v>
      </c>
      <c r="H181" s="1" t="s">
        <v>203</v>
      </c>
      <c r="I181" s="1">
        <f t="shared" si="0"/>
        <v>-9.8999999999999986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">
      <c r="A182" s="1" t="s">
        <v>201</v>
      </c>
      <c r="B182" s="1">
        <v>21896</v>
      </c>
      <c r="C182" s="1" t="s">
        <v>206</v>
      </c>
      <c r="D182" s="1">
        <v>-6</v>
      </c>
      <c r="E182" s="3">
        <v>40148.439583333333</v>
      </c>
      <c r="F182" s="1">
        <v>2.1</v>
      </c>
      <c r="G182" s="1">
        <v>16321</v>
      </c>
      <c r="H182" s="1" t="s">
        <v>203</v>
      </c>
      <c r="I182" s="1">
        <f t="shared" si="0"/>
        <v>-12.600000000000001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">
      <c r="A183" s="1" t="s">
        <v>201</v>
      </c>
      <c r="B183" s="1">
        <v>22087</v>
      </c>
      <c r="C183" s="1" t="s">
        <v>207</v>
      </c>
      <c r="D183" s="1">
        <v>-12</v>
      </c>
      <c r="E183" s="3">
        <v>40148.439583333333</v>
      </c>
      <c r="F183" s="1">
        <v>2.95</v>
      </c>
      <c r="G183" s="1">
        <v>16321</v>
      </c>
      <c r="H183" s="1" t="s">
        <v>203</v>
      </c>
      <c r="I183" s="1">
        <f t="shared" si="0"/>
        <v>-35.400000000000006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">
      <c r="A184" s="1" t="s">
        <v>201</v>
      </c>
      <c r="B184" s="1">
        <v>22083</v>
      </c>
      <c r="C184" s="1" t="s">
        <v>176</v>
      </c>
      <c r="D184" s="1">
        <v>-12</v>
      </c>
      <c r="E184" s="3">
        <v>40148.439583333333</v>
      </c>
      <c r="F184" s="1">
        <v>2.95</v>
      </c>
      <c r="G184" s="1">
        <v>16321</v>
      </c>
      <c r="H184" s="1" t="s">
        <v>203</v>
      </c>
      <c r="I184" s="1">
        <f t="shared" si="0"/>
        <v>-35.400000000000006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">
      <c r="A185" s="1" t="s">
        <v>201</v>
      </c>
      <c r="B185" s="1">
        <v>21871</v>
      </c>
      <c r="C185" s="1" t="s">
        <v>13</v>
      </c>
      <c r="D185" s="1">
        <v>-12</v>
      </c>
      <c r="E185" s="3">
        <v>40148.439583333333</v>
      </c>
      <c r="F185" s="1">
        <v>1.25</v>
      </c>
      <c r="G185" s="1">
        <v>16321</v>
      </c>
      <c r="H185" s="1" t="s">
        <v>203</v>
      </c>
      <c r="I185" s="1">
        <f t="shared" si="0"/>
        <v>-15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">
      <c r="A186" s="1" t="s">
        <v>201</v>
      </c>
      <c r="B186" s="1">
        <v>84946</v>
      </c>
      <c r="C186" s="1" t="s">
        <v>208</v>
      </c>
      <c r="D186" s="1">
        <v>-12</v>
      </c>
      <c r="E186" s="3">
        <v>40148.439583333333</v>
      </c>
      <c r="F186" s="1">
        <v>1.25</v>
      </c>
      <c r="G186" s="1">
        <v>16321</v>
      </c>
      <c r="H186" s="1" t="s">
        <v>203</v>
      </c>
      <c r="I186" s="1">
        <f t="shared" si="0"/>
        <v>-15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">
      <c r="A187" s="1" t="s">
        <v>201</v>
      </c>
      <c r="B187" s="1">
        <v>22090</v>
      </c>
      <c r="C187" s="1" t="s">
        <v>209</v>
      </c>
      <c r="D187" s="1">
        <v>-12</v>
      </c>
      <c r="E187" s="3">
        <v>40148.439583333333</v>
      </c>
      <c r="F187" s="1">
        <v>2.95</v>
      </c>
      <c r="G187" s="1">
        <v>16321</v>
      </c>
      <c r="H187" s="1" t="s">
        <v>203</v>
      </c>
      <c r="I187" s="1">
        <f t="shared" si="0"/>
        <v>-35.400000000000006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">
      <c r="A188" s="1" t="s">
        <v>201</v>
      </c>
      <c r="B188" s="1" t="s">
        <v>52</v>
      </c>
      <c r="C188" s="1" t="s">
        <v>53</v>
      </c>
      <c r="D188" s="1">
        <v>-24</v>
      </c>
      <c r="E188" s="3">
        <v>40148.439583333333</v>
      </c>
      <c r="F188" s="1">
        <v>0.85</v>
      </c>
      <c r="G188" s="1">
        <v>16321</v>
      </c>
      <c r="H188" s="1" t="s">
        <v>203</v>
      </c>
      <c r="I188" s="1">
        <f t="shared" si="0"/>
        <v>-20.399999999999999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">
      <c r="A189" s="1">
        <v>489450</v>
      </c>
      <c r="B189" s="1" t="s">
        <v>52</v>
      </c>
      <c r="C189" s="1" t="s">
        <v>53</v>
      </c>
      <c r="D189" s="1">
        <v>24</v>
      </c>
      <c r="E189" s="3">
        <v>40148.441666666666</v>
      </c>
      <c r="F189" s="1">
        <v>0.85</v>
      </c>
      <c r="G189" s="1">
        <v>16321</v>
      </c>
      <c r="H189" s="1" t="s">
        <v>203</v>
      </c>
      <c r="I189" s="1">
        <f t="shared" si="0"/>
        <v>20.399999999999999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">
      <c r="A190" s="1">
        <v>489450</v>
      </c>
      <c r="B190" s="1">
        <v>22087</v>
      </c>
      <c r="C190" s="1" t="s">
        <v>207</v>
      </c>
      <c r="D190" s="1">
        <v>12</v>
      </c>
      <c r="E190" s="3">
        <v>40148.441666666666</v>
      </c>
      <c r="F190" s="1">
        <v>2.95</v>
      </c>
      <c r="G190" s="1">
        <v>16321</v>
      </c>
      <c r="H190" s="1" t="s">
        <v>203</v>
      </c>
      <c r="I190" s="1">
        <f t="shared" si="0"/>
        <v>35.400000000000006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">
      <c r="A191" s="1">
        <v>489450</v>
      </c>
      <c r="B191" s="1">
        <v>22083</v>
      </c>
      <c r="C191" s="1" t="s">
        <v>176</v>
      </c>
      <c r="D191" s="1">
        <v>12</v>
      </c>
      <c r="E191" s="3">
        <v>40148.441666666666</v>
      </c>
      <c r="F191" s="1">
        <v>2.95</v>
      </c>
      <c r="G191" s="1">
        <v>16321</v>
      </c>
      <c r="H191" s="1" t="s">
        <v>203</v>
      </c>
      <c r="I191" s="1">
        <f t="shared" si="0"/>
        <v>35.400000000000006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">
      <c r="A192" s="1">
        <v>489450</v>
      </c>
      <c r="B192" s="1">
        <v>21871</v>
      </c>
      <c r="C192" s="1" t="s">
        <v>13</v>
      </c>
      <c r="D192" s="1">
        <v>12</v>
      </c>
      <c r="E192" s="3">
        <v>40148.441666666666</v>
      </c>
      <c r="F192" s="1">
        <v>1.25</v>
      </c>
      <c r="G192" s="1">
        <v>16321</v>
      </c>
      <c r="H192" s="1" t="s">
        <v>203</v>
      </c>
      <c r="I192" s="1">
        <f t="shared" si="0"/>
        <v>15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">
      <c r="A193" s="1">
        <v>489450</v>
      </c>
      <c r="B193" s="1">
        <v>84946</v>
      </c>
      <c r="C193" s="1" t="s">
        <v>208</v>
      </c>
      <c r="D193" s="1">
        <v>12</v>
      </c>
      <c r="E193" s="3">
        <v>40148.441666666666</v>
      </c>
      <c r="F193" s="1">
        <v>1.25</v>
      </c>
      <c r="G193" s="1">
        <v>16321</v>
      </c>
      <c r="H193" s="1" t="s">
        <v>203</v>
      </c>
      <c r="I193" s="1">
        <f t="shared" si="0"/>
        <v>15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">
      <c r="A194" s="1">
        <v>489450</v>
      </c>
      <c r="B194" s="1">
        <v>22090</v>
      </c>
      <c r="C194" s="1" t="s">
        <v>209</v>
      </c>
      <c r="D194" s="1">
        <v>12</v>
      </c>
      <c r="E194" s="3">
        <v>40148.441666666666</v>
      </c>
      <c r="F194" s="1">
        <v>2.95</v>
      </c>
      <c r="G194" s="1">
        <v>16321</v>
      </c>
      <c r="H194" s="1" t="s">
        <v>203</v>
      </c>
      <c r="I194" s="1">
        <f t="shared" si="0"/>
        <v>35.400000000000006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">
      <c r="A195" s="1">
        <v>489450</v>
      </c>
      <c r="B195" s="1" t="s">
        <v>204</v>
      </c>
      <c r="C195" s="1" t="s">
        <v>205</v>
      </c>
      <c r="D195" s="1">
        <v>6</v>
      </c>
      <c r="E195" s="3">
        <v>40148.441666666666</v>
      </c>
      <c r="F195" s="1">
        <v>1.65</v>
      </c>
      <c r="G195" s="1">
        <v>16321</v>
      </c>
      <c r="H195" s="1" t="s">
        <v>203</v>
      </c>
      <c r="I195" s="1">
        <f t="shared" si="0"/>
        <v>9.8999999999999986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">
      <c r="A196" s="1">
        <v>489450</v>
      </c>
      <c r="B196" s="1">
        <v>21896</v>
      </c>
      <c r="C196" s="1" t="s">
        <v>206</v>
      </c>
      <c r="D196" s="1">
        <v>6</v>
      </c>
      <c r="E196" s="3">
        <v>40148.441666666666</v>
      </c>
      <c r="F196" s="1">
        <v>2.1</v>
      </c>
      <c r="G196" s="1">
        <v>16321</v>
      </c>
      <c r="H196" s="1" t="s">
        <v>203</v>
      </c>
      <c r="I196" s="1">
        <f t="shared" si="0"/>
        <v>12.600000000000001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">
      <c r="A197" s="1">
        <v>489450</v>
      </c>
      <c r="B197" s="1">
        <v>21895</v>
      </c>
      <c r="C197" s="1" t="s">
        <v>202</v>
      </c>
      <c r="D197" s="1">
        <v>4</v>
      </c>
      <c r="E197" s="3">
        <v>40148.441666666666</v>
      </c>
      <c r="F197" s="1">
        <v>4.25</v>
      </c>
      <c r="G197" s="1">
        <v>16321</v>
      </c>
      <c r="H197" s="1" t="s">
        <v>203</v>
      </c>
      <c r="I197" s="1">
        <f t="shared" si="0"/>
        <v>17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">
      <c r="A198" s="1" t="s">
        <v>210</v>
      </c>
      <c r="B198" s="1" t="s">
        <v>211</v>
      </c>
      <c r="C198" s="1" t="s">
        <v>212</v>
      </c>
      <c r="D198" s="1">
        <v>-2</v>
      </c>
      <c r="E198" s="3">
        <v>40148.447222222225</v>
      </c>
      <c r="F198" s="1">
        <v>6.35</v>
      </c>
      <c r="G198" s="1">
        <v>17592</v>
      </c>
      <c r="H198" s="1" t="s">
        <v>10</v>
      </c>
      <c r="I198" s="1">
        <f t="shared" si="0"/>
        <v>-12.7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">
      <c r="A199" s="1" t="s">
        <v>210</v>
      </c>
      <c r="B199" s="1" t="s">
        <v>213</v>
      </c>
      <c r="C199" s="1" t="s">
        <v>214</v>
      </c>
      <c r="D199" s="1">
        <v>-3</v>
      </c>
      <c r="E199" s="3">
        <v>40148.447222222225</v>
      </c>
      <c r="F199" s="1">
        <v>4.25</v>
      </c>
      <c r="G199" s="1">
        <v>17592</v>
      </c>
      <c r="H199" s="1" t="s">
        <v>10</v>
      </c>
      <c r="I199" s="1">
        <f t="shared" si="0"/>
        <v>-12.75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">
      <c r="A200" s="1" t="s">
        <v>210</v>
      </c>
      <c r="B200" s="1" t="s">
        <v>215</v>
      </c>
      <c r="C200" s="1" t="s">
        <v>216</v>
      </c>
      <c r="D200" s="1">
        <v>-3</v>
      </c>
      <c r="E200" s="3">
        <v>40148.447222222225</v>
      </c>
      <c r="F200" s="1">
        <v>4.25</v>
      </c>
      <c r="G200" s="1">
        <v>17592</v>
      </c>
      <c r="H200" s="1" t="s">
        <v>10</v>
      </c>
      <c r="I200" s="1">
        <f t="shared" si="0"/>
        <v>-12.75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">
      <c r="A201" s="1" t="s">
        <v>210</v>
      </c>
      <c r="B201" s="1" t="s">
        <v>217</v>
      </c>
      <c r="C201" s="1" t="s">
        <v>218</v>
      </c>
      <c r="D201" s="1">
        <v>-3</v>
      </c>
      <c r="E201" s="3">
        <v>40148.447222222225</v>
      </c>
      <c r="F201" s="1">
        <v>4.25</v>
      </c>
      <c r="G201" s="1">
        <v>17592</v>
      </c>
      <c r="H201" s="1" t="s">
        <v>10</v>
      </c>
      <c r="I201" s="1">
        <f t="shared" si="0"/>
        <v>-12.75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">
      <c r="A202" s="1" t="s">
        <v>210</v>
      </c>
      <c r="B202" s="1" t="s">
        <v>219</v>
      </c>
      <c r="C202" s="1" t="s">
        <v>220</v>
      </c>
      <c r="D202" s="1">
        <v>-3</v>
      </c>
      <c r="E202" s="3">
        <v>40148.447222222225</v>
      </c>
      <c r="F202" s="1">
        <v>4.25</v>
      </c>
      <c r="G202" s="1">
        <v>17592</v>
      </c>
      <c r="H202" s="1" t="s">
        <v>10</v>
      </c>
      <c r="I202" s="1">
        <f t="shared" si="0"/>
        <v>-12.75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">
      <c r="A203" s="1" t="s">
        <v>210</v>
      </c>
      <c r="B203" s="1" t="s">
        <v>221</v>
      </c>
      <c r="C203" s="1" t="s">
        <v>222</v>
      </c>
      <c r="D203" s="1">
        <v>-3</v>
      </c>
      <c r="E203" s="3">
        <v>40148.447222222225</v>
      </c>
      <c r="F203" s="1">
        <v>4.25</v>
      </c>
      <c r="G203" s="1">
        <v>17592</v>
      </c>
      <c r="H203" s="1" t="s">
        <v>10</v>
      </c>
      <c r="I203" s="1">
        <f t="shared" si="0"/>
        <v>-12.75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">
      <c r="A204" s="1" t="s">
        <v>210</v>
      </c>
      <c r="B204" s="1" t="s">
        <v>223</v>
      </c>
      <c r="C204" s="1" t="s">
        <v>224</v>
      </c>
      <c r="D204" s="1">
        <v>-3</v>
      </c>
      <c r="E204" s="3">
        <v>40148.447222222225</v>
      </c>
      <c r="F204" s="1">
        <v>4.25</v>
      </c>
      <c r="G204" s="1">
        <v>17592</v>
      </c>
      <c r="H204" s="1" t="s">
        <v>10</v>
      </c>
      <c r="I204" s="1">
        <f t="shared" si="0"/>
        <v>-12.75</v>
      </c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">
      <c r="A205" s="1" t="s">
        <v>210</v>
      </c>
      <c r="B205" s="1" t="s">
        <v>225</v>
      </c>
      <c r="C205" s="1" t="s">
        <v>226</v>
      </c>
      <c r="D205" s="1">
        <v>-3</v>
      </c>
      <c r="E205" s="3">
        <v>40148.447222222225</v>
      </c>
      <c r="F205" s="1">
        <v>4.25</v>
      </c>
      <c r="G205" s="1">
        <v>17592</v>
      </c>
      <c r="H205" s="1" t="s">
        <v>10</v>
      </c>
      <c r="I205" s="1">
        <f t="shared" si="0"/>
        <v>-12.75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">
      <c r="A206" s="1" t="s">
        <v>210</v>
      </c>
      <c r="B206" s="1" t="s">
        <v>227</v>
      </c>
      <c r="C206" s="1" t="s">
        <v>228</v>
      </c>
      <c r="D206" s="1">
        <v>-3</v>
      </c>
      <c r="E206" s="3">
        <v>40148.447222222225</v>
      </c>
      <c r="F206" s="1">
        <v>3.75</v>
      </c>
      <c r="G206" s="1">
        <v>17592</v>
      </c>
      <c r="H206" s="1" t="s">
        <v>10</v>
      </c>
      <c r="I206" s="1">
        <f t="shared" si="0"/>
        <v>-11.25</v>
      </c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">
      <c r="A207" s="1" t="s">
        <v>210</v>
      </c>
      <c r="B207" s="1" t="s">
        <v>229</v>
      </c>
      <c r="C207" s="1" t="s">
        <v>230</v>
      </c>
      <c r="D207" s="1">
        <v>-3</v>
      </c>
      <c r="E207" s="3">
        <v>40148.447222222225</v>
      </c>
      <c r="F207" s="1">
        <v>3.75</v>
      </c>
      <c r="G207" s="1">
        <v>17592</v>
      </c>
      <c r="H207" s="1" t="s">
        <v>10</v>
      </c>
      <c r="I207" s="1">
        <f t="shared" si="0"/>
        <v>-11.25</v>
      </c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">
      <c r="A208" s="1" t="s">
        <v>210</v>
      </c>
      <c r="B208" s="1" t="s">
        <v>231</v>
      </c>
      <c r="C208" s="1" t="s">
        <v>232</v>
      </c>
      <c r="D208" s="1">
        <v>-3</v>
      </c>
      <c r="E208" s="3">
        <v>40148.447222222225</v>
      </c>
      <c r="F208" s="1">
        <v>3.75</v>
      </c>
      <c r="G208" s="1">
        <v>17592</v>
      </c>
      <c r="H208" s="1" t="s">
        <v>10</v>
      </c>
      <c r="I208" s="1">
        <f t="shared" si="0"/>
        <v>-11.25</v>
      </c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">
      <c r="A209" s="1" t="s">
        <v>210</v>
      </c>
      <c r="B209" s="1" t="s">
        <v>233</v>
      </c>
      <c r="C209" s="1" t="s">
        <v>234</v>
      </c>
      <c r="D209" s="1">
        <v>-3</v>
      </c>
      <c r="E209" s="3">
        <v>40148.447222222225</v>
      </c>
      <c r="F209" s="1">
        <v>2.1</v>
      </c>
      <c r="G209" s="1">
        <v>17592</v>
      </c>
      <c r="H209" s="1" t="s">
        <v>10</v>
      </c>
      <c r="I209" s="1">
        <f t="shared" si="0"/>
        <v>-6.3000000000000007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">
      <c r="A210" s="1" t="s">
        <v>210</v>
      </c>
      <c r="B210" s="1" t="s">
        <v>235</v>
      </c>
      <c r="C210" s="1" t="s">
        <v>236</v>
      </c>
      <c r="D210" s="1">
        <v>-3</v>
      </c>
      <c r="E210" s="3">
        <v>40148.447222222225</v>
      </c>
      <c r="F210" s="1">
        <v>2.1</v>
      </c>
      <c r="G210" s="1">
        <v>17592</v>
      </c>
      <c r="H210" s="1" t="s">
        <v>10</v>
      </c>
      <c r="I210" s="1">
        <f t="shared" si="0"/>
        <v>-6.3000000000000007</v>
      </c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">
      <c r="A211" s="1">
        <v>489460</v>
      </c>
      <c r="B211" s="1">
        <v>84598</v>
      </c>
      <c r="C211" s="1" t="s">
        <v>237</v>
      </c>
      <c r="D211" s="1">
        <v>576</v>
      </c>
      <c r="E211" s="3">
        <v>40148.448611111111</v>
      </c>
      <c r="F211" s="1">
        <v>0.21</v>
      </c>
      <c r="G211" s="1">
        <v>16167</v>
      </c>
      <c r="H211" s="1" t="s">
        <v>10</v>
      </c>
      <c r="I211" s="1">
        <f t="shared" si="0"/>
        <v>120.96</v>
      </c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">
      <c r="A212" s="1">
        <v>489460</v>
      </c>
      <c r="B212" s="1">
        <v>84568</v>
      </c>
      <c r="C212" s="1" t="s">
        <v>238</v>
      </c>
      <c r="D212" s="1">
        <v>288</v>
      </c>
      <c r="E212" s="3">
        <v>40148.448611111111</v>
      </c>
      <c r="F212" s="1">
        <v>0.21</v>
      </c>
      <c r="G212" s="1">
        <v>16167</v>
      </c>
      <c r="H212" s="1" t="s">
        <v>10</v>
      </c>
      <c r="I212" s="1">
        <f t="shared" si="0"/>
        <v>60.48</v>
      </c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">
      <c r="A213" s="1">
        <v>489460</v>
      </c>
      <c r="B213" s="1">
        <v>21977</v>
      </c>
      <c r="C213" s="1" t="s">
        <v>239</v>
      </c>
      <c r="D213" s="1">
        <v>24</v>
      </c>
      <c r="E213" s="3">
        <v>40148.448611111111</v>
      </c>
      <c r="F213" s="1">
        <v>0.55000000000000004</v>
      </c>
      <c r="G213" s="1">
        <v>16167</v>
      </c>
      <c r="H213" s="1" t="s">
        <v>10</v>
      </c>
      <c r="I213" s="1">
        <f t="shared" si="0"/>
        <v>13.200000000000001</v>
      </c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">
      <c r="A214" s="1">
        <v>489460</v>
      </c>
      <c r="B214" s="1">
        <v>84991</v>
      </c>
      <c r="C214" s="1" t="s">
        <v>240</v>
      </c>
      <c r="D214" s="1">
        <v>24</v>
      </c>
      <c r="E214" s="3">
        <v>40148.448611111111</v>
      </c>
      <c r="F214" s="1">
        <v>0.55000000000000004</v>
      </c>
      <c r="G214" s="1">
        <v>16167</v>
      </c>
      <c r="H214" s="1" t="s">
        <v>10</v>
      </c>
      <c r="I214" s="1">
        <f t="shared" si="0"/>
        <v>13.200000000000001</v>
      </c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">
      <c r="A215" s="1">
        <v>489460</v>
      </c>
      <c r="B215" s="1">
        <v>21731</v>
      </c>
      <c r="C215" s="1" t="s">
        <v>103</v>
      </c>
      <c r="D215" s="1">
        <v>12</v>
      </c>
      <c r="E215" s="3">
        <v>40148.448611111111</v>
      </c>
      <c r="F215" s="1">
        <v>1.65</v>
      </c>
      <c r="G215" s="1">
        <v>16167</v>
      </c>
      <c r="H215" s="1" t="s">
        <v>10</v>
      </c>
      <c r="I215" s="1">
        <f t="shared" si="0"/>
        <v>19.799999999999997</v>
      </c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">
      <c r="A216" s="1">
        <v>489460</v>
      </c>
      <c r="B216" s="1" t="s">
        <v>15</v>
      </c>
      <c r="C216" s="1" t="s">
        <v>16</v>
      </c>
      <c r="D216" s="1">
        <v>8</v>
      </c>
      <c r="E216" s="3">
        <v>40148.448611111111</v>
      </c>
      <c r="F216" s="1">
        <v>6.75</v>
      </c>
      <c r="G216" s="1">
        <v>16167</v>
      </c>
      <c r="H216" s="1" t="s">
        <v>10</v>
      </c>
      <c r="I216" s="1">
        <f t="shared" si="0"/>
        <v>54</v>
      </c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">
      <c r="A217" s="1">
        <v>489460</v>
      </c>
      <c r="B217" s="1">
        <v>22232</v>
      </c>
      <c r="C217" s="1" t="s">
        <v>241</v>
      </c>
      <c r="D217" s="1">
        <v>8</v>
      </c>
      <c r="E217" s="3">
        <v>40148.448611111111</v>
      </c>
      <c r="F217" s="1">
        <v>1.65</v>
      </c>
      <c r="G217" s="1">
        <v>16167</v>
      </c>
      <c r="H217" s="1" t="s">
        <v>10</v>
      </c>
      <c r="I217" s="1">
        <f t="shared" si="0"/>
        <v>13.2</v>
      </c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">
      <c r="A218" s="1">
        <v>489460</v>
      </c>
      <c r="B218" s="1" t="s">
        <v>17</v>
      </c>
      <c r="C218" s="1" t="s">
        <v>18</v>
      </c>
      <c r="D218" s="1">
        <v>8</v>
      </c>
      <c r="E218" s="3">
        <v>40148.448611111111</v>
      </c>
      <c r="F218" s="1">
        <v>6.75</v>
      </c>
      <c r="G218" s="1">
        <v>16167</v>
      </c>
      <c r="H218" s="1" t="s">
        <v>10</v>
      </c>
      <c r="I218" s="1">
        <f t="shared" si="0"/>
        <v>54</v>
      </c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">
      <c r="A219" s="1">
        <v>489460</v>
      </c>
      <c r="B219" s="1">
        <v>22274</v>
      </c>
      <c r="C219" s="1" t="s">
        <v>61</v>
      </c>
      <c r="D219" s="1">
        <v>6</v>
      </c>
      <c r="E219" s="3">
        <v>40148.448611111111</v>
      </c>
      <c r="F219" s="1">
        <v>2.95</v>
      </c>
      <c r="G219" s="1">
        <v>16167</v>
      </c>
      <c r="H219" s="1" t="s">
        <v>10</v>
      </c>
      <c r="I219" s="1">
        <f t="shared" si="0"/>
        <v>17.700000000000003</v>
      </c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">
      <c r="A220" s="1">
        <v>489460</v>
      </c>
      <c r="B220" s="1">
        <v>22273</v>
      </c>
      <c r="C220" s="1" t="s">
        <v>242</v>
      </c>
      <c r="D220" s="1">
        <v>6</v>
      </c>
      <c r="E220" s="3">
        <v>40148.448611111111</v>
      </c>
      <c r="F220" s="1">
        <v>2.95</v>
      </c>
      <c r="G220" s="1">
        <v>16167</v>
      </c>
      <c r="H220" s="1" t="s">
        <v>10</v>
      </c>
      <c r="I220" s="1">
        <f t="shared" si="0"/>
        <v>17.700000000000003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">
      <c r="A221" s="1">
        <v>489460</v>
      </c>
      <c r="B221" s="1">
        <v>22179</v>
      </c>
      <c r="C221" s="1" t="s">
        <v>243</v>
      </c>
      <c r="D221" s="1">
        <v>4</v>
      </c>
      <c r="E221" s="3">
        <v>40148.448611111111</v>
      </c>
      <c r="F221" s="1">
        <v>6.75</v>
      </c>
      <c r="G221" s="1">
        <v>16167</v>
      </c>
      <c r="H221" s="1" t="s">
        <v>10</v>
      </c>
      <c r="I221" s="1">
        <f t="shared" si="0"/>
        <v>27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">
      <c r="A222" s="1">
        <v>489460</v>
      </c>
      <c r="B222" s="1" t="s">
        <v>244</v>
      </c>
      <c r="C222" s="1" t="s">
        <v>245</v>
      </c>
      <c r="D222" s="1">
        <v>4</v>
      </c>
      <c r="E222" s="3">
        <v>40148.448611111111</v>
      </c>
      <c r="F222" s="1">
        <v>6.75</v>
      </c>
      <c r="G222" s="1">
        <v>16167</v>
      </c>
      <c r="H222" s="1" t="s">
        <v>10</v>
      </c>
      <c r="I222" s="1">
        <f t="shared" si="0"/>
        <v>27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">
      <c r="A223" s="1">
        <v>489460</v>
      </c>
      <c r="B223" s="1">
        <v>22320</v>
      </c>
      <c r="C223" s="1" t="s">
        <v>246</v>
      </c>
      <c r="D223" s="1">
        <v>3</v>
      </c>
      <c r="E223" s="3">
        <v>40148.448611111111</v>
      </c>
      <c r="F223" s="1">
        <v>5.95</v>
      </c>
      <c r="G223" s="1">
        <v>16167</v>
      </c>
      <c r="H223" s="1" t="s">
        <v>10</v>
      </c>
      <c r="I223" s="1">
        <f t="shared" si="0"/>
        <v>17.850000000000001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">
      <c r="A224" s="1">
        <v>489460</v>
      </c>
      <c r="B224" s="1">
        <v>22138</v>
      </c>
      <c r="C224" s="1" t="s">
        <v>109</v>
      </c>
      <c r="D224" s="1">
        <v>3</v>
      </c>
      <c r="E224" s="3">
        <v>40148.448611111111</v>
      </c>
      <c r="F224" s="1">
        <v>4.95</v>
      </c>
      <c r="G224" s="1">
        <v>16167</v>
      </c>
      <c r="H224" s="1" t="s">
        <v>10</v>
      </c>
      <c r="I224" s="1">
        <f t="shared" si="0"/>
        <v>14.850000000000001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">
      <c r="A225" s="1">
        <v>489460</v>
      </c>
      <c r="B225" s="1">
        <v>22139</v>
      </c>
      <c r="C225" s="1" t="s">
        <v>110</v>
      </c>
      <c r="D225" s="1">
        <v>3</v>
      </c>
      <c r="E225" s="3">
        <v>40148.448611111111</v>
      </c>
      <c r="F225" s="1">
        <v>4.95</v>
      </c>
      <c r="G225" s="1">
        <v>16167</v>
      </c>
      <c r="H225" s="1" t="s">
        <v>10</v>
      </c>
      <c r="I225" s="1">
        <f t="shared" si="0"/>
        <v>14.850000000000001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">
      <c r="A226" s="1">
        <v>489461</v>
      </c>
      <c r="B226" s="1">
        <v>21232</v>
      </c>
      <c r="C226" s="1" t="s">
        <v>11</v>
      </c>
      <c r="D226" s="1">
        <v>48</v>
      </c>
      <c r="E226" s="3">
        <v>40148.450694444444</v>
      </c>
      <c r="F226" s="1">
        <v>1.25</v>
      </c>
      <c r="G226" s="1">
        <v>17865</v>
      </c>
      <c r="H226" s="1" t="s">
        <v>10</v>
      </c>
      <c r="I226" s="1">
        <f t="shared" si="0"/>
        <v>60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">
      <c r="A227" s="1">
        <v>489461</v>
      </c>
      <c r="B227" s="1">
        <v>72756</v>
      </c>
      <c r="C227" s="1" t="s">
        <v>247</v>
      </c>
      <c r="D227" s="1">
        <v>27</v>
      </c>
      <c r="E227" s="3">
        <v>40148.450694444444</v>
      </c>
      <c r="F227" s="1">
        <v>1.49</v>
      </c>
      <c r="G227" s="1">
        <v>17865</v>
      </c>
      <c r="H227" s="1" t="s">
        <v>10</v>
      </c>
      <c r="I227" s="1">
        <f t="shared" si="0"/>
        <v>40.229999999999997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">
      <c r="A228" s="1">
        <v>489461</v>
      </c>
      <c r="B228" s="1">
        <v>21668</v>
      </c>
      <c r="C228" s="1" t="s">
        <v>248</v>
      </c>
      <c r="D228" s="1">
        <v>24</v>
      </c>
      <c r="E228" s="3">
        <v>40148.450694444444</v>
      </c>
      <c r="F228" s="1">
        <v>1.25</v>
      </c>
      <c r="G228" s="1">
        <v>17865</v>
      </c>
      <c r="H228" s="1" t="s">
        <v>10</v>
      </c>
      <c r="I228" s="1">
        <f t="shared" si="0"/>
        <v>30</v>
      </c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">
      <c r="A229" s="1">
        <v>489461</v>
      </c>
      <c r="B229" s="1">
        <v>21669</v>
      </c>
      <c r="C229" s="1" t="s">
        <v>249</v>
      </c>
      <c r="D229" s="1">
        <v>24</v>
      </c>
      <c r="E229" s="3">
        <v>40148.450694444444</v>
      </c>
      <c r="F229" s="1">
        <v>1.25</v>
      </c>
      <c r="G229" s="1">
        <v>17865</v>
      </c>
      <c r="H229" s="1" t="s">
        <v>10</v>
      </c>
      <c r="I229" s="1">
        <f t="shared" si="0"/>
        <v>30</v>
      </c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">
      <c r="A230" s="1">
        <v>489461</v>
      </c>
      <c r="B230" s="1">
        <v>21670</v>
      </c>
      <c r="C230" s="1" t="s">
        <v>250</v>
      </c>
      <c r="D230" s="1">
        <v>24</v>
      </c>
      <c r="E230" s="3">
        <v>40148.450694444444</v>
      </c>
      <c r="F230" s="1">
        <v>1.25</v>
      </c>
      <c r="G230" s="1">
        <v>17865</v>
      </c>
      <c r="H230" s="1" t="s">
        <v>10</v>
      </c>
      <c r="I230" s="1">
        <f t="shared" si="0"/>
        <v>30</v>
      </c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">
      <c r="A231" s="1">
        <v>489461</v>
      </c>
      <c r="B231" s="1">
        <v>21671</v>
      </c>
      <c r="C231" s="1" t="s">
        <v>182</v>
      </c>
      <c r="D231" s="1">
        <v>24</v>
      </c>
      <c r="E231" s="3">
        <v>40148.450694444444</v>
      </c>
      <c r="F231" s="1">
        <v>1.25</v>
      </c>
      <c r="G231" s="1">
        <v>17865</v>
      </c>
      <c r="H231" s="1" t="s">
        <v>10</v>
      </c>
      <c r="I231" s="1">
        <f t="shared" si="0"/>
        <v>30</v>
      </c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">
      <c r="A232" s="1">
        <v>489461</v>
      </c>
      <c r="B232" s="1">
        <v>21672</v>
      </c>
      <c r="C232" s="1" t="s">
        <v>251</v>
      </c>
      <c r="D232" s="1">
        <v>24</v>
      </c>
      <c r="E232" s="3">
        <v>40148.450694444444</v>
      </c>
      <c r="F232" s="1">
        <v>1.25</v>
      </c>
      <c r="G232" s="1">
        <v>17865</v>
      </c>
      <c r="H232" s="1" t="s">
        <v>10</v>
      </c>
      <c r="I232" s="1">
        <f t="shared" si="0"/>
        <v>30</v>
      </c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">
      <c r="A233" s="1">
        <v>489461</v>
      </c>
      <c r="B233" s="1">
        <v>21673</v>
      </c>
      <c r="C233" s="1" t="s">
        <v>252</v>
      </c>
      <c r="D233" s="1">
        <v>24</v>
      </c>
      <c r="E233" s="3">
        <v>40148.450694444444</v>
      </c>
      <c r="F233" s="1">
        <v>1.25</v>
      </c>
      <c r="G233" s="1">
        <v>17865</v>
      </c>
      <c r="H233" s="1" t="s">
        <v>10</v>
      </c>
      <c r="I233" s="1">
        <f t="shared" si="0"/>
        <v>30</v>
      </c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">
      <c r="A234" s="1">
        <v>489461</v>
      </c>
      <c r="B234" s="1">
        <v>21212</v>
      </c>
      <c r="C234" s="1" t="s">
        <v>253</v>
      </c>
      <c r="D234" s="1">
        <v>24</v>
      </c>
      <c r="E234" s="3">
        <v>40148.450694444444</v>
      </c>
      <c r="F234" s="1">
        <v>0.55000000000000004</v>
      </c>
      <c r="G234" s="1">
        <v>17865</v>
      </c>
      <c r="H234" s="1" t="s">
        <v>10</v>
      </c>
      <c r="I234" s="1">
        <f t="shared" si="0"/>
        <v>13.200000000000001</v>
      </c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">
      <c r="A235" s="1">
        <v>489461</v>
      </c>
      <c r="B235" s="1">
        <v>84991</v>
      </c>
      <c r="C235" s="1" t="s">
        <v>240</v>
      </c>
      <c r="D235" s="1">
        <v>24</v>
      </c>
      <c r="E235" s="3">
        <v>40148.450694444444</v>
      </c>
      <c r="F235" s="1">
        <v>0.55000000000000004</v>
      </c>
      <c r="G235" s="1">
        <v>17865</v>
      </c>
      <c r="H235" s="1" t="s">
        <v>10</v>
      </c>
      <c r="I235" s="1">
        <f t="shared" si="0"/>
        <v>13.200000000000001</v>
      </c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">
      <c r="A236" s="1">
        <v>489461</v>
      </c>
      <c r="B236" s="1">
        <v>21161</v>
      </c>
      <c r="C236" s="1" t="s">
        <v>254</v>
      </c>
      <c r="D236" s="1">
        <v>12</v>
      </c>
      <c r="E236" s="3">
        <v>40148.450694444444</v>
      </c>
      <c r="F236" s="1">
        <v>1.45</v>
      </c>
      <c r="G236" s="1">
        <v>17865</v>
      </c>
      <c r="H236" s="1" t="s">
        <v>10</v>
      </c>
      <c r="I236" s="1">
        <f t="shared" si="0"/>
        <v>17.399999999999999</v>
      </c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">
      <c r="A237" s="1">
        <v>489461</v>
      </c>
      <c r="B237" s="1">
        <v>21162</v>
      </c>
      <c r="C237" s="1" t="s">
        <v>255</v>
      </c>
      <c r="D237" s="1">
        <v>12</v>
      </c>
      <c r="E237" s="3">
        <v>40148.450694444444</v>
      </c>
      <c r="F237" s="1">
        <v>1.45</v>
      </c>
      <c r="G237" s="1">
        <v>17865</v>
      </c>
      <c r="H237" s="1" t="s">
        <v>10</v>
      </c>
      <c r="I237" s="1">
        <f t="shared" si="0"/>
        <v>17.399999999999999</v>
      </c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">
      <c r="A238" s="1">
        <v>489461</v>
      </c>
      <c r="B238" s="1">
        <v>21248</v>
      </c>
      <c r="C238" s="1" t="s">
        <v>256</v>
      </c>
      <c r="D238" s="1">
        <v>12</v>
      </c>
      <c r="E238" s="3">
        <v>40148.450694444444</v>
      </c>
      <c r="F238" s="1">
        <v>1.45</v>
      </c>
      <c r="G238" s="1">
        <v>17865</v>
      </c>
      <c r="H238" s="1" t="s">
        <v>10</v>
      </c>
      <c r="I238" s="1">
        <f t="shared" si="0"/>
        <v>17.399999999999999</v>
      </c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">
      <c r="A239" s="1">
        <v>489461</v>
      </c>
      <c r="B239" s="1">
        <v>21159</v>
      </c>
      <c r="C239" s="1" t="s">
        <v>257</v>
      </c>
      <c r="D239" s="1">
        <v>12</v>
      </c>
      <c r="E239" s="3">
        <v>40148.450694444444</v>
      </c>
      <c r="F239" s="1">
        <v>1.45</v>
      </c>
      <c r="G239" s="1">
        <v>17865</v>
      </c>
      <c r="H239" s="1" t="s">
        <v>10</v>
      </c>
      <c r="I239" s="1">
        <f t="shared" si="0"/>
        <v>17.399999999999999</v>
      </c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">
      <c r="A240" s="1">
        <v>489461</v>
      </c>
      <c r="B240" s="1">
        <v>82582</v>
      </c>
      <c r="C240" s="1" t="s">
        <v>33</v>
      </c>
      <c r="D240" s="1">
        <v>12</v>
      </c>
      <c r="E240" s="3">
        <v>40148.450694444444</v>
      </c>
      <c r="F240" s="1">
        <v>2.1</v>
      </c>
      <c r="G240" s="1">
        <v>17865</v>
      </c>
      <c r="H240" s="1" t="s">
        <v>10</v>
      </c>
      <c r="I240" s="1">
        <f t="shared" si="0"/>
        <v>25.200000000000003</v>
      </c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">
      <c r="A241" s="1">
        <v>489461</v>
      </c>
      <c r="B241" s="1" t="s">
        <v>258</v>
      </c>
      <c r="C241" s="1" t="s">
        <v>259</v>
      </c>
      <c r="D241" s="1">
        <v>6</v>
      </c>
      <c r="E241" s="3">
        <v>40148.450694444444</v>
      </c>
      <c r="F241" s="1">
        <v>2.95</v>
      </c>
      <c r="G241" s="1">
        <v>17865</v>
      </c>
      <c r="H241" s="1" t="s">
        <v>10</v>
      </c>
      <c r="I241" s="1">
        <f t="shared" si="0"/>
        <v>17.700000000000003</v>
      </c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">
      <c r="A242" s="1">
        <v>489461</v>
      </c>
      <c r="B242" s="1" t="s">
        <v>260</v>
      </c>
      <c r="C242" s="1" t="s">
        <v>261</v>
      </c>
      <c r="D242" s="1">
        <v>6</v>
      </c>
      <c r="E242" s="3">
        <v>40148.450694444444</v>
      </c>
      <c r="F242" s="1">
        <v>2.95</v>
      </c>
      <c r="G242" s="1">
        <v>17865</v>
      </c>
      <c r="H242" s="1" t="s">
        <v>10</v>
      </c>
      <c r="I242" s="1">
        <f t="shared" si="0"/>
        <v>17.700000000000003</v>
      </c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">
      <c r="A243" s="1">
        <v>489461</v>
      </c>
      <c r="B243" s="1">
        <v>21181</v>
      </c>
      <c r="C243" s="1" t="s">
        <v>34</v>
      </c>
      <c r="D243" s="1">
        <v>6</v>
      </c>
      <c r="E243" s="3">
        <v>40148.450694444444</v>
      </c>
      <c r="F243" s="1">
        <v>2.1</v>
      </c>
      <c r="G243" s="1">
        <v>17865</v>
      </c>
      <c r="H243" s="1" t="s">
        <v>10</v>
      </c>
      <c r="I243" s="1">
        <f t="shared" si="0"/>
        <v>12.600000000000001</v>
      </c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">
      <c r="A244" s="1">
        <v>489461</v>
      </c>
      <c r="B244" s="1">
        <v>85150</v>
      </c>
      <c r="C244" s="1" t="s">
        <v>151</v>
      </c>
      <c r="D244" s="1">
        <v>6</v>
      </c>
      <c r="E244" s="3">
        <v>40148.450694444444</v>
      </c>
      <c r="F244" s="1">
        <v>2.5499999999999998</v>
      </c>
      <c r="G244" s="1">
        <v>17865</v>
      </c>
      <c r="H244" s="1" t="s">
        <v>10</v>
      </c>
      <c r="I244" s="1">
        <f t="shared" si="0"/>
        <v>15.299999999999999</v>
      </c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">
      <c r="A245" s="1">
        <v>489461</v>
      </c>
      <c r="B245" s="1" t="s">
        <v>262</v>
      </c>
      <c r="C245" s="1" t="s">
        <v>263</v>
      </c>
      <c r="D245" s="1">
        <v>6</v>
      </c>
      <c r="E245" s="3">
        <v>40148.450694444444</v>
      </c>
      <c r="F245" s="1">
        <v>2.95</v>
      </c>
      <c r="G245" s="1">
        <v>17865</v>
      </c>
      <c r="H245" s="1" t="s">
        <v>10</v>
      </c>
      <c r="I245" s="1">
        <f t="shared" si="0"/>
        <v>17.700000000000003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">
      <c r="A246" s="1">
        <v>489461</v>
      </c>
      <c r="B246" s="1">
        <v>22063</v>
      </c>
      <c r="C246" s="1" t="s">
        <v>264</v>
      </c>
      <c r="D246" s="1">
        <v>6</v>
      </c>
      <c r="E246" s="3">
        <v>40148.450694444444</v>
      </c>
      <c r="F246" s="1">
        <v>2.95</v>
      </c>
      <c r="G246" s="1">
        <v>17865</v>
      </c>
      <c r="H246" s="1" t="s">
        <v>10</v>
      </c>
      <c r="I246" s="1">
        <f t="shared" si="0"/>
        <v>17.700000000000003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">
      <c r="A247" s="1">
        <v>489461</v>
      </c>
      <c r="B247" s="1">
        <v>37450</v>
      </c>
      <c r="C247" s="1" t="s">
        <v>265</v>
      </c>
      <c r="D247" s="1">
        <v>6</v>
      </c>
      <c r="E247" s="3">
        <v>40148.450694444444</v>
      </c>
      <c r="F247" s="1">
        <v>2.95</v>
      </c>
      <c r="G247" s="1">
        <v>17865</v>
      </c>
      <c r="H247" s="1" t="s">
        <v>10</v>
      </c>
      <c r="I247" s="1">
        <f t="shared" si="0"/>
        <v>17.700000000000003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">
      <c r="A248" s="1">
        <v>489461</v>
      </c>
      <c r="B248" s="1">
        <v>22125</v>
      </c>
      <c r="C248" s="1" t="s">
        <v>181</v>
      </c>
      <c r="D248" s="1">
        <v>3</v>
      </c>
      <c r="E248" s="3">
        <v>40148.450694444444</v>
      </c>
      <c r="F248" s="1">
        <v>5.95</v>
      </c>
      <c r="G248" s="1">
        <v>17865</v>
      </c>
      <c r="H248" s="1" t="s">
        <v>10</v>
      </c>
      <c r="I248" s="1">
        <f t="shared" si="0"/>
        <v>17.850000000000001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">
      <c r="A249" s="1">
        <v>489461</v>
      </c>
      <c r="B249" s="1">
        <v>82483</v>
      </c>
      <c r="C249" s="1" t="s">
        <v>266</v>
      </c>
      <c r="D249" s="1">
        <v>3</v>
      </c>
      <c r="E249" s="3">
        <v>40148.450694444444</v>
      </c>
      <c r="F249" s="1">
        <v>5.95</v>
      </c>
      <c r="G249" s="1">
        <v>17865</v>
      </c>
      <c r="H249" s="1" t="s">
        <v>10</v>
      </c>
      <c r="I249" s="1">
        <f t="shared" si="0"/>
        <v>17.850000000000001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">
      <c r="A250" s="1">
        <v>489461</v>
      </c>
      <c r="B250" s="1">
        <v>82486</v>
      </c>
      <c r="C250" s="1" t="s">
        <v>267</v>
      </c>
      <c r="D250" s="1">
        <v>2</v>
      </c>
      <c r="E250" s="3">
        <v>40148.450694444444</v>
      </c>
      <c r="F250" s="1">
        <v>7.95</v>
      </c>
      <c r="G250" s="1">
        <v>17865</v>
      </c>
      <c r="H250" s="1" t="s">
        <v>10</v>
      </c>
      <c r="I250" s="1">
        <f t="shared" si="0"/>
        <v>15.9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">
      <c r="A251" s="1">
        <v>489461</v>
      </c>
      <c r="B251" s="1">
        <v>22180</v>
      </c>
      <c r="C251" s="1" t="s">
        <v>172</v>
      </c>
      <c r="D251" s="1">
        <v>2</v>
      </c>
      <c r="E251" s="3">
        <v>40148.450694444444</v>
      </c>
      <c r="F251" s="1">
        <v>9.9499999999999993</v>
      </c>
      <c r="G251" s="1">
        <v>17865</v>
      </c>
      <c r="H251" s="1" t="s">
        <v>10</v>
      </c>
      <c r="I251" s="1">
        <f t="shared" si="0"/>
        <v>19.899999999999999</v>
      </c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2">
      <c r="A252" s="1">
        <v>489462</v>
      </c>
      <c r="B252" s="1" t="s">
        <v>215</v>
      </c>
      <c r="C252" s="1" t="s">
        <v>216</v>
      </c>
      <c r="D252" s="1">
        <v>3</v>
      </c>
      <c r="E252" s="3">
        <v>40148.450694444444</v>
      </c>
      <c r="F252" s="1">
        <v>4.25</v>
      </c>
      <c r="G252" s="1">
        <v>17592</v>
      </c>
      <c r="H252" s="1" t="s">
        <v>10</v>
      </c>
      <c r="I252" s="1">
        <f t="shared" si="0"/>
        <v>12.75</v>
      </c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">
      <c r="A253" s="1">
        <v>489462</v>
      </c>
      <c r="B253" s="1" t="s">
        <v>219</v>
      </c>
      <c r="C253" s="1" t="s">
        <v>220</v>
      </c>
      <c r="D253" s="1">
        <v>3</v>
      </c>
      <c r="E253" s="3">
        <v>40148.450694444444</v>
      </c>
      <c r="F253" s="1">
        <v>4.25</v>
      </c>
      <c r="G253" s="1">
        <v>17592</v>
      </c>
      <c r="H253" s="1" t="s">
        <v>10</v>
      </c>
      <c r="I253" s="1">
        <f t="shared" si="0"/>
        <v>12.75</v>
      </c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">
      <c r="A254" s="1">
        <v>489462</v>
      </c>
      <c r="B254" s="1" t="s">
        <v>213</v>
      </c>
      <c r="C254" s="1" t="s">
        <v>214</v>
      </c>
      <c r="D254" s="1">
        <v>3</v>
      </c>
      <c r="E254" s="3">
        <v>40148.450694444444</v>
      </c>
      <c r="F254" s="1">
        <v>4.25</v>
      </c>
      <c r="G254" s="1">
        <v>17592</v>
      </c>
      <c r="H254" s="1" t="s">
        <v>10</v>
      </c>
      <c r="I254" s="1">
        <f t="shared" si="0"/>
        <v>12.75</v>
      </c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">
      <c r="A255" s="1">
        <v>489462</v>
      </c>
      <c r="B255" s="1" t="s">
        <v>221</v>
      </c>
      <c r="C255" s="1" t="s">
        <v>222</v>
      </c>
      <c r="D255" s="1">
        <v>3</v>
      </c>
      <c r="E255" s="3">
        <v>40148.450694444444</v>
      </c>
      <c r="F255" s="1">
        <v>4.25</v>
      </c>
      <c r="G255" s="1">
        <v>17592</v>
      </c>
      <c r="H255" s="1" t="s">
        <v>10</v>
      </c>
      <c r="I255" s="1">
        <f t="shared" si="0"/>
        <v>12.75</v>
      </c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">
      <c r="A256" s="1">
        <v>489462</v>
      </c>
      <c r="B256" s="1" t="s">
        <v>217</v>
      </c>
      <c r="C256" s="1" t="s">
        <v>218</v>
      </c>
      <c r="D256" s="1">
        <v>3</v>
      </c>
      <c r="E256" s="3">
        <v>40148.450694444444</v>
      </c>
      <c r="F256" s="1">
        <v>4.25</v>
      </c>
      <c r="G256" s="1">
        <v>17592</v>
      </c>
      <c r="H256" s="1" t="s">
        <v>10</v>
      </c>
      <c r="I256" s="1">
        <f t="shared" si="0"/>
        <v>12.75</v>
      </c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">
      <c r="A257" s="1">
        <v>489462</v>
      </c>
      <c r="B257" s="1" t="s">
        <v>223</v>
      </c>
      <c r="C257" s="1" t="s">
        <v>224</v>
      </c>
      <c r="D257" s="1">
        <v>3</v>
      </c>
      <c r="E257" s="3">
        <v>40148.450694444444</v>
      </c>
      <c r="F257" s="1">
        <v>4.25</v>
      </c>
      <c r="G257" s="1">
        <v>17592</v>
      </c>
      <c r="H257" s="1" t="s">
        <v>10</v>
      </c>
      <c r="I257" s="1">
        <f t="shared" ref="I257:I511" si="1">D257*F257</f>
        <v>12.75</v>
      </c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">
      <c r="A258" s="1">
        <v>489462</v>
      </c>
      <c r="B258" s="1" t="s">
        <v>225</v>
      </c>
      <c r="C258" s="1" t="s">
        <v>226</v>
      </c>
      <c r="D258" s="1">
        <v>3</v>
      </c>
      <c r="E258" s="3">
        <v>40148.450694444444</v>
      </c>
      <c r="F258" s="1">
        <v>4.25</v>
      </c>
      <c r="G258" s="1">
        <v>17592</v>
      </c>
      <c r="H258" s="1" t="s">
        <v>10</v>
      </c>
      <c r="I258" s="1">
        <f t="shared" si="1"/>
        <v>12.75</v>
      </c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">
      <c r="A259" s="1">
        <v>489462</v>
      </c>
      <c r="B259" s="1" t="s">
        <v>227</v>
      </c>
      <c r="C259" s="1" t="s">
        <v>228</v>
      </c>
      <c r="D259" s="1">
        <v>3</v>
      </c>
      <c r="E259" s="3">
        <v>40148.450694444444</v>
      </c>
      <c r="F259" s="1">
        <v>3.75</v>
      </c>
      <c r="G259" s="1">
        <v>17592</v>
      </c>
      <c r="H259" s="1" t="s">
        <v>10</v>
      </c>
      <c r="I259" s="1">
        <f t="shared" si="1"/>
        <v>11.25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">
      <c r="A260" s="1">
        <v>489462</v>
      </c>
      <c r="B260" s="1" t="s">
        <v>229</v>
      </c>
      <c r="C260" s="1" t="s">
        <v>230</v>
      </c>
      <c r="D260" s="1">
        <v>3</v>
      </c>
      <c r="E260" s="3">
        <v>40148.450694444444</v>
      </c>
      <c r="F260" s="1">
        <v>3.75</v>
      </c>
      <c r="G260" s="1">
        <v>17592</v>
      </c>
      <c r="H260" s="1" t="s">
        <v>10</v>
      </c>
      <c r="I260" s="1">
        <f t="shared" si="1"/>
        <v>11.25</v>
      </c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">
      <c r="A261" s="1">
        <v>489462</v>
      </c>
      <c r="B261" s="1" t="s">
        <v>231</v>
      </c>
      <c r="C261" s="1" t="s">
        <v>232</v>
      </c>
      <c r="D261" s="1">
        <v>3</v>
      </c>
      <c r="E261" s="3">
        <v>40148.450694444444</v>
      </c>
      <c r="F261" s="1">
        <v>3.75</v>
      </c>
      <c r="G261" s="1">
        <v>17592</v>
      </c>
      <c r="H261" s="1" t="s">
        <v>10</v>
      </c>
      <c r="I261" s="1">
        <f t="shared" si="1"/>
        <v>11.25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2">
      <c r="A262" s="1">
        <v>489462</v>
      </c>
      <c r="B262" s="1" t="s">
        <v>233</v>
      </c>
      <c r="C262" s="1" t="s">
        <v>234</v>
      </c>
      <c r="D262" s="1">
        <v>3</v>
      </c>
      <c r="E262" s="3">
        <v>40148.450694444444</v>
      </c>
      <c r="F262" s="1">
        <v>2.1</v>
      </c>
      <c r="G262" s="1">
        <v>17592</v>
      </c>
      <c r="H262" s="1" t="s">
        <v>10</v>
      </c>
      <c r="I262" s="1">
        <f t="shared" si="1"/>
        <v>6.3000000000000007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">
      <c r="A263" s="1">
        <v>489462</v>
      </c>
      <c r="B263" s="1" t="s">
        <v>235</v>
      </c>
      <c r="C263" s="1" t="s">
        <v>236</v>
      </c>
      <c r="D263" s="1">
        <v>3</v>
      </c>
      <c r="E263" s="3">
        <v>40148.450694444444</v>
      </c>
      <c r="F263" s="1">
        <v>2.1</v>
      </c>
      <c r="G263" s="1">
        <v>17592</v>
      </c>
      <c r="H263" s="1" t="s">
        <v>10</v>
      </c>
      <c r="I263" s="1">
        <f t="shared" si="1"/>
        <v>6.3000000000000007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">
      <c r="A264" s="1">
        <v>489462</v>
      </c>
      <c r="B264" s="1" t="s">
        <v>211</v>
      </c>
      <c r="C264" s="1" t="s">
        <v>212</v>
      </c>
      <c r="D264" s="1">
        <v>2</v>
      </c>
      <c r="E264" s="3">
        <v>40148.450694444444</v>
      </c>
      <c r="F264" s="1">
        <v>6.35</v>
      </c>
      <c r="G264" s="1">
        <v>17592</v>
      </c>
      <c r="H264" s="1" t="s">
        <v>10</v>
      </c>
      <c r="I264" s="1">
        <f t="shared" si="1"/>
        <v>12.7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">
      <c r="A265" s="1">
        <v>489463</v>
      </c>
      <c r="B265" s="1">
        <v>71477</v>
      </c>
      <c r="C265" s="1" t="s">
        <v>268</v>
      </c>
      <c r="D265" s="1">
        <v>-240</v>
      </c>
      <c r="E265" s="3">
        <v>40148.452777777777</v>
      </c>
      <c r="F265" s="1">
        <v>0</v>
      </c>
      <c r="H265" s="1" t="s">
        <v>10</v>
      </c>
      <c r="I265" s="1">
        <f t="shared" si="1"/>
        <v>0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">
      <c r="A266" s="1">
        <v>489464</v>
      </c>
      <c r="B266" s="1">
        <v>21733</v>
      </c>
      <c r="C266" s="1" t="s">
        <v>269</v>
      </c>
      <c r="D266" s="1">
        <v>-96</v>
      </c>
      <c r="E266" s="3">
        <v>40148.452777777777</v>
      </c>
      <c r="F266" s="1">
        <v>0</v>
      </c>
      <c r="H266" s="1" t="s">
        <v>10</v>
      </c>
      <c r="I266" s="1">
        <f t="shared" si="1"/>
        <v>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">
      <c r="A267" s="1">
        <v>489465</v>
      </c>
      <c r="B267" s="1">
        <v>84879</v>
      </c>
      <c r="C267" s="1" t="s">
        <v>26</v>
      </c>
      <c r="D267" s="1">
        <v>160</v>
      </c>
      <c r="E267" s="3">
        <v>40148.452777777777</v>
      </c>
      <c r="F267" s="1">
        <v>1.45</v>
      </c>
      <c r="G267" s="1">
        <v>13767</v>
      </c>
      <c r="H267" s="1" t="s">
        <v>10</v>
      </c>
      <c r="I267" s="1">
        <f t="shared" si="1"/>
        <v>232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">
      <c r="A268" s="1">
        <v>489465</v>
      </c>
      <c r="B268" s="1" t="s">
        <v>142</v>
      </c>
      <c r="C268" s="1" t="s">
        <v>143</v>
      </c>
      <c r="D268" s="1">
        <v>64</v>
      </c>
      <c r="E268" s="3">
        <v>40148.452777777777</v>
      </c>
      <c r="F268" s="1">
        <v>2.5499999999999998</v>
      </c>
      <c r="G268" s="1">
        <v>13767</v>
      </c>
      <c r="H268" s="1" t="s">
        <v>10</v>
      </c>
      <c r="I268" s="1">
        <f t="shared" si="1"/>
        <v>163.19999999999999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">
      <c r="A269" s="1">
        <v>489465</v>
      </c>
      <c r="B269" s="1">
        <v>85042</v>
      </c>
      <c r="C269" s="1" t="s">
        <v>270</v>
      </c>
      <c r="D269" s="1">
        <v>24</v>
      </c>
      <c r="E269" s="3">
        <v>40148.452777777777</v>
      </c>
      <c r="F269" s="1">
        <v>4.25</v>
      </c>
      <c r="G269" s="1">
        <v>13767</v>
      </c>
      <c r="H269" s="1" t="s">
        <v>10</v>
      </c>
      <c r="I269" s="1">
        <f t="shared" si="1"/>
        <v>102</v>
      </c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">
      <c r="A270" s="1">
        <v>489465</v>
      </c>
      <c r="B270" s="1">
        <v>21733</v>
      </c>
      <c r="C270" s="1" t="s">
        <v>174</v>
      </c>
      <c r="D270" s="1">
        <v>20</v>
      </c>
      <c r="E270" s="3">
        <v>40148.452777777777</v>
      </c>
      <c r="F270" s="1">
        <v>2.95</v>
      </c>
      <c r="G270" s="1">
        <v>13767</v>
      </c>
      <c r="H270" s="1" t="s">
        <v>10</v>
      </c>
      <c r="I270" s="1">
        <f t="shared" si="1"/>
        <v>59</v>
      </c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">
      <c r="A271" s="1">
        <v>489465</v>
      </c>
      <c r="B271" s="1">
        <v>21707</v>
      </c>
      <c r="C271" s="1" t="s">
        <v>271</v>
      </c>
      <c r="D271" s="1">
        <v>12</v>
      </c>
      <c r="E271" s="3">
        <v>40148.452777777777</v>
      </c>
      <c r="F271" s="1">
        <v>4.95</v>
      </c>
      <c r="G271" s="1">
        <v>13767</v>
      </c>
      <c r="H271" s="1" t="s">
        <v>10</v>
      </c>
      <c r="I271" s="1">
        <f t="shared" si="1"/>
        <v>59.400000000000006</v>
      </c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2">
      <c r="A272" s="1">
        <v>489465</v>
      </c>
      <c r="B272" s="1">
        <v>21710</v>
      </c>
      <c r="C272" s="1" t="s">
        <v>272</v>
      </c>
      <c r="D272" s="1">
        <v>12</v>
      </c>
      <c r="E272" s="3">
        <v>40148.452777777777</v>
      </c>
      <c r="F272" s="1">
        <v>4.95</v>
      </c>
      <c r="G272" s="1">
        <v>13767</v>
      </c>
      <c r="H272" s="1" t="s">
        <v>10</v>
      </c>
      <c r="I272" s="1">
        <f t="shared" si="1"/>
        <v>59.400000000000006</v>
      </c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">
      <c r="A273" s="1">
        <v>489465</v>
      </c>
      <c r="B273" s="1">
        <v>21708</v>
      </c>
      <c r="C273" s="1" t="s">
        <v>273</v>
      </c>
      <c r="D273" s="1">
        <v>12</v>
      </c>
      <c r="E273" s="3">
        <v>40148.452777777777</v>
      </c>
      <c r="F273" s="1">
        <v>4.95</v>
      </c>
      <c r="G273" s="1">
        <v>13767</v>
      </c>
      <c r="H273" s="1" t="s">
        <v>10</v>
      </c>
      <c r="I273" s="1">
        <f t="shared" si="1"/>
        <v>59.400000000000006</v>
      </c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">
      <c r="A274" s="1">
        <v>489465</v>
      </c>
      <c r="B274" s="1">
        <v>21706</v>
      </c>
      <c r="C274" s="1" t="s">
        <v>274</v>
      </c>
      <c r="D274" s="1">
        <v>12</v>
      </c>
      <c r="E274" s="3">
        <v>40148.452777777777</v>
      </c>
      <c r="F274" s="1">
        <v>4.95</v>
      </c>
      <c r="G274" s="1">
        <v>13767</v>
      </c>
      <c r="H274" s="1" t="s">
        <v>10</v>
      </c>
      <c r="I274" s="1">
        <f t="shared" si="1"/>
        <v>59.400000000000006</v>
      </c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">
      <c r="A275" s="1">
        <v>489465</v>
      </c>
      <c r="B275" s="1">
        <v>21711</v>
      </c>
      <c r="C275" s="1" t="s">
        <v>275</v>
      </c>
      <c r="D275" s="1">
        <v>12</v>
      </c>
      <c r="E275" s="3">
        <v>40148.452777777777</v>
      </c>
      <c r="F275" s="1">
        <v>4.95</v>
      </c>
      <c r="G275" s="1">
        <v>13767</v>
      </c>
      <c r="H275" s="1" t="s">
        <v>10</v>
      </c>
      <c r="I275" s="1">
        <f t="shared" si="1"/>
        <v>59.400000000000006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">
      <c r="A276" s="1">
        <v>489465</v>
      </c>
      <c r="B276" s="1">
        <v>22125</v>
      </c>
      <c r="C276" s="1" t="s">
        <v>181</v>
      </c>
      <c r="D276" s="1">
        <v>12</v>
      </c>
      <c r="E276" s="3">
        <v>40148.452777777777</v>
      </c>
      <c r="F276" s="1">
        <v>5.95</v>
      </c>
      <c r="G276" s="1">
        <v>13767</v>
      </c>
      <c r="H276" s="1" t="s">
        <v>10</v>
      </c>
      <c r="I276" s="1">
        <f t="shared" si="1"/>
        <v>71.400000000000006</v>
      </c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">
      <c r="A277" s="1">
        <v>489465</v>
      </c>
      <c r="B277" s="1">
        <v>20751</v>
      </c>
      <c r="C277" s="1" t="s">
        <v>276</v>
      </c>
      <c r="D277" s="1">
        <v>12</v>
      </c>
      <c r="E277" s="3">
        <v>40148.452777777777</v>
      </c>
      <c r="F277" s="1">
        <v>2.1</v>
      </c>
      <c r="G277" s="1">
        <v>13767</v>
      </c>
      <c r="H277" s="1" t="s">
        <v>10</v>
      </c>
      <c r="I277" s="1">
        <f t="shared" si="1"/>
        <v>25.200000000000003</v>
      </c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">
      <c r="A278" s="1">
        <v>489465</v>
      </c>
      <c r="B278" s="1">
        <v>22114</v>
      </c>
      <c r="C278" s="1" t="s">
        <v>184</v>
      </c>
      <c r="D278" s="1">
        <v>12</v>
      </c>
      <c r="E278" s="3">
        <v>40148.452777777777</v>
      </c>
      <c r="F278" s="1">
        <v>3.95</v>
      </c>
      <c r="G278" s="1">
        <v>13767</v>
      </c>
      <c r="H278" s="1" t="s">
        <v>10</v>
      </c>
      <c r="I278" s="1">
        <f t="shared" si="1"/>
        <v>47.400000000000006</v>
      </c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">
      <c r="A279" s="1">
        <v>489465</v>
      </c>
      <c r="B279" s="1">
        <v>20752</v>
      </c>
      <c r="C279" s="1" t="s">
        <v>277</v>
      </c>
      <c r="D279" s="1">
        <v>8</v>
      </c>
      <c r="E279" s="3">
        <v>40148.452777777777</v>
      </c>
      <c r="F279" s="1">
        <v>2.1</v>
      </c>
      <c r="G279" s="1">
        <v>13767</v>
      </c>
      <c r="H279" s="1" t="s">
        <v>10</v>
      </c>
      <c r="I279" s="1">
        <f t="shared" si="1"/>
        <v>16.8</v>
      </c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">
      <c r="A280" s="1">
        <v>489465</v>
      </c>
      <c r="B280" s="1">
        <v>20753</v>
      </c>
      <c r="C280" s="1" t="s">
        <v>278</v>
      </c>
      <c r="D280" s="1">
        <v>8</v>
      </c>
      <c r="E280" s="3">
        <v>40148.452777777777</v>
      </c>
      <c r="F280" s="1">
        <v>2.1</v>
      </c>
      <c r="G280" s="1">
        <v>13767</v>
      </c>
      <c r="H280" s="1" t="s">
        <v>10</v>
      </c>
      <c r="I280" s="1">
        <f t="shared" si="1"/>
        <v>16.8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">
      <c r="A281" s="1">
        <v>489465</v>
      </c>
      <c r="B281" s="1">
        <v>20754</v>
      </c>
      <c r="C281" s="1" t="s">
        <v>152</v>
      </c>
      <c r="D281" s="1">
        <v>8</v>
      </c>
      <c r="E281" s="3">
        <v>40148.452777777777</v>
      </c>
      <c r="F281" s="1">
        <v>2.1</v>
      </c>
      <c r="G281" s="1">
        <v>13767</v>
      </c>
      <c r="H281" s="1" t="s">
        <v>10</v>
      </c>
      <c r="I281" s="1">
        <f t="shared" si="1"/>
        <v>16.8</v>
      </c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">
      <c r="A282" s="1">
        <v>489465</v>
      </c>
      <c r="B282" s="1">
        <v>21481</v>
      </c>
      <c r="C282" s="1" t="s">
        <v>279</v>
      </c>
      <c r="D282" s="1">
        <v>8</v>
      </c>
      <c r="E282" s="3">
        <v>40148.452777777777</v>
      </c>
      <c r="F282" s="1">
        <v>2.95</v>
      </c>
      <c r="G282" s="1">
        <v>13767</v>
      </c>
      <c r="H282" s="1" t="s">
        <v>10</v>
      </c>
      <c r="I282" s="1">
        <f t="shared" si="1"/>
        <v>23.6</v>
      </c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">
      <c r="A283" s="1">
        <v>489465</v>
      </c>
      <c r="B283" s="1">
        <v>20747</v>
      </c>
      <c r="C283" s="1" t="s">
        <v>280</v>
      </c>
      <c r="D283" s="1">
        <v>4</v>
      </c>
      <c r="E283" s="3">
        <v>40148.452777777777</v>
      </c>
      <c r="F283" s="1">
        <v>14.95</v>
      </c>
      <c r="G283" s="1">
        <v>13767</v>
      </c>
      <c r="H283" s="1" t="s">
        <v>10</v>
      </c>
      <c r="I283" s="1">
        <f t="shared" si="1"/>
        <v>59.8</v>
      </c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">
      <c r="A284" s="1">
        <v>489465</v>
      </c>
      <c r="B284" s="1">
        <v>48185</v>
      </c>
      <c r="C284" s="1" t="s">
        <v>281</v>
      </c>
      <c r="D284" s="1">
        <v>4</v>
      </c>
      <c r="E284" s="3">
        <v>40148.452777777777</v>
      </c>
      <c r="F284" s="1">
        <v>6.75</v>
      </c>
      <c r="G284" s="1">
        <v>13767</v>
      </c>
      <c r="H284" s="1" t="s">
        <v>10</v>
      </c>
      <c r="I284" s="1">
        <f t="shared" si="1"/>
        <v>27</v>
      </c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">
      <c r="A285" s="1">
        <v>489465</v>
      </c>
      <c r="B285" s="1" t="s">
        <v>282</v>
      </c>
      <c r="C285" s="1" t="s">
        <v>283</v>
      </c>
      <c r="D285" s="1">
        <v>4</v>
      </c>
      <c r="E285" s="3">
        <v>40148.452777777777</v>
      </c>
      <c r="F285" s="1">
        <v>9.9499999999999993</v>
      </c>
      <c r="G285" s="1">
        <v>13767</v>
      </c>
      <c r="H285" s="1" t="s">
        <v>10</v>
      </c>
      <c r="I285" s="1">
        <f t="shared" si="1"/>
        <v>39.799999999999997</v>
      </c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2">
      <c r="A286" s="1">
        <v>489467</v>
      </c>
      <c r="B286" s="1" t="s">
        <v>142</v>
      </c>
      <c r="C286" s="1" t="s">
        <v>284</v>
      </c>
      <c r="D286" s="1">
        <v>-192</v>
      </c>
      <c r="E286" s="3">
        <v>40148.453472222223</v>
      </c>
      <c r="F286" s="1">
        <v>0</v>
      </c>
      <c r="H286" s="1" t="s">
        <v>10</v>
      </c>
      <c r="I286" s="1">
        <f t="shared" si="1"/>
        <v>0</v>
      </c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2">
      <c r="A287" s="1" t="s">
        <v>285</v>
      </c>
      <c r="B287" s="1">
        <v>22149</v>
      </c>
      <c r="C287" s="1" t="s">
        <v>286</v>
      </c>
      <c r="D287" s="1">
        <v>-6</v>
      </c>
      <c r="E287" s="3">
        <v>40148.454861111109</v>
      </c>
      <c r="F287" s="1">
        <v>2.1</v>
      </c>
      <c r="G287" s="1">
        <v>13293</v>
      </c>
      <c r="H287" s="1" t="s">
        <v>10</v>
      </c>
      <c r="I287" s="1">
        <f t="shared" si="1"/>
        <v>-12.600000000000001</v>
      </c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">
      <c r="A288" s="1">
        <v>489488</v>
      </c>
      <c r="B288" s="1">
        <v>21493</v>
      </c>
      <c r="C288" s="1" t="s">
        <v>107</v>
      </c>
      <c r="D288" s="1">
        <v>6</v>
      </c>
      <c r="E288" s="3">
        <v>40148.457638888889</v>
      </c>
      <c r="F288" s="1">
        <v>0.85</v>
      </c>
      <c r="G288" s="1">
        <v>17238</v>
      </c>
      <c r="H288" s="1" t="s">
        <v>10</v>
      </c>
      <c r="I288" s="1">
        <f t="shared" si="1"/>
        <v>5.0999999999999996</v>
      </c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2">
      <c r="A289" s="1">
        <v>489488</v>
      </c>
      <c r="B289" s="1">
        <v>20870</v>
      </c>
      <c r="C289" s="1" t="s">
        <v>287</v>
      </c>
      <c r="D289" s="1">
        <v>6</v>
      </c>
      <c r="E289" s="3">
        <v>40148.457638888889</v>
      </c>
      <c r="F289" s="1">
        <v>2.1</v>
      </c>
      <c r="G289" s="1">
        <v>17238</v>
      </c>
      <c r="H289" s="1" t="s">
        <v>10</v>
      </c>
      <c r="I289" s="1">
        <f t="shared" si="1"/>
        <v>12.600000000000001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2">
      <c r="A290" s="1">
        <v>489488</v>
      </c>
      <c r="B290" s="1">
        <v>22086</v>
      </c>
      <c r="C290" s="1" t="s">
        <v>183</v>
      </c>
      <c r="D290" s="1">
        <v>5</v>
      </c>
      <c r="E290" s="3">
        <v>40148.457638888889</v>
      </c>
      <c r="F290" s="1">
        <v>2.95</v>
      </c>
      <c r="G290" s="1">
        <v>17238</v>
      </c>
      <c r="H290" s="1" t="s">
        <v>10</v>
      </c>
      <c r="I290" s="1">
        <f t="shared" si="1"/>
        <v>14.75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">
      <c r="A291" s="1">
        <v>489488</v>
      </c>
      <c r="B291" s="1">
        <v>21063</v>
      </c>
      <c r="C291" s="1" t="s">
        <v>288</v>
      </c>
      <c r="D291" s="1">
        <v>4</v>
      </c>
      <c r="E291" s="3">
        <v>40148.457638888889</v>
      </c>
      <c r="F291" s="1">
        <v>0.85</v>
      </c>
      <c r="G291" s="1">
        <v>17238</v>
      </c>
      <c r="H291" s="1" t="s">
        <v>10</v>
      </c>
      <c r="I291" s="1">
        <f t="shared" si="1"/>
        <v>3.4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2">
      <c r="A292" s="1">
        <v>489488</v>
      </c>
      <c r="B292" s="1" t="s">
        <v>289</v>
      </c>
      <c r="C292" s="1" t="s">
        <v>290</v>
      </c>
      <c r="D292" s="1">
        <v>4</v>
      </c>
      <c r="E292" s="3">
        <v>40148.457638888889</v>
      </c>
      <c r="F292" s="1">
        <v>3.75</v>
      </c>
      <c r="G292" s="1">
        <v>17238</v>
      </c>
      <c r="H292" s="1" t="s">
        <v>10</v>
      </c>
      <c r="I292" s="1">
        <f t="shared" si="1"/>
        <v>15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2">
      <c r="A293" s="1">
        <v>489488</v>
      </c>
      <c r="B293" s="1" t="s">
        <v>291</v>
      </c>
      <c r="C293" s="1" t="s">
        <v>292</v>
      </c>
      <c r="D293" s="1">
        <v>4</v>
      </c>
      <c r="E293" s="3">
        <v>40148.457638888889</v>
      </c>
      <c r="F293" s="1">
        <v>3.75</v>
      </c>
      <c r="G293" s="1">
        <v>17238</v>
      </c>
      <c r="H293" s="1" t="s">
        <v>10</v>
      </c>
      <c r="I293" s="1">
        <f t="shared" si="1"/>
        <v>15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2">
      <c r="A294" s="1">
        <v>489488</v>
      </c>
      <c r="B294" s="1">
        <v>21231</v>
      </c>
      <c r="C294" s="1" t="s">
        <v>293</v>
      </c>
      <c r="D294" s="1">
        <v>4</v>
      </c>
      <c r="E294" s="3">
        <v>40148.457638888889</v>
      </c>
      <c r="F294" s="1">
        <v>1.25</v>
      </c>
      <c r="G294" s="1">
        <v>17238</v>
      </c>
      <c r="H294" s="1" t="s">
        <v>10</v>
      </c>
      <c r="I294" s="1">
        <f t="shared" si="1"/>
        <v>5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">
      <c r="A295" s="1">
        <v>489488</v>
      </c>
      <c r="B295" s="1" t="s">
        <v>294</v>
      </c>
      <c r="C295" s="1" t="s">
        <v>295</v>
      </c>
      <c r="D295" s="1">
        <v>4</v>
      </c>
      <c r="E295" s="3">
        <v>40148.457638888889</v>
      </c>
      <c r="F295" s="1">
        <v>4.25</v>
      </c>
      <c r="G295" s="1">
        <v>17238</v>
      </c>
      <c r="H295" s="1" t="s">
        <v>10</v>
      </c>
      <c r="I295" s="1">
        <f t="shared" si="1"/>
        <v>17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">
      <c r="A296" s="1">
        <v>489488</v>
      </c>
      <c r="B296" s="1">
        <v>21484</v>
      </c>
      <c r="C296" s="1" t="s">
        <v>296</v>
      </c>
      <c r="D296" s="1">
        <v>3</v>
      </c>
      <c r="E296" s="3">
        <v>40148.457638888889</v>
      </c>
      <c r="F296" s="1">
        <v>3.45</v>
      </c>
      <c r="G296" s="1">
        <v>17238</v>
      </c>
      <c r="H296" s="1" t="s">
        <v>10</v>
      </c>
      <c r="I296" s="1">
        <f t="shared" si="1"/>
        <v>10.350000000000001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2">
      <c r="A297" s="1">
        <v>489488</v>
      </c>
      <c r="B297" s="1">
        <v>20972</v>
      </c>
      <c r="C297" s="1" t="s">
        <v>297</v>
      </c>
      <c r="D297" s="1">
        <v>3</v>
      </c>
      <c r="E297" s="3">
        <v>40148.457638888889</v>
      </c>
      <c r="F297" s="1">
        <v>1.25</v>
      </c>
      <c r="G297" s="1">
        <v>17238</v>
      </c>
      <c r="H297" s="1" t="s">
        <v>10</v>
      </c>
      <c r="I297" s="1">
        <f t="shared" si="1"/>
        <v>3.75</v>
      </c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2">
      <c r="A298" s="1">
        <v>489488</v>
      </c>
      <c r="B298" s="1">
        <v>21490</v>
      </c>
      <c r="C298" s="1" t="s">
        <v>298</v>
      </c>
      <c r="D298" s="1">
        <v>3</v>
      </c>
      <c r="E298" s="3">
        <v>40148.457638888889</v>
      </c>
      <c r="F298" s="1">
        <v>1.95</v>
      </c>
      <c r="G298" s="1">
        <v>17238</v>
      </c>
      <c r="H298" s="1" t="s">
        <v>10</v>
      </c>
      <c r="I298" s="1">
        <f t="shared" si="1"/>
        <v>5.85</v>
      </c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2">
      <c r="A299" s="1">
        <v>489488</v>
      </c>
      <c r="B299" s="1">
        <v>21058</v>
      </c>
      <c r="C299" s="1" t="s">
        <v>299</v>
      </c>
      <c r="D299" s="1">
        <v>3</v>
      </c>
      <c r="E299" s="3">
        <v>40148.457638888889</v>
      </c>
      <c r="F299" s="1">
        <v>0.85</v>
      </c>
      <c r="G299" s="1">
        <v>17238</v>
      </c>
      <c r="H299" s="1" t="s">
        <v>10</v>
      </c>
      <c r="I299" s="1">
        <f t="shared" si="1"/>
        <v>2.5499999999999998</v>
      </c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2">
      <c r="A300" s="1">
        <v>489488</v>
      </c>
      <c r="B300" s="1">
        <v>22300</v>
      </c>
      <c r="C300" s="1" t="s">
        <v>300</v>
      </c>
      <c r="D300" s="1">
        <v>3</v>
      </c>
      <c r="E300" s="3">
        <v>40148.457638888889</v>
      </c>
      <c r="F300" s="1">
        <v>2.5499999999999998</v>
      </c>
      <c r="G300" s="1">
        <v>17238</v>
      </c>
      <c r="H300" s="1" t="s">
        <v>10</v>
      </c>
      <c r="I300" s="1">
        <f t="shared" si="1"/>
        <v>7.6499999999999995</v>
      </c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">
      <c r="A301" s="1">
        <v>489488</v>
      </c>
      <c r="B301" s="1">
        <v>22125</v>
      </c>
      <c r="C301" s="1" t="s">
        <v>181</v>
      </c>
      <c r="D301" s="1">
        <v>2</v>
      </c>
      <c r="E301" s="3">
        <v>40148.457638888889</v>
      </c>
      <c r="F301" s="1">
        <v>5.95</v>
      </c>
      <c r="G301" s="1">
        <v>17238</v>
      </c>
      <c r="H301" s="1" t="s">
        <v>10</v>
      </c>
      <c r="I301" s="1">
        <f t="shared" si="1"/>
        <v>11.9</v>
      </c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2">
      <c r="A302" s="1">
        <v>489488</v>
      </c>
      <c r="B302" s="1">
        <v>21482</v>
      </c>
      <c r="C302" s="1" t="s">
        <v>301</v>
      </c>
      <c r="D302" s="1">
        <v>2</v>
      </c>
      <c r="E302" s="3">
        <v>40148.457638888889</v>
      </c>
      <c r="F302" s="1">
        <v>2.95</v>
      </c>
      <c r="G302" s="1">
        <v>17238</v>
      </c>
      <c r="H302" s="1" t="s">
        <v>10</v>
      </c>
      <c r="I302" s="1">
        <f t="shared" si="1"/>
        <v>5.9</v>
      </c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2">
      <c r="A303" s="1">
        <v>489488</v>
      </c>
      <c r="B303" s="1">
        <v>20970</v>
      </c>
      <c r="C303" s="1" t="s">
        <v>302</v>
      </c>
      <c r="D303" s="1">
        <v>2</v>
      </c>
      <c r="E303" s="3">
        <v>40148.457638888889</v>
      </c>
      <c r="F303" s="1">
        <v>3.75</v>
      </c>
      <c r="G303" s="1">
        <v>17238</v>
      </c>
      <c r="H303" s="1" t="s">
        <v>10</v>
      </c>
      <c r="I303" s="1">
        <f t="shared" si="1"/>
        <v>7.5</v>
      </c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">
      <c r="A304" s="1">
        <v>489488</v>
      </c>
      <c r="B304" s="1">
        <v>21100</v>
      </c>
      <c r="C304" s="1" t="s">
        <v>95</v>
      </c>
      <c r="D304" s="1">
        <v>2</v>
      </c>
      <c r="E304" s="3">
        <v>40148.457638888889</v>
      </c>
      <c r="F304" s="1">
        <v>1.65</v>
      </c>
      <c r="G304" s="1">
        <v>17238</v>
      </c>
      <c r="H304" s="1" t="s">
        <v>10</v>
      </c>
      <c r="I304" s="1">
        <f t="shared" si="1"/>
        <v>3.3</v>
      </c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2">
      <c r="A305" s="1">
        <v>489488</v>
      </c>
      <c r="B305" s="1">
        <v>84582</v>
      </c>
      <c r="C305" s="1" t="s">
        <v>303</v>
      </c>
      <c r="D305" s="1">
        <v>2</v>
      </c>
      <c r="E305" s="3">
        <v>40148.457638888889</v>
      </c>
      <c r="F305" s="1">
        <v>4.25</v>
      </c>
      <c r="G305" s="1">
        <v>17238</v>
      </c>
      <c r="H305" s="1" t="s">
        <v>10</v>
      </c>
      <c r="I305" s="1">
        <f t="shared" si="1"/>
        <v>8.5</v>
      </c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2">
      <c r="A306" s="1">
        <v>489488</v>
      </c>
      <c r="B306" s="1" t="s">
        <v>304</v>
      </c>
      <c r="C306" s="1" t="s">
        <v>305</v>
      </c>
      <c r="D306" s="1">
        <v>2</v>
      </c>
      <c r="E306" s="3">
        <v>40148.457638888889</v>
      </c>
      <c r="F306" s="1">
        <v>2.1</v>
      </c>
      <c r="G306" s="1">
        <v>17238</v>
      </c>
      <c r="H306" s="1" t="s">
        <v>10</v>
      </c>
      <c r="I306" s="1">
        <f t="shared" si="1"/>
        <v>4.2</v>
      </c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">
      <c r="A307" s="1">
        <v>489488</v>
      </c>
      <c r="B307" s="1">
        <v>22301</v>
      </c>
      <c r="C307" s="1" t="s">
        <v>306</v>
      </c>
      <c r="D307" s="1">
        <v>2</v>
      </c>
      <c r="E307" s="3">
        <v>40148.457638888889</v>
      </c>
      <c r="F307" s="1">
        <v>2.5499999999999998</v>
      </c>
      <c r="G307" s="1">
        <v>17238</v>
      </c>
      <c r="H307" s="1" t="s">
        <v>10</v>
      </c>
      <c r="I307" s="1">
        <f t="shared" si="1"/>
        <v>5.0999999999999996</v>
      </c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">
      <c r="A308" s="1">
        <v>489488</v>
      </c>
      <c r="B308" s="1" t="s">
        <v>307</v>
      </c>
      <c r="C308" s="1" t="s">
        <v>308</v>
      </c>
      <c r="D308" s="1">
        <v>2</v>
      </c>
      <c r="E308" s="3">
        <v>40148.457638888889</v>
      </c>
      <c r="F308" s="1">
        <v>8.9499999999999993</v>
      </c>
      <c r="G308" s="1">
        <v>17238</v>
      </c>
      <c r="H308" s="1" t="s">
        <v>10</v>
      </c>
      <c r="I308" s="1">
        <f t="shared" si="1"/>
        <v>17.899999999999999</v>
      </c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2">
      <c r="A309" s="1">
        <v>489488</v>
      </c>
      <c r="B309" s="1" t="s">
        <v>309</v>
      </c>
      <c r="C309" s="1" t="s">
        <v>310</v>
      </c>
      <c r="D309" s="1">
        <v>2</v>
      </c>
      <c r="E309" s="3">
        <v>40148.457638888889</v>
      </c>
      <c r="F309" s="1">
        <v>8.9499999999999993</v>
      </c>
      <c r="G309" s="1">
        <v>17238</v>
      </c>
      <c r="H309" s="1" t="s">
        <v>10</v>
      </c>
      <c r="I309" s="1">
        <f t="shared" si="1"/>
        <v>17.899999999999999</v>
      </c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2">
      <c r="A310" s="1">
        <v>489488</v>
      </c>
      <c r="B310" s="1">
        <v>90062</v>
      </c>
      <c r="C310" s="1" t="s">
        <v>311</v>
      </c>
      <c r="D310" s="1">
        <v>2</v>
      </c>
      <c r="E310" s="3">
        <v>40148.457638888889</v>
      </c>
      <c r="F310" s="1">
        <v>12.75</v>
      </c>
      <c r="G310" s="1">
        <v>17238</v>
      </c>
      <c r="H310" s="1" t="s">
        <v>10</v>
      </c>
      <c r="I310" s="1">
        <f t="shared" si="1"/>
        <v>25.5</v>
      </c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2">
      <c r="A311" s="1">
        <v>489488</v>
      </c>
      <c r="B311" s="1">
        <v>21930</v>
      </c>
      <c r="C311" s="1" t="s">
        <v>312</v>
      </c>
      <c r="D311" s="1">
        <v>2</v>
      </c>
      <c r="E311" s="3">
        <v>40148.457638888889</v>
      </c>
      <c r="F311" s="1">
        <v>1.95</v>
      </c>
      <c r="G311" s="1">
        <v>17238</v>
      </c>
      <c r="H311" s="1" t="s">
        <v>10</v>
      </c>
      <c r="I311" s="1">
        <f t="shared" si="1"/>
        <v>3.9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2">
      <c r="A312" s="1">
        <v>489488</v>
      </c>
      <c r="B312" s="1" t="s">
        <v>86</v>
      </c>
      <c r="C312" s="1" t="s">
        <v>87</v>
      </c>
      <c r="D312" s="1">
        <v>1</v>
      </c>
      <c r="E312" s="3">
        <v>40148.457638888889</v>
      </c>
      <c r="F312" s="1">
        <v>4.6500000000000004</v>
      </c>
      <c r="G312" s="1">
        <v>17238</v>
      </c>
      <c r="H312" s="1" t="s">
        <v>10</v>
      </c>
      <c r="I312" s="1">
        <f t="shared" si="1"/>
        <v>4.6500000000000004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2">
      <c r="A313" s="1">
        <v>489488</v>
      </c>
      <c r="B313" s="1" t="s">
        <v>72</v>
      </c>
      <c r="C313" s="1" t="s">
        <v>73</v>
      </c>
      <c r="D313" s="1">
        <v>1</v>
      </c>
      <c r="E313" s="3">
        <v>40148.457638888889</v>
      </c>
      <c r="F313" s="1">
        <v>2.95</v>
      </c>
      <c r="G313" s="1">
        <v>17238</v>
      </c>
      <c r="H313" s="1" t="s">
        <v>10</v>
      </c>
      <c r="I313" s="1">
        <f t="shared" si="1"/>
        <v>2.95</v>
      </c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2">
      <c r="A314" s="1">
        <v>489488</v>
      </c>
      <c r="B314" s="1" t="s">
        <v>88</v>
      </c>
      <c r="C314" s="1" t="s">
        <v>89</v>
      </c>
      <c r="D314" s="1">
        <v>1</v>
      </c>
      <c r="E314" s="3">
        <v>40148.457638888889</v>
      </c>
      <c r="F314" s="1">
        <v>2.95</v>
      </c>
      <c r="G314" s="1">
        <v>17238</v>
      </c>
      <c r="H314" s="1" t="s">
        <v>10</v>
      </c>
      <c r="I314" s="1">
        <f t="shared" si="1"/>
        <v>2.95</v>
      </c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">
      <c r="A315" s="1">
        <v>489488</v>
      </c>
      <c r="B315" s="1">
        <v>20967</v>
      </c>
      <c r="C315" s="1" t="s">
        <v>313</v>
      </c>
      <c r="D315" s="1">
        <v>1</v>
      </c>
      <c r="E315" s="3">
        <v>40148.457638888889</v>
      </c>
      <c r="F315" s="1">
        <v>3.75</v>
      </c>
      <c r="G315" s="1">
        <v>17238</v>
      </c>
      <c r="H315" s="1" t="s">
        <v>10</v>
      </c>
      <c r="I315" s="1">
        <f t="shared" si="1"/>
        <v>3.75</v>
      </c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">
      <c r="A316" s="1">
        <v>489488</v>
      </c>
      <c r="B316" s="1">
        <v>20971</v>
      </c>
      <c r="C316" s="1" t="s">
        <v>54</v>
      </c>
      <c r="D316" s="1">
        <v>1</v>
      </c>
      <c r="E316" s="3">
        <v>40148.457638888889</v>
      </c>
      <c r="F316" s="1">
        <v>1.25</v>
      </c>
      <c r="G316" s="1">
        <v>17238</v>
      </c>
      <c r="H316" s="1" t="s">
        <v>10</v>
      </c>
      <c r="I316" s="1">
        <f t="shared" si="1"/>
        <v>1.25</v>
      </c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">
      <c r="A317" s="1">
        <v>489488</v>
      </c>
      <c r="B317" s="1">
        <v>22125</v>
      </c>
      <c r="C317" s="1" t="s">
        <v>181</v>
      </c>
      <c r="D317" s="1">
        <v>1</v>
      </c>
      <c r="E317" s="3">
        <v>40148.457638888889</v>
      </c>
      <c r="F317" s="1">
        <v>5.95</v>
      </c>
      <c r="G317" s="1">
        <v>17238</v>
      </c>
      <c r="H317" s="1" t="s">
        <v>10</v>
      </c>
      <c r="I317" s="1">
        <f t="shared" si="1"/>
        <v>5.95</v>
      </c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">
      <c r="A318" s="1" t="s">
        <v>314</v>
      </c>
      <c r="B318" s="1">
        <v>21533</v>
      </c>
      <c r="C318" s="1" t="s">
        <v>315</v>
      </c>
      <c r="D318" s="1">
        <v>-1</v>
      </c>
      <c r="E318" s="3">
        <v>40148.461111111108</v>
      </c>
      <c r="F318" s="1">
        <v>4.95</v>
      </c>
      <c r="G318" s="1">
        <v>16011</v>
      </c>
      <c r="H318" s="1" t="s">
        <v>10</v>
      </c>
      <c r="I318" s="1">
        <f t="shared" si="1"/>
        <v>-4.95</v>
      </c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">
      <c r="A319" s="1" t="s">
        <v>314</v>
      </c>
      <c r="B319" s="1">
        <v>21540</v>
      </c>
      <c r="C319" s="1" t="s">
        <v>316</v>
      </c>
      <c r="D319" s="1">
        <v>-2</v>
      </c>
      <c r="E319" s="3">
        <v>40148.461111111108</v>
      </c>
      <c r="F319" s="1">
        <v>4.25</v>
      </c>
      <c r="G319" s="1">
        <v>16011</v>
      </c>
      <c r="H319" s="1" t="s">
        <v>10</v>
      </c>
      <c r="I319" s="1">
        <f t="shared" si="1"/>
        <v>-8.5</v>
      </c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">
      <c r="A320" s="1" t="s">
        <v>317</v>
      </c>
      <c r="B320" s="1">
        <v>85083</v>
      </c>
      <c r="C320" s="1" t="s">
        <v>318</v>
      </c>
      <c r="D320" s="1">
        <v>-6</v>
      </c>
      <c r="E320" s="3">
        <v>40148.465277777781</v>
      </c>
      <c r="F320" s="1">
        <v>2.5499999999999998</v>
      </c>
      <c r="G320" s="1">
        <v>13916</v>
      </c>
      <c r="H320" s="1" t="s">
        <v>10</v>
      </c>
      <c r="I320" s="1">
        <f t="shared" si="1"/>
        <v>-15.299999999999999</v>
      </c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2">
      <c r="A321" s="1">
        <v>489505</v>
      </c>
      <c r="B321" s="1" t="s">
        <v>178</v>
      </c>
      <c r="C321" s="1" t="s">
        <v>179</v>
      </c>
      <c r="D321" s="1">
        <v>10</v>
      </c>
      <c r="E321" s="3">
        <v>40148.470138888886</v>
      </c>
      <c r="F321" s="1">
        <v>1.95</v>
      </c>
      <c r="G321" s="1">
        <v>15712</v>
      </c>
      <c r="H321" s="1" t="s">
        <v>10</v>
      </c>
      <c r="I321" s="1">
        <f t="shared" si="1"/>
        <v>19.5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2">
      <c r="A322" s="1">
        <v>489505</v>
      </c>
      <c r="B322" s="1">
        <v>48185</v>
      </c>
      <c r="C322" s="1" t="s">
        <v>281</v>
      </c>
      <c r="D322" s="1">
        <v>10</v>
      </c>
      <c r="E322" s="3">
        <v>40148.470138888886</v>
      </c>
      <c r="F322" s="1">
        <v>5.95</v>
      </c>
      <c r="G322" s="1">
        <v>15712</v>
      </c>
      <c r="H322" s="1" t="s">
        <v>10</v>
      </c>
      <c r="I322" s="1">
        <f t="shared" si="1"/>
        <v>59.5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2">
      <c r="A323" s="1">
        <v>489505</v>
      </c>
      <c r="B323" s="1">
        <v>21929</v>
      </c>
      <c r="C323" s="1" t="s">
        <v>168</v>
      </c>
      <c r="D323" s="1">
        <v>10</v>
      </c>
      <c r="E323" s="3">
        <v>40148.470138888886</v>
      </c>
      <c r="F323" s="1">
        <v>1.95</v>
      </c>
      <c r="G323" s="1">
        <v>15712</v>
      </c>
      <c r="H323" s="1" t="s">
        <v>10</v>
      </c>
      <c r="I323" s="1">
        <f t="shared" si="1"/>
        <v>19.5</v>
      </c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">
      <c r="A324" s="1">
        <v>489505</v>
      </c>
      <c r="B324" s="1">
        <v>21472</v>
      </c>
      <c r="C324" s="1" t="s">
        <v>319</v>
      </c>
      <c r="D324" s="1">
        <v>6</v>
      </c>
      <c r="E324" s="3">
        <v>40148.470138888886</v>
      </c>
      <c r="F324" s="1">
        <v>3.75</v>
      </c>
      <c r="G324" s="1">
        <v>15712</v>
      </c>
      <c r="H324" s="1" t="s">
        <v>10</v>
      </c>
      <c r="I324" s="1">
        <f t="shared" si="1"/>
        <v>22.5</v>
      </c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2">
      <c r="A325" s="1">
        <v>489505</v>
      </c>
      <c r="B325" s="1">
        <v>22139</v>
      </c>
      <c r="C325" s="1" t="s">
        <v>110</v>
      </c>
      <c r="D325" s="1">
        <v>6</v>
      </c>
      <c r="E325" s="3">
        <v>40148.470138888886</v>
      </c>
      <c r="F325" s="1">
        <v>4.95</v>
      </c>
      <c r="G325" s="1">
        <v>15712</v>
      </c>
      <c r="H325" s="1" t="s">
        <v>10</v>
      </c>
      <c r="I325" s="1">
        <f t="shared" si="1"/>
        <v>29.700000000000003</v>
      </c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">
      <c r="A326" s="1">
        <v>489505</v>
      </c>
      <c r="B326" s="1">
        <v>22086</v>
      </c>
      <c r="C326" s="1" t="s">
        <v>183</v>
      </c>
      <c r="D326" s="1">
        <v>6</v>
      </c>
      <c r="E326" s="3">
        <v>40148.470138888886</v>
      </c>
      <c r="F326" s="1">
        <v>2.95</v>
      </c>
      <c r="G326" s="1">
        <v>15712</v>
      </c>
      <c r="H326" s="1" t="s">
        <v>10</v>
      </c>
      <c r="I326" s="1">
        <f t="shared" si="1"/>
        <v>17.700000000000003</v>
      </c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">
      <c r="A327" s="1">
        <v>489505</v>
      </c>
      <c r="B327" s="1" t="s">
        <v>320</v>
      </c>
      <c r="C327" s="1" t="s">
        <v>321</v>
      </c>
      <c r="D327" s="1">
        <v>5</v>
      </c>
      <c r="E327" s="3">
        <v>40148.470138888886</v>
      </c>
      <c r="F327" s="1">
        <v>4.6500000000000004</v>
      </c>
      <c r="G327" s="1">
        <v>15712</v>
      </c>
      <c r="H327" s="1" t="s">
        <v>10</v>
      </c>
      <c r="I327" s="1">
        <f t="shared" si="1"/>
        <v>23.25</v>
      </c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">
      <c r="A328" s="1">
        <v>489505</v>
      </c>
      <c r="B328" s="1">
        <v>22275</v>
      </c>
      <c r="C328" s="1" t="s">
        <v>322</v>
      </c>
      <c r="D328" s="1">
        <v>4</v>
      </c>
      <c r="E328" s="3">
        <v>40148.470138888886</v>
      </c>
      <c r="F328" s="1">
        <v>8.5</v>
      </c>
      <c r="G328" s="1">
        <v>15712</v>
      </c>
      <c r="H328" s="1" t="s">
        <v>10</v>
      </c>
      <c r="I328" s="1">
        <f t="shared" si="1"/>
        <v>34</v>
      </c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">
      <c r="A329" s="1">
        <v>489505</v>
      </c>
      <c r="B329" s="1">
        <v>21479</v>
      </c>
      <c r="C329" s="1" t="s">
        <v>323</v>
      </c>
      <c r="D329" s="1">
        <v>4</v>
      </c>
      <c r="E329" s="3">
        <v>40148.470138888886</v>
      </c>
      <c r="F329" s="1">
        <v>3.75</v>
      </c>
      <c r="G329" s="1">
        <v>15712</v>
      </c>
      <c r="H329" s="1" t="s">
        <v>10</v>
      </c>
      <c r="I329" s="1">
        <f t="shared" si="1"/>
        <v>15</v>
      </c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">
      <c r="A330" s="1">
        <v>489505</v>
      </c>
      <c r="B330" s="1">
        <v>22138</v>
      </c>
      <c r="C330" s="1" t="s">
        <v>109</v>
      </c>
      <c r="D330" s="1">
        <v>3</v>
      </c>
      <c r="E330" s="3">
        <v>40148.470138888886</v>
      </c>
      <c r="F330" s="1">
        <v>4.95</v>
      </c>
      <c r="G330" s="1">
        <v>15712</v>
      </c>
      <c r="H330" s="1" t="s">
        <v>10</v>
      </c>
      <c r="I330" s="1">
        <f t="shared" si="1"/>
        <v>14.850000000000001</v>
      </c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">
      <c r="A331" s="1">
        <v>489514</v>
      </c>
      <c r="B331" s="1">
        <v>21791</v>
      </c>
      <c r="C331" s="1" t="s">
        <v>324</v>
      </c>
      <c r="D331" s="1">
        <v>72</v>
      </c>
      <c r="E331" s="3">
        <v>40148.472916666666</v>
      </c>
      <c r="F331" s="1">
        <v>1.06</v>
      </c>
      <c r="G331" s="1">
        <v>15311</v>
      </c>
      <c r="H331" s="1" t="s">
        <v>10</v>
      </c>
      <c r="I331" s="1">
        <f t="shared" si="1"/>
        <v>76.320000000000007</v>
      </c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2">
      <c r="A332" s="1">
        <v>489514</v>
      </c>
      <c r="B332" s="1" t="s">
        <v>325</v>
      </c>
      <c r="C332" s="1" t="s">
        <v>326</v>
      </c>
      <c r="D332" s="1">
        <v>50</v>
      </c>
      <c r="E332" s="3">
        <v>40148.472916666666</v>
      </c>
      <c r="F332" s="1">
        <v>1.65</v>
      </c>
      <c r="G332" s="1">
        <v>15311</v>
      </c>
      <c r="H332" s="1" t="s">
        <v>10</v>
      </c>
      <c r="I332" s="1">
        <f t="shared" si="1"/>
        <v>82.5</v>
      </c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">
      <c r="A333" s="1">
        <v>489514</v>
      </c>
      <c r="B333" s="1" t="s">
        <v>72</v>
      </c>
      <c r="C333" s="1" t="s">
        <v>73</v>
      </c>
      <c r="D333" s="1">
        <v>36</v>
      </c>
      <c r="E333" s="3">
        <v>40148.472916666666</v>
      </c>
      <c r="F333" s="1">
        <v>2.5499999999999998</v>
      </c>
      <c r="G333" s="1">
        <v>15311</v>
      </c>
      <c r="H333" s="1" t="s">
        <v>10</v>
      </c>
      <c r="I333" s="1">
        <f t="shared" si="1"/>
        <v>91.8</v>
      </c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">
      <c r="A334" s="1">
        <v>489514</v>
      </c>
      <c r="B334" s="1">
        <v>37446</v>
      </c>
      <c r="C334" s="1" t="s">
        <v>327</v>
      </c>
      <c r="D334" s="1">
        <v>32</v>
      </c>
      <c r="E334" s="3">
        <v>40148.472916666666</v>
      </c>
      <c r="F334" s="1">
        <v>1.25</v>
      </c>
      <c r="G334" s="1">
        <v>15311</v>
      </c>
      <c r="H334" s="1" t="s">
        <v>10</v>
      </c>
      <c r="I334" s="1">
        <f t="shared" si="1"/>
        <v>40</v>
      </c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">
      <c r="A335" s="1">
        <v>489514</v>
      </c>
      <c r="B335" s="1">
        <v>85042</v>
      </c>
      <c r="C335" s="1" t="s">
        <v>270</v>
      </c>
      <c r="D335" s="1">
        <v>24</v>
      </c>
      <c r="E335" s="3">
        <v>40148.472916666666</v>
      </c>
      <c r="F335" s="1">
        <v>4.25</v>
      </c>
      <c r="G335" s="1">
        <v>15311</v>
      </c>
      <c r="H335" s="1" t="s">
        <v>10</v>
      </c>
      <c r="I335" s="1">
        <f t="shared" si="1"/>
        <v>102</v>
      </c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">
      <c r="A336" s="1">
        <v>489514</v>
      </c>
      <c r="B336" s="1">
        <v>71477</v>
      </c>
      <c r="C336" s="1" t="s">
        <v>328</v>
      </c>
      <c r="D336" s="1">
        <v>24</v>
      </c>
      <c r="E336" s="3">
        <v>40148.472916666666</v>
      </c>
      <c r="F336" s="1">
        <v>2.75</v>
      </c>
      <c r="G336" s="1">
        <v>15311</v>
      </c>
      <c r="H336" s="1" t="s">
        <v>10</v>
      </c>
      <c r="I336" s="1">
        <f t="shared" si="1"/>
        <v>66</v>
      </c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">
      <c r="A337" s="1">
        <v>489514</v>
      </c>
      <c r="B337" s="1">
        <v>21955</v>
      </c>
      <c r="C337" s="1" t="s">
        <v>146</v>
      </c>
      <c r="D337" s="1">
        <v>10</v>
      </c>
      <c r="E337" s="3">
        <v>40148.472916666666</v>
      </c>
      <c r="F337" s="1">
        <v>5.95</v>
      </c>
      <c r="G337" s="1">
        <v>15311</v>
      </c>
      <c r="H337" s="1" t="s">
        <v>10</v>
      </c>
      <c r="I337" s="1">
        <f t="shared" si="1"/>
        <v>59.5</v>
      </c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">
      <c r="A338" s="1">
        <v>489514</v>
      </c>
      <c r="B338" s="1">
        <v>37449</v>
      </c>
      <c r="C338" s="1" t="s">
        <v>329</v>
      </c>
      <c r="D338" s="1">
        <v>8</v>
      </c>
      <c r="E338" s="3">
        <v>40148.472916666666</v>
      </c>
      <c r="F338" s="1">
        <v>8.5</v>
      </c>
      <c r="G338" s="1">
        <v>15311</v>
      </c>
      <c r="H338" s="1" t="s">
        <v>10</v>
      </c>
      <c r="I338" s="1">
        <f t="shared" si="1"/>
        <v>68</v>
      </c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">
      <c r="A339" s="1">
        <v>489514</v>
      </c>
      <c r="B339" s="1">
        <v>21258</v>
      </c>
      <c r="C339" s="1" t="s">
        <v>330</v>
      </c>
      <c r="D339" s="1">
        <v>8</v>
      </c>
      <c r="E339" s="3">
        <v>40148.472916666666</v>
      </c>
      <c r="F339" s="1">
        <v>10.95</v>
      </c>
      <c r="G339" s="1">
        <v>15311</v>
      </c>
      <c r="H339" s="1" t="s">
        <v>10</v>
      </c>
      <c r="I339" s="1">
        <f t="shared" si="1"/>
        <v>87.6</v>
      </c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">
      <c r="A340" s="1">
        <v>489514</v>
      </c>
      <c r="B340" s="1">
        <v>20892</v>
      </c>
      <c r="C340" s="1" t="s">
        <v>331</v>
      </c>
      <c r="D340" s="1">
        <v>8</v>
      </c>
      <c r="E340" s="3">
        <v>40148.472916666666</v>
      </c>
      <c r="F340" s="1">
        <v>3.95</v>
      </c>
      <c r="G340" s="1">
        <v>15311</v>
      </c>
      <c r="H340" s="1" t="s">
        <v>10</v>
      </c>
      <c r="I340" s="1">
        <f t="shared" si="1"/>
        <v>31.6</v>
      </c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">
      <c r="A341" s="1">
        <v>489514</v>
      </c>
      <c r="B341" s="1">
        <v>21041</v>
      </c>
      <c r="C341" s="1" t="s">
        <v>153</v>
      </c>
      <c r="D341" s="1">
        <v>5</v>
      </c>
      <c r="E341" s="3">
        <v>40148.472916666666</v>
      </c>
      <c r="F341" s="1">
        <v>2.95</v>
      </c>
      <c r="G341" s="1">
        <v>15311</v>
      </c>
      <c r="H341" s="1" t="s">
        <v>10</v>
      </c>
      <c r="I341" s="1">
        <f t="shared" si="1"/>
        <v>14.75</v>
      </c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2">
      <c r="A342" s="1">
        <v>489514</v>
      </c>
      <c r="B342" s="1">
        <v>21864</v>
      </c>
      <c r="C342" s="1" t="s">
        <v>332</v>
      </c>
      <c r="D342" s="1">
        <v>5</v>
      </c>
      <c r="E342" s="3">
        <v>40148.472916666666</v>
      </c>
      <c r="F342" s="1">
        <v>2.1</v>
      </c>
      <c r="G342" s="1">
        <v>15311</v>
      </c>
      <c r="H342" s="1" t="s">
        <v>10</v>
      </c>
      <c r="I342" s="1">
        <f t="shared" si="1"/>
        <v>10.5</v>
      </c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">
      <c r="A343" s="1">
        <v>489514</v>
      </c>
      <c r="B343" s="1">
        <v>21161</v>
      </c>
      <c r="C343" s="1" t="s">
        <v>254</v>
      </c>
      <c r="D343" s="1">
        <v>3</v>
      </c>
      <c r="E343" s="3">
        <v>40148.472916666666</v>
      </c>
      <c r="F343" s="1">
        <v>1.45</v>
      </c>
      <c r="G343" s="1">
        <v>15311</v>
      </c>
      <c r="H343" s="1" t="s">
        <v>10</v>
      </c>
      <c r="I343" s="1">
        <f t="shared" si="1"/>
        <v>4.3499999999999996</v>
      </c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">
      <c r="A344" s="1">
        <v>489514</v>
      </c>
      <c r="B344" s="1">
        <v>21865</v>
      </c>
      <c r="C344" s="1" t="s">
        <v>333</v>
      </c>
      <c r="D344" s="1">
        <v>3</v>
      </c>
      <c r="E344" s="3">
        <v>40148.472916666666</v>
      </c>
      <c r="F344" s="1">
        <v>2.1</v>
      </c>
      <c r="G344" s="1">
        <v>15311</v>
      </c>
      <c r="H344" s="1" t="s">
        <v>10</v>
      </c>
      <c r="I344" s="1">
        <f t="shared" si="1"/>
        <v>6.3000000000000007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">
      <c r="A345" s="1">
        <v>489514</v>
      </c>
      <c r="B345" s="1">
        <v>20719</v>
      </c>
      <c r="C345" s="1" t="s">
        <v>334</v>
      </c>
      <c r="D345" s="1">
        <v>3</v>
      </c>
      <c r="E345" s="3">
        <v>40148.472916666666</v>
      </c>
      <c r="F345" s="1">
        <v>0.85</v>
      </c>
      <c r="G345" s="1">
        <v>15311</v>
      </c>
      <c r="H345" s="1" t="s">
        <v>10</v>
      </c>
      <c r="I345" s="1">
        <f t="shared" si="1"/>
        <v>2.5499999999999998</v>
      </c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">
      <c r="A346" s="1">
        <v>489514</v>
      </c>
      <c r="B346" s="1">
        <v>20754</v>
      </c>
      <c r="C346" s="1" t="s">
        <v>152</v>
      </c>
      <c r="D346" s="1">
        <v>3</v>
      </c>
      <c r="E346" s="3">
        <v>40148.472916666666</v>
      </c>
      <c r="F346" s="1">
        <v>2.1</v>
      </c>
      <c r="G346" s="1">
        <v>15311</v>
      </c>
      <c r="H346" s="1" t="s">
        <v>10</v>
      </c>
      <c r="I346" s="1">
        <f t="shared" si="1"/>
        <v>6.3000000000000007</v>
      </c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">
      <c r="A347" s="1">
        <v>489514</v>
      </c>
      <c r="B347" s="1" t="s">
        <v>335</v>
      </c>
      <c r="C347" s="1" t="s">
        <v>336</v>
      </c>
      <c r="D347" s="1">
        <v>3</v>
      </c>
      <c r="E347" s="3">
        <v>40148.472916666666</v>
      </c>
      <c r="F347" s="1">
        <v>3.75</v>
      </c>
      <c r="G347" s="1">
        <v>15311</v>
      </c>
      <c r="H347" s="1" t="s">
        <v>10</v>
      </c>
      <c r="I347" s="1">
        <f t="shared" si="1"/>
        <v>11.25</v>
      </c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">
      <c r="A348" s="1">
        <v>489514</v>
      </c>
      <c r="B348" s="1">
        <v>21245</v>
      </c>
      <c r="C348" s="1" t="s">
        <v>337</v>
      </c>
      <c r="D348" s="1">
        <v>3</v>
      </c>
      <c r="E348" s="3">
        <v>40148.472916666666</v>
      </c>
      <c r="F348" s="1">
        <v>1.69</v>
      </c>
      <c r="G348" s="1">
        <v>15311</v>
      </c>
      <c r="H348" s="1" t="s">
        <v>10</v>
      </c>
      <c r="I348" s="1">
        <f t="shared" si="1"/>
        <v>5.07</v>
      </c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">
      <c r="A349" s="1">
        <v>489514</v>
      </c>
      <c r="B349" s="1">
        <v>21241</v>
      </c>
      <c r="C349" s="1" t="s">
        <v>338</v>
      </c>
      <c r="D349" s="1">
        <v>3</v>
      </c>
      <c r="E349" s="3">
        <v>40148.472916666666</v>
      </c>
      <c r="F349" s="1">
        <v>0.85</v>
      </c>
      <c r="G349" s="1">
        <v>15311</v>
      </c>
      <c r="H349" s="1" t="s">
        <v>10</v>
      </c>
      <c r="I349" s="1">
        <f t="shared" si="1"/>
        <v>2.5499999999999998</v>
      </c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">
      <c r="A350" s="1">
        <v>489514</v>
      </c>
      <c r="B350" s="1">
        <v>82551</v>
      </c>
      <c r="C350" s="1" t="s">
        <v>339</v>
      </c>
      <c r="D350" s="1">
        <v>2</v>
      </c>
      <c r="E350" s="3">
        <v>40148.472916666666</v>
      </c>
      <c r="F350" s="1">
        <v>1.25</v>
      </c>
      <c r="G350" s="1">
        <v>15311</v>
      </c>
      <c r="H350" s="1" t="s">
        <v>10</v>
      </c>
      <c r="I350" s="1">
        <f t="shared" si="1"/>
        <v>2.5</v>
      </c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">
      <c r="A351" s="1">
        <v>489514</v>
      </c>
      <c r="B351" s="1" t="s">
        <v>340</v>
      </c>
      <c r="C351" s="1" t="s">
        <v>341</v>
      </c>
      <c r="D351" s="1">
        <v>2</v>
      </c>
      <c r="E351" s="3">
        <v>40148.472916666666</v>
      </c>
      <c r="F351" s="1">
        <v>1.25</v>
      </c>
      <c r="G351" s="1">
        <v>15311</v>
      </c>
      <c r="H351" s="1" t="s">
        <v>10</v>
      </c>
      <c r="I351" s="1">
        <f t="shared" si="1"/>
        <v>2.5</v>
      </c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2">
      <c r="A352" s="1">
        <v>489514</v>
      </c>
      <c r="B352" s="1">
        <v>21179</v>
      </c>
      <c r="C352" s="1" t="s">
        <v>342</v>
      </c>
      <c r="D352" s="1">
        <v>2</v>
      </c>
      <c r="E352" s="3">
        <v>40148.472916666666</v>
      </c>
      <c r="F352" s="1">
        <v>1.25</v>
      </c>
      <c r="G352" s="1">
        <v>15311</v>
      </c>
      <c r="H352" s="1" t="s">
        <v>10</v>
      </c>
      <c r="I352" s="1">
        <f t="shared" si="1"/>
        <v>2.5</v>
      </c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">
      <c r="A353" s="1">
        <v>489514</v>
      </c>
      <c r="B353" s="1">
        <v>72783</v>
      </c>
      <c r="C353" s="1" t="s">
        <v>343</v>
      </c>
      <c r="D353" s="1">
        <v>2</v>
      </c>
      <c r="E353" s="3">
        <v>40148.472916666666</v>
      </c>
      <c r="F353" s="1">
        <v>2.1</v>
      </c>
      <c r="G353" s="1">
        <v>15311</v>
      </c>
      <c r="H353" s="1" t="s">
        <v>10</v>
      </c>
      <c r="I353" s="1">
        <f t="shared" si="1"/>
        <v>4.2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">
      <c r="A354" s="1">
        <v>489514</v>
      </c>
      <c r="B354" s="1">
        <v>21869</v>
      </c>
      <c r="C354" s="1" t="s">
        <v>344</v>
      </c>
      <c r="D354" s="1">
        <v>2</v>
      </c>
      <c r="E354" s="3">
        <v>40148.472916666666</v>
      </c>
      <c r="F354" s="1">
        <v>1.25</v>
      </c>
      <c r="G354" s="1">
        <v>15311</v>
      </c>
      <c r="H354" s="1" t="s">
        <v>10</v>
      </c>
      <c r="I354" s="1">
        <f t="shared" si="1"/>
        <v>2.5</v>
      </c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">
      <c r="A355" s="1">
        <v>489514</v>
      </c>
      <c r="B355" s="1">
        <v>21876</v>
      </c>
      <c r="C355" s="1" t="s">
        <v>345</v>
      </c>
      <c r="D355" s="1">
        <v>2</v>
      </c>
      <c r="E355" s="3">
        <v>40148.472916666666</v>
      </c>
      <c r="F355" s="1">
        <v>1.25</v>
      </c>
      <c r="G355" s="1">
        <v>15311</v>
      </c>
      <c r="H355" s="1" t="s">
        <v>10</v>
      </c>
      <c r="I355" s="1">
        <f t="shared" si="1"/>
        <v>2.5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">
      <c r="A356" s="1">
        <v>489514</v>
      </c>
      <c r="B356" s="1" t="s">
        <v>346</v>
      </c>
      <c r="C356" s="1" t="s">
        <v>347</v>
      </c>
      <c r="D356" s="1">
        <v>2</v>
      </c>
      <c r="E356" s="3">
        <v>40148.472916666666</v>
      </c>
      <c r="F356" s="1">
        <v>1.69</v>
      </c>
      <c r="G356" s="1">
        <v>15311</v>
      </c>
      <c r="H356" s="1" t="s">
        <v>10</v>
      </c>
      <c r="I356" s="1">
        <f t="shared" si="1"/>
        <v>3.38</v>
      </c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">
      <c r="A357" s="1">
        <v>489514</v>
      </c>
      <c r="B357" s="1">
        <v>21470</v>
      </c>
      <c r="C357" s="1" t="s">
        <v>348</v>
      </c>
      <c r="D357" s="1">
        <v>2</v>
      </c>
      <c r="E357" s="3">
        <v>40148.472916666666</v>
      </c>
      <c r="F357" s="1">
        <v>3.75</v>
      </c>
      <c r="G357" s="1">
        <v>15311</v>
      </c>
      <c r="H357" s="1" t="s">
        <v>10</v>
      </c>
      <c r="I357" s="1">
        <f t="shared" si="1"/>
        <v>7.5</v>
      </c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">
      <c r="A358" s="1">
        <v>489514</v>
      </c>
      <c r="B358" s="1">
        <v>20897</v>
      </c>
      <c r="C358" s="1" t="s">
        <v>349</v>
      </c>
      <c r="D358" s="1">
        <v>2</v>
      </c>
      <c r="E358" s="3">
        <v>40148.472916666666</v>
      </c>
      <c r="F358" s="1">
        <v>2.95</v>
      </c>
      <c r="G358" s="1">
        <v>15311</v>
      </c>
      <c r="H358" s="1" t="s">
        <v>10</v>
      </c>
      <c r="I358" s="1">
        <f t="shared" si="1"/>
        <v>5.9</v>
      </c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">
      <c r="A359" s="1">
        <v>489514</v>
      </c>
      <c r="B359" s="1">
        <v>37485</v>
      </c>
      <c r="C359" s="1" t="s">
        <v>350</v>
      </c>
      <c r="D359" s="1">
        <v>2</v>
      </c>
      <c r="E359" s="3">
        <v>40148.472916666666</v>
      </c>
      <c r="F359" s="1">
        <v>4.6500000000000004</v>
      </c>
      <c r="G359" s="1">
        <v>15311</v>
      </c>
      <c r="H359" s="1" t="s">
        <v>10</v>
      </c>
      <c r="I359" s="1">
        <f t="shared" si="1"/>
        <v>9.3000000000000007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">
      <c r="A360" s="1">
        <v>489514</v>
      </c>
      <c r="B360" s="1">
        <v>21867</v>
      </c>
      <c r="C360" s="1" t="s">
        <v>351</v>
      </c>
      <c r="D360" s="1">
        <v>1</v>
      </c>
      <c r="E360" s="3">
        <v>40148.472916666666</v>
      </c>
      <c r="F360" s="1">
        <v>1.25</v>
      </c>
      <c r="G360" s="1">
        <v>15311</v>
      </c>
      <c r="H360" s="1" t="s">
        <v>10</v>
      </c>
      <c r="I360" s="1">
        <f t="shared" si="1"/>
        <v>1.25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">
      <c r="A361" s="1">
        <v>489514</v>
      </c>
      <c r="B361" s="1">
        <v>82567</v>
      </c>
      <c r="C361" s="1" t="s">
        <v>352</v>
      </c>
      <c r="D361" s="1">
        <v>1</v>
      </c>
      <c r="E361" s="3">
        <v>40148.472916666666</v>
      </c>
      <c r="F361" s="1">
        <v>2.1</v>
      </c>
      <c r="G361" s="1">
        <v>15311</v>
      </c>
      <c r="H361" s="1" t="s">
        <v>10</v>
      </c>
      <c r="I361" s="1">
        <f t="shared" si="1"/>
        <v>2.1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">
      <c r="A362" s="1">
        <v>489514</v>
      </c>
      <c r="B362" s="1">
        <v>44230</v>
      </c>
      <c r="C362" s="1" t="s">
        <v>353</v>
      </c>
      <c r="D362" s="1">
        <v>1</v>
      </c>
      <c r="E362" s="3">
        <v>40148.472916666666</v>
      </c>
      <c r="F362" s="1">
        <v>7.95</v>
      </c>
      <c r="G362" s="1">
        <v>15311</v>
      </c>
      <c r="H362" s="1" t="s">
        <v>10</v>
      </c>
      <c r="I362" s="1">
        <f t="shared" si="1"/>
        <v>7.95</v>
      </c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">
      <c r="A363" s="1">
        <v>489517</v>
      </c>
      <c r="B363" s="1">
        <v>21584</v>
      </c>
      <c r="C363" s="1" t="s">
        <v>354</v>
      </c>
      <c r="D363" s="1">
        <v>20</v>
      </c>
      <c r="E363" s="3">
        <v>40148.481944444444</v>
      </c>
      <c r="F363" s="1">
        <v>1.65</v>
      </c>
      <c r="G363" s="1">
        <v>16329</v>
      </c>
      <c r="H363" s="1" t="s">
        <v>10</v>
      </c>
      <c r="I363" s="1">
        <f t="shared" si="1"/>
        <v>33</v>
      </c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">
      <c r="A364" s="1">
        <v>489517</v>
      </c>
      <c r="B364" s="1">
        <v>22319</v>
      </c>
      <c r="C364" s="1" t="s">
        <v>355</v>
      </c>
      <c r="D364" s="1">
        <v>12</v>
      </c>
      <c r="E364" s="3">
        <v>40148.481944444444</v>
      </c>
      <c r="F364" s="1">
        <v>0.65</v>
      </c>
      <c r="G364" s="1">
        <v>16329</v>
      </c>
      <c r="H364" s="1" t="s">
        <v>10</v>
      </c>
      <c r="I364" s="1">
        <f t="shared" si="1"/>
        <v>7.8000000000000007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">
      <c r="A365" s="1">
        <v>489517</v>
      </c>
      <c r="B365" s="1" t="s">
        <v>356</v>
      </c>
      <c r="C365" s="1" t="s">
        <v>357</v>
      </c>
      <c r="D365" s="1">
        <v>12</v>
      </c>
      <c r="E365" s="3">
        <v>40148.481944444444</v>
      </c>
      <c r="F365" s="1">
        <v>3.75</v>
      </c>
      <c r="G365" s="1">
        <v>16329</v>
      </c>
      <c r="H365" s="1" t="s">
        <v>10</v>
      </c>
      <c r="I365" s="1">
        <f t="shared" si="1"/>
        <v>45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">
      <c r="A366" s="1">
        <v>489517</v>
      </c>
      <c r="B366" s="1" t="s">
        <v>335</v>
      </c>
      <c r="C366" s="1" t="s">
        <v>336</v>
      </c>
      <c r="D366" s="1">
        <v>12</v>
      </c>
      <c r="E366" s="3">
        <v>40148.481944444444</v>
      </c>
      <c r="F366" s="1">
        <v>3.75</v>
      </c>
      <c r="G366" s="1">
        <v>16329</v>
      </c>
      <c r="H366" s="1" t="s">
        <v>10</v>
      </c>
      <c r="I366" s="1">
        <f t="shared" si="1"/>
        <v>45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">
      <c r="A367" s="1">
        <v>489517</v>
      </c>
      <c r="B367" s="1">
        <v>22122</v>
      </c>
      <c r="C367" s="1" t="s">
        <v>358</v>
      </c>
      <c r="D367" s="1">
        <v>12</v>
      </c>
      <c r="E367" s="3">
        <v>40148.481944444444</v>
      </c>
      <c r="F367" s="1">
        <v>2.95</v>
      </c>
      <c r="G367" s="1">
        <v>16329</v>
      </c>
      <c r="H367" s="1" t="s">
        <v>10</v>
      </c>
      <c r="I367" s="1">
        <f t="shared" si="1"/>
        <v>35.400000000000006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">
      <c r="A368" s="1">
        <v>489517</v>
      </c>
      <c r="B368" s="1">
        <v>22319</v>
      </c>
      <c r="C368" s="1" t="s">
        <v>355</v>
      </c>
      <c r="D368" s="1">
        <v>12</v>
      </c>
      <c r="E368" s="3">
        <v>40148.481944444444</v>
      </c>
      <c r="F368" s="1">
        <v>0.65</v>
      </c>
      <c r="G368" s="1">
        <v>16329</v>
      </c>
      <c r="H368" s="1" t="s">
        <v>10</v>
      </c>
      <c r="I368" s="1">
        <f t="shared" si="1"/>
        <v>7.8000000000000007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">
      <c r="A369" s="1">
        <v>489517</v>
      </c>
      <c r="B369" s="1">
        <v>22130</v>
      </c>
      <c r="C369" s="1" t="s">
        <v>47</v>
      </c>
      <c r="D369" s="1">
        <v>6</v>
      </c>
      <c r="E369" s="3">
        <v>40148.481944444444</v>
      </c>
      <c r="F369" s="1">
        <v>0.85</v>
      </c>
      <c r="G369" s="1">
        <v>16329</v>
      </c>
      <c r="H369" s="1" t="s">
        <v>10</v>
      </c>
      <c r="I369" s="1">
        <f t="shared" si="1"/>
        <v>5.0999999999999996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">
      <c r="A370" s="1">
        <v>489517</v>
      </c>
      <c r="B370" s="1">
        <v>21791</v>
      </c>
      <c r="C370" s="1" t="s">
        <v>324</v>
      </c>
      <c r="D370" s="1">
        <v>6</v>
      </c>
      <c r="E370" s="3">
        <v>40148.481944444444</v>
      </c>
      <c r="F370" s="1">
        <v>1.25</v>
      </c>
      <c r="G370" s="1">
        <v>16329</v>
      </c>
      <c r="H370" s="1" t="s">
        <v>10</v>
      </c>
      <c r="I370" s="1">
        <f t="shared" si="1"/>
        <v>7.5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">
      <c r="A371" s="1">
        <v>489517</v>
      </c>
      <c r="B371" s="1">
        <v>22130</v>
      </c>
      <c r="C371" s="1" t="s">
        <v>47</v>
      </c>
      <c r="D371" s="1">
        <v>6</v>
      </c>
      <c r="E371" s="3">
        <v>40148.481944444444</v>
      </c>
      <c r="F371" s="1">
        <v>0.85</v>
      </c>
      <c r="G371" s="1">
        <v>16329</v>
      </c>
      <c r="H371" s="1" t="s">
        <v>10</v>
      </c>
      <c r="I371" s="1">
        <f t="shared" si="1"/>
        <v>5.0999999999999996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">
      <c r="A372" s="1">
        <v>489517</v>
      </c>
      <c r="B372" s="1">
        <v>21790</v>
      </c>
      <c r="C372" s="1" t="s">
        <v>139</v>
      </c>
      <c r="D372" s="1">
        <v>4</v>
      </c>
      <c r="E372" s="3">
        <v>40148.481944444444</v>
      </c>
      <c r="F372" s="1">
        <v>0.85</v>
      </c>
      <c r="G372" s="1">
        <v>16329</v>
      </c>
      <c r="H372" s="1" t="s">
        <v>10</v>
      </c>
      <c r="I372" s="1">
        <f t="shared" si="1"/>
        <v>3.4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">
      <c r="A373" s="1">
        <v>489517</v>
      </c>
      <c r="B373" s="1">
        <v>21244</v>
      </c>
      <c r="C373" s="1" t="s">
        <v>359</v>
      </c>
      <c r="D373" s="1">
        <v>4</v>
      </c>
      <c r="E373" s="3">
        <v>40148.481944444444</v>
      </c>
      <c r="F373" s="1">
        <v>1.69</v>
      </c>
      <c r="G373" s="1">
        <v>16329</v>
      </c>
      <c r="H373" s="1" t="s">
        <v>10</v>
      </c>
      <c r="I373" s="1">
        <f t="shared" si="1"/>
        <v>6.76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">
      <c r="A374" s="1">
        <v>489517</v>
      </c>
      <c r="B374" s="1">
        <v>20675</v>
      </c>
      <c r="C374" s="1" t="s">
        <v>360</v>
      </c>
      <c r="D374" s="1">
        <v>4</v>
      </c>
      <c r="E374" s="3">
        <v>40148.481944444444</v>
      </c>
      <c r="F374" s="1">
        <v>1.25</v>
      </c>
      <c r="G374" s="1">
        <v>16329</v>
      </c>
      <c r="H374" s="1" t="s">
        <v>10</v>
      </c>
      <c r="I374" s="1">
        <f t="shared" si="1"/>
        <v>5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">
      <c r="A375" s="1">
        <v>489517</v>
      </c>
      <c r="B375" s="1" t="s">
        <v>361</v>
      </c>
      <c r="C375" s="1" t="s">
        <v>362</v>
      </c>
      <c r="D375" s="1">
        <v>2</v>
      </c>
      <c r="E375" s="3">
        <v>40148.481944444444</v>
      </c>
      <c r="F375" s="1">
        <v>2.95</v>
      </c>
      <c r="G375" s="1">
        <v>16329</v>
      </c>
      <c r="H375" s="1" t="s">
        <v>10</v>
      </c>
      <c r="I375" s="1">
        <f t="shared" si="1"/>
        <v>5.9</v>
      </c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">
      <c r="A376" s="1">
        <v>489517</v>
      </c>
      <c r="B376" s="1">
        <v>21837</v>
      </c>
      <c r="C376" s="1" t="s">
        <v>363</v>
      </c>
      <c r="D376" s="1">
        <v>2</v>
      </c>
      <c r="E376" s="3">
        <v>40148.481944444444</v>
      </c>
      <c r="F376" s="1">
        <v>5.95</v>
      </c>
      <c r="G376" s="1">
        <v>16329</v>
      </c>
      <c r="H376" s="1" t="s">
        <v>10</v>
      </c>
      <c r="I376" s="1">
        <f t="shared" si="1"/>
        <v>11.9</v>
      </c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">
      <c r="A377" s="1">
        <v>489517</v>
      </c>
      <c r="B377" s="1">
        <v>21705</v>
      </c>
      <c r="C377" s="1" t="s">
        <v>364</v>
      </c>
      <c r="D377" s="1">
        <v>1</v>
      </c>
      <c r="E377" s="3">
        <v>40148.481944444444</v>
      </c>
      <c r="F377" s="1">
        <v>1.65</v>
      </c>
      <c r="G377" s="1">
        <v>16329</v>
      </c>
      <c r="H377" s="1" t="s">
        <v>10</v>
      </c>
      <c r="I377" s="1">
        <f t="shared" si="1"/>
        <v>1.65</v>
      </c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">
      <c r="A378" s="1">
        <v>489517</v>
      </c>
      <c r="B378" s="1">
        <v>21913</v>
      </c>
      <c r="C378" s="1" t="s">
        <v>365</v>
      </c>
      <c r="D378" s="1">
        <v>1</v>
      </c>
      <c r="E378" s="3">
        <v>40148.481944444444</v>
      </c>
      <c r="F378" s="1">
        <v>3.75</v>
      </c>
      <c r="G378" s="1">
        <v>16329</v>
      </c>
      <c r="H378" s="1" t="s">
        <v>10</v>
      </c>
      <c r="I378" s="1">
        <f t="shared" si="1"/>
        <v>3.75</v>
      </c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">
      <c r="A379" s="1">
        <v>489517</v>
      </c>
      <c r="B379" s="1">
        <v>21912</v>
      </c>
      <c r="C379" s="1" t="s">
        <v>62</v>
      </c>
      <c r="D379" s="1">
        <v>1</v>
      </c>
      <c r="E379" s="3">
        <v>40148.481944444444</v>
      </c>
      <c r="F379" s="1">
        <v>3.75</v>
      </c>
      <c r="G379" s="1">
        <v>16329</v>
      </c>
      <c r="H379" s="1" t="s">
        <v>10</v>
      </c>
      <c r="I379" s="1">
        <f t="shared" si="1"/>
        <v>3.75</v>
      </c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">
      <c r="A380" s="1">
        <v>489517</v>
      </c>
      <c r="B380" s="1">
        <v>21821</v>
      </c>
      <c r="C380" s="1" t="s">
        <v>366</v>
      </c>
      <c r="D380" s="1">
        <v>1</v>
      </c>
      <c r="E380" s="3">
        <v>40148.481944444444</v>
      </c>
      <c r="F380" s="1">
        <v>3.75</v>
      </c>
      <c r="G380" s="1">
        <v>16329</v>
      </c>
      <c r="H380" s="1" t="s">
        <v>10</v>
      </c>
      <c r="I380" s="1">
        <f t="shared" si="1"/>
        <v>3.75</v>
      </c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">
      <c r="A381" s="1">
        <v>489517</v>
      </c>
      <c r="B381" s="1" t="s">
        <v>142</v>
      </c>
      <c r="C381" s="1" t="s">
        <v>143</v>
      </c>
      <c r="D381" s="1">
        <v>1</v>
      </c>
      <c r="E381" s="3">
        <v>40148.481944444444</v>
      </c>
      <c r="F381" s="1">
        <v>2.95</v>
      </c>
      <c r="G381" s="1">
        <v>16329</v>
      </c>
      <c r="H381" s="1" t="s">
        <v>10</v>
      </c>
      <c r="I381" s="1">
        <f t="shared" si="1"/>
        <v>2.95</v>
      </c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2">
      <c r="A382" s="1">
        <v>489517</v>
      </c>
      <c r="B382" s="1">
        <v>20972</v>
      </c>
      <c r="C382" s="1" t="s">
        <v>297</v>
      </c>
      <c r="D382" s="1">
        <v>1</v>
      </c>
      <c r="E382" s="3">
        <v>40148.481944444444</v>
      </c>
      <c r="F382" s="1">
        <v>1.25</v>
      </c>
      <c r="G382" s="1">
        <v>16329</v>
      </c>
      <c r="H382" s="1" t="s">
        <v>10</v>
      </c>
      <c r="I382" s="1">
        <f t="shared" si="1"/>
        <v>1.25</v>
      </c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">
      <c r="A383" s="1">
        <v>489517</v>
      </c>
      <c r="B383" s="1">
        <v>21912</v>
      </c>
      <c r="C383" s="1" t="s">
        <v>62</v>
      </c>
      <c r="D383" s="1">
        <v>1</v>
      </c>
      <c r="E383" s="3">
        <v>40148.481944444444</v>
      </c>
      <c r="F383" s="1">
        <v>3.75</v>
      </c>
      <c r="G383" s="1">
        <v>16329</v>
      </c>
      <c r="H383" s="1" t="s">
        <v>10</v>
      </c>
      <c r="I383" s="1">
        <f t="shared" si="1"/>
        <v>3.75</v>
      </c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">
      <c r="A384" s="1">
        <v>489517</v>
      </c>
      <c r="B384" s="1">
        <v>21931</v>
      </c>
      <c r="C384" s="1" t="s">
        <v>367</v>
      </c>
      <c r="D384" s="1">
        <v>1</v>
      </c>
      <c r="E384" s="3">
        <v>40148.481944444444</v>
      </c>
      <c r="F384" s="1">
        <v>1.95</v>
      </c>
      <c r="G384" s="1">
        <v>16329</v>
      </c>
      <c r="H384" s="1" t="s">
        <v>10</v>
      </c>
      <c r="I384" s="1">
        <f t="shared" si="1"/>
        <v>1.95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">
      <c r="A385" s="1">
        <v>489517</v>
      </c>
      <c r="B385" s="1">
        <v>20711</v>
      </c>
      <c r="C385" s="1" t="s">
        <v>71</v>
      </c>
      <c r="D385" s="1">
        <v>1</v>
      </c>
      <c r="E385" s="3">
        <v>40148.481944444444</v>
      </c>
      <c r="F385" s="1">
        <v>1.95</v>
      </c>
      <c r="G385" s="1">
        <v>16329</v>
      </c>
      <c r="H385" s="1" t="s">
        <v>10</v>
      </c>
      <c r="I385" s="1">
        <f t="shared" si="1"/>
        <v>1.95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">
      <c r="A386" s="1">
        <v>489517</v>
      </c>
      <c r="B386" s="1" t="s">
        <v>368</v>
      </c>
      <c r="C386" s="1" t="s">
        <v>369</v>
      </c>
      <c r="D386" s="1">
        <v>1</v>
      </c>
      <c r="E386" s="3">
        <v>40148.481944444444</v>
      </c>
      <c r="F386" s="1">
        <v>1.65</v>
      </c>
      <c r="G386" s="1">
        <v>16329</v>
      </c>
      <c r="H386" s="1" t="s">
        <v>10</v>
      </c>
      <c r="I386" s="1">
        <f t="shared" si="1"/>
        <v>1.65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">
      <c r="A387" s="1">
        <v>489517</v>
      </c>
      <c r="B387" s="1">
        <v>21491</v>
      </c>
      <c r="C387" s="1" t="s">
        <v>112</v>
      </c>
      <c r="D387" s="1">
        <v>1</v>
      </c>
      <c r="E387" s="3">
        <v>40148.481944444444</v>
      </c>
      <c r="F387" s="1">
        <v>1.95</v>
      </c>
      <c r="G387" s="1">
        <v>16329</v>
      </c>
      <c r="H387" s="1" t="s">
        <v>10</v>
      </c>
      <c r="I387" s="1">
        <f t="shared" si="1"/>
        <v>1.95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">
      <c r="A388" s="1">
        <v>489517</v>
      </c>
      <c r="B388" s="1">
        <v>20971</v>
      </c>
      <c r="C388" s="1" t="s">
        <v>54</v>
      </c>
      <c r="D388" s="1">
        <v>1</v>
      </c>
      <c r="E388" s="3">
        <v>40148.481944444444</v>
      </c>
      <c r="F388" s="1">
        <v>1.25</v>
      </c>
      <c r="G388" s="1">
        <v>16329</v>
      </c>
      <c r="H388" s="1" t="s">
        <v>10</v>
      </c>
      <c r="I388" s="1">
        <f t="shared" si="1"/>
        <v>1.25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">
      <c r="A389" s="1">
        <v>489517</v>
      </c>
      <c r="B389" s="1">
        <v>21252</v>
      </c>
      <c r="C389" s="1" t="s">
        <v>94</v>
      </c>
      <c r="D389" s="1">
        <v>1</v>
      </c>
      <c r="E389" s="3">
        <v>40148.481944444444</v>
      </c>
      <c r="F389" s="1">
        <v>2.95</v>
      </c>
      <c r="G389" s="1">
        <v>16329</v>
      </c>
      <c r="H389" s="1" t="s">
        <v>10</v>
      </c>
      <c r="I389" s="1">
        <f t="shared" si="1"/>
        <v>2.95</v>
      </c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">
      <c r="A390" s="1">
        <v>489517</v>
      </c>
      <c r="B390" s="1">
        <v>21913</v>
      </c>
      <c r="C390" s="1" t="s">
        <v>365</v>
      </c>
      <c r="D390" s="1">
        <v>1</v>
      </c>
      <c r="E390" s="3">
        <v>40148.481944444444</v>
      </c>
      <c r="F390" s="1">
        <v>3.75</v>
      </c>
      <c r="G390" s="1">
        <v>16329</v>
      </c>
      <c r="H390" s="1" t="s">
        <v>10</v>
      </c>
      <c r="I390" s="1">
        <f t="shared" si="1"/>
        <v>3.75</v>
      </c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">
      <c r="A391" s="1">
        <v>489517</v>
      </c>
      <c r="B391" s="1">
        <v>21821</v>
      </c>
      <c r="C391" s="1" t="s">
        <v>366</v>
      </c>
      <c r="D391" s="1">
        <v>1</v>
      </c>
      <c r="E391" s="3">
        <v>40148.481944444444</v>
      </c>
      <c r="F391" s="1">
        <v>3.75</v>
      </c>
      <c r="G391" s="1">
        <v>16329</v>
      </c>
      <c r="H391" s="1" t="s">
        <v>10</v>
      </c>
      <c r="I391" s="1">
        <f t="shared" si="1"/>
        <v>3.75</v>
      </c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2">
      <c r="A392" s="1">
        <v>489517</v>
      </c>
      <c r="B392" s="1" t="s">
        <v>370</v>
      </c>
      <c r="C392" s="1" t="s">
        <v>371</v>
      </c>
      <c r="D392" s="1">
        <v>1</v>
      </c>
      <c r="E392" s="3">
        <v>40148.481944444444</v>
      </c>
      <c r="F392" s="1">
        <v>2.5499999999999998</v>
      </c>
      <c r="G392" s="1">
        <v>16329</v>
      </c>
      <c r="H392" s="1" t="s">
        <v>10</v>
      </c>
      <c r="I392" s="1">
        <f t="shared" si="1"/>
        <v>2.5499999999999998</v>
      </c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">
      <c r="A393" s="1">
        <v>489517</v>
      </c>
      <c r="B393" s="1">
        <v>22335</v>
      </c>
      <c r="C393" s="1" t="s">
        <v>372</v>
      </c>
      <c r="D393" s="1">
        <v>1</v>
      </c>
      <c r="E393" s="3">
        <v>40148.481944444444</v>
      </c>
      <c r="F393" s="1">
        <v>0.65</v>
      </c>
      <c r="G393" s="1">
        <v>16329</v>
      </c>
      <c r="H393" s="1" t="s">
        <v>10</v>
      </c>
      <c r="I393" s="1">
        <f t="shared" si="1"/>
        <v>0.65</v>
      </c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">
      <c r="A394" s="1">
        <v>489517</v>
      </c>
      <c r="B394" s="1" t="s">
        <v>370</v>
      </c>
      <c r="C394" s="1" t="s">
        <v>371</v>
      </c>
      <c r="D394" s="1">
        <v>1</v>
      </c>
      <c r="E394" s="3">
        <v>40148.481944444444</v>
      </c>
      <c r="F394" s="1">
        <v>2.5499999999999998</v>
      </c>
      <c r="G394" s="1">
        <v>16329</v>
      </c>
      <c r="H394" s="1" t="s">
        <v>10</v>
      </c>
      <c r="I394" s="1">
        <f t="shared" si="1"/>
        <v>2.5499999999999998</v>
      </c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">
      <c r="A395" s="1">
        <v>489517</v>
      </c>
      <c r="B395" s="1">
        <v>21491</v>
      </c>
      <c r="C395" s="1" t="s">
        <v>112</v>
      </c>
      <c r="D395" s="1">
        <v>1</v>
      </c>
      <c r="E395" s="3">
        <v>40148.481944444444</v>
      </c>
      <c r="F395" s="1">
        <v>1.95</v>
      </c>
      <c r="G395" s="1">
        <v>16329</v>
      </c>
      <c r="H395" s="1" t="s">
        <v>10</v>
      </c>
      <c r="I395" s="1">
        <f t="shared" si="1"/>
        <v>1.95</v>
      </c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">
      <c r="A396" s="1">
        <v>489517</v>
      </c>
      <c r="B396" s="1">
        <v>21791</v>
      </c>
      <c r="C396" s="1" t="s">
        <v>324</v>
      </c>
      <c r="D396" s="1">
        <v>1</v>
      </c>
      <c r="E396" s="3">
        <v>40148.481944444444</v>
      </c>
      <c r="F396" s="1">
        <v>1.25</v>
      </c>
      <c r="G396" s="1">
        <v>16329</v>
      </c>
      <c r="H396" s="1" t="s">
        <v>10</v>
      </c>
      <c r="I396" s="1">
        <f t="shared" si="1"/>
        <v>1.25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">
      <c r="A397" s="1">
        <v>489517</v>
      </c>
      <c r="B397" s="1">
        <v>21790</v>
      </c>
      <c r="C397" s="1" t="s">
        <v>139</v>
      </c>
      <c r="D397" s="1">
        <v>1</v>
      </c>
      <c r="E397" s="3">
        <v>40148.481944444444</v>
      </c>
      <c r="F397" s="1">
        <v>0.85</v>
      </c>
      <c r="G397" s="1">
        <v>16329</v>
      </c>
      <c r="H397" s="1" t="s">
        <v>10</v>
      </c>
      <c r="I397" s="1">
        <f t="shared" si="1"/>
        <v>0.85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">
      <c r="A398" s="1">
        <v>489517</v>
      </c>
      <c r="B398" s="1">
        <v>21912</v>
      </c>
      <c r="C398" s="1" t="s">
        <v>62</v>
      </c>
      <c r="D398" s="1">
        <v>1</v>
      </c>
      <c r="E398" s="3">
        <v>40148.481944444444</v>
      </c>
      <c r="F398" s="1">
        <v>3.75</v>
      </c>
      <c r="G398" s="1">
        <v>16329</v>
      </c>
      <c r="H398" s="1" t="s">
        <v>10</v>
      </c>
      <c r="I398" s="1">
        <f t="shared" si="1"/>
        <v>3.75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">
      <c r="A399" s="1">
        <v>489517</v>
      </c>
      <c r="B399" s="1" t="s">
        <v>373</v>
      </c>
      <c r="C399" s="1" t="s">
        <v>374</v>
      </c>
      <c r="D399" s="1">
        <v>1</v>
      </c>
      <c r="E399" s="3">
        <v>40148.481944444444</v>
      </c>
      <c r="F399" s="1">
        <v>1.25</v>
      </c>
      <c r="G399" s="1">
        <v>16329</v>
      </c>
      <c r="H399" s="1" t="s">
        <v>10</v>
      </c>
      <c r="I399" s="1">
        <f t="shared" si="1"/>
        <v>1.25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">
      <c r="A400" s="1">
        <v>489517</v>
      </c>
      <c r="B400" s="1">
        <v>84791</v>
      </c>
      <c r="C400" s="1" t="s">
        <v>375</v>
      </c>
      <c r="D400" s="1">
        <v>1</v>
      </c>
      <c r="E400" s="3">
        <v>40148.481944444444</v>
      </c>
      <c r="F400" s="1">
        <v>2.95</v>
      </c>
      <c r="G400" s="1">
        <v>16329</v>
      </c>
      <c r="H400" s="1" t="s">
        <v>10</v>
      </c>
      <c r="I400" s="1">
        <f t="shared" si="1"/>
        <v>2.95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">
      <c r="A401" s="1" t="s">
        <v>376</v>
      </c>
      <c r="B401" s="1">
        <v>85048</v>
      </c>
      <c r="C401" s="1" t="s">
        <v>14</v>
      </c>
      <c r="D401" s="1">
        <v>-1</v>
      </c>
      <c r="E401" s="3">
        <v>40148.482638888891</v>
      </c>
      <c r="F401" s="1">
        <v>7.95</v>
      </c>
      <c r="G401" s="1">
        <v>15461</v>
      </c>
      <c r="H401" s="1" t="s">
        <v>10</v>
      </c>
      <c r="I401" s="1">
        <f t="shared" si="1"/>
        <v>-7.95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2">
      <c r="A402" s="1" t="s">
        <v>376</v>
      </c>
      <c r="B402" s="1">
        <v>22138</v>
      </c>
      <c r="C402" s="1" t="s">
        <v>109</v>
      </c>
      <c r="D402" s="1">
        <v>-1</v>
      </c>
      <c r="E402" s="3">
        <v>40148.482638888891</v>
      </c>
      <c r="F402" s="1">
        <v>4.95</v>
      </c>
      <c r="G402" s="1">
        <v>15461</v>
      </c>
      <c r="H402" s="1" t="s">
        <v>10</v>
      </c>
      <c r="I402" s="1">
        <f t="shared" si="1"/>
        <v>-4.95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">
      <c r="A403" s="1" t="s">
        <v>376</v>
      </c>
      <c r="B403" s="1">
        <v>20892</v>
      </c>
      <c r="C403" s="1" t="s">
        <v>331</v>
      </c>
      <c r="D403" s="1">
        <v>-2</v>
      </c>
      <c r="E403" s="3">
        <v>40148.482638888891</v>
      </c>
      <c r="F403" s="1">
        <v>12.75</v>
      </c>
      <c r="G403" s="1">
        <v>15461</v>
      </c>
      <c r="H403" s="1" t="s">
        <v>10</v>
      </c>
      <c r="I403" s="1">
        <f t="shared" si="1"/>
        <v>-25.5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">
      <c r="A404" s="1">
        <v>489519</v>
      </c>
      <c r="B404" s="1" t="s">
        <v>142</v>
      </c>
      <c r="C404" s="1" t="s">
        <v>143</v>
      </c>
      <c r="D404" s="1">
        <v>32</v>
      </c>
      <c r="E404" s="3">
        <v>40148.484027777777</v>
      </c>
      <c r="F404" s="1">
        <v>2.5499999999999998</v>
      </c>
      <c r="G404" s="1">
        <v>17700</v>
      </c>
      <c r="H404" s="1" t="s">
        <v>10</v>
      </c>
      <c r="I404" s="1">
        <f t="shared" si="1"/>
        <v>81.599999999999994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">
      <c r="A405" s="1">
        <v>489519</v>
      </c>
      <c r="B405" s="1">
        <v>22086</v>
      </c>
      <c r="C405" s="1" t="s">
        <v>183</v>
      </c>
      <c r="D405" s="1">
        <v>12</v>
      </c>
      <c r="E405" s="3">
        <v>40148.484027777777</v>
      </c>
      <c r="F405" s="1">
        <v>2.95</v>
      </c>
      <c r="G405" s="1">
        <v>17700</v>
      </c>
      <c r="H405" s="1" t="s">
        <v>10</v>
      </c>
      <c r="I405" s="1">
        <f t="shared" si="1"/>
        <v>35.400000000000006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">
      <c r="A406" s="1">
        <v>489519</v>
      </c>
      <c r="B406" s="1">
        <v>21326</v>
      </c>
      <c r="C406" s="1" t="s">
        <v>377</v>
      </c>
      <c r="D406" s="1">
        <v>12</v>
      </c>
      <c r="E406" s="3">
        <v>40148.484027777777</v>
      </c>
      <c r="F406" s="1">
        <v>0.65</v>
      </c>
      <c r="G406" s="1">
        <v>17700</v>
      </c>
      <c r="H406" s="1" t="s">
        <v>10</v>
      </c>
      <c r="I406" s="1">
        <f t="shared" si="1"/>
        <v>7.8000000000000007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">
      <c r="A407" s="1">
        <v>489519</v>
      </c>
      <c r="B407" s="1">
        <v>84946</v>
      </c>
      <c r="C407" s="1" t="s">
        <v>208</v>
      </c>
      <c r="D407" s="1">
        <v>12</v>
      </c>
      <c r="E407" s="3">
        <v>40148.484027777777</v>
      </c>
      <c r="F407" s="1">
        <v>1.25</v>
      </c>
      <c r="G407" s="1">
        <v>17700</v>
      </c>
      <c r="H407" s="1" t="s">
        <v>10</v>
      </c>
      <c r="I407" s="1">
        <f t="shared" si="1"/>
        <v>15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">
      <c r="A408" s="1">
        <v>489519</v>
      </c>
      <c r="B408" s="1">
        <v>21133</v>
      </c>
      <c r="C408" s="1" t="s">
        <v>378</v>
      </c>
      <c r="D408" s="1">
        <v>12</v>
      </c>
      <c r="E408" s="3">
        <v>40148.484027777777</v>
      </c>
      <c r="F408" s="1">
        <v>1.69</v>
      </c>
      <c r="G408" s="1">
        <v>17700</v>
      </c>
      <c r="H408" s="1" t="s">
        <v>10</v>
      </c>
      <c r="I408" s="1">
        <f t="shared" si="1"/>
        <v>20.28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">
      <c r="A409" s="1">
        <v>489519</v>
      </c>
      <c r="B409" s="1">
        <v>20984</v>
      </c>
      <c r="C409" s="1" t="s">
        <v>379</v>
      </c>
      <c r="D409" s="1">
        <v>12</v>
      </c>
      <c r="E409" s="3">
        <v>40148.484027777777</v>
      </c>
      <c r="F409" s="1">
        <v>0.85</v>
      </c>
      <c r="G409" s="1">
        <v>17700</v>
      </c>
      <c r="H409" s="1" t="s">
        <v>10</v>
      </c>
      <c r="I409" s="1">
        <f t="shared" si="1"/>
        <v>10.199999999999999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">
      <c r="A410" s="1">
        <v>489519</v>
      </c>
      <c r="B410" s="1">
        <v>20982</v>
      </c>
      <c r="C410" s="1" t="s">
        <v>380</v>
      </c>
      <c r="D410" s="1">
        <v>12</v>
      </c>
      <c r="E410" s="3">
        <v>40148.484027777777</v>
      </c>
      <c r="F410" s="1">
        <v>0.85</v>
      </c>
      <c r="G410" s="1">
        <v>17700</v>
      </c>
      <c r="H410" s="1" t="s">
        <v>10</v>
      </c>
      <c r="I410" s="1">
        <f t="shared" si="1"/>
        <v>10.199999999999999</v>
      </c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">
      <c r="A411" s="1">
        <v>489519</v>
      </c>
      <c r="B411" s="1" t="s">
        <v>381</v>
      </c>
      <c r="C411" s="1" t="s">
        <v>382</v>
      </c>
      <c r="D411" s="1">
        <v>12</v>
      </c>
      <c r="E411" s="3">
        <v>40148.484027777777</v>
      </c>
      <c r="F411" s="1">
        <v>1.25</v>
      </c>
      <c r="G411" s="1">
        <v>17700</v>
      </c>
      <c r="H411" s="1" t="s">
        <v>10</v>
      </c>
      <c r="I411" s="1">
        <f t="shared" si="1"/>
        <v>15</v>
      </c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2">
      <c r="A412" s="1">
        <v>489519</v>
      </c>
      <c r="B412" s="1">
        <v>21912</v>
      </c>
      <c r="C412" s="1" t="s">
        <v>62</v>
      </c>
      <c r="D412" s="1">
        <v>8</v>
      </c>
      <c r="E412" s="3">
        <v>40148.484027777777</v>
      </c>
      <c r="F412" s="1">
        <v>3.75</v>
      </c>
      <c r="G412" s="1">
        <v>17700</v>
      </c>
      <c r="H412" s="1" t="s">
        <v>10</v>
      </c>
      <c r="I412" s="1">
        <f t="shared" si="1"/>
        <v>30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">
      <c r="A413" s="1">
        <v>489519</v>
      </c>
      <c r="B413" s="1" t="s">
        <v>383</v>
      </c>
      <c r="C413" s="1" t="s">
        <v>384</v>
      </c>
      <c r="D413" s="1">
        <v>6</v>
      </c>
      <c r="E413" s="3">
        <v>40148.484027777777</v>
      </c>
      <c r="F413" s="1">
        <v>2.95</v>
      </c>
      <c r="G413" s="1">
        <v>17700</v>
      </c>
      <c r="H413" s="1" t="s">
        <v>10</v>
      </c>
      <c r="I413" s="1">
        <f t="shared" si="1"/>
        <v>17.700000000000003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">
      <c r="A414" s="1">
        <v>489519</v>
      </c>
      <c r="B414" s="1">
        <v>22276</v>
      </c>
      <c r="C414" s="1" t="s">
        <v>385</v>
      </c>
      <c r="D414" s="1">
        <v>6</v>
      </c>
      <c r="E414" s="3">
        <v>40148.484027777777</v>
      </c>
      <c r="F414" s="1">
        <v>2.5499999999999998</v>
      </c>
      <c r="G414" s="1">
        <v>17700</v>
      </c>
      <c r="H414" s="1" t="s">
        <v>10</v>
      </c>
      <c r="I414" s="1">
        <f t="shared" si="1"/>
        <v>15.299999999999999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2">
      <c r="A415" s="1">
        <v>489519</v>
      </c>
      <c r="B415" s="1">
        <v>84949</v>
      </c>
      <c r="C415" s="1" t="s">
        <v>386</v>
      </c>
      <c r="D415" s="1">
        <v>6</v>
      </c>
      <c r="E415" s="3">
        <v>40148.484027777777</v>
      </c>
      <c r="F415" s="1">
        <v>1.65</v>
      </c>
      <c r="G415" s="1">
        <v>17700</v>
      </c>
      <c r="H415" s="1" t="s">
        <v>10</v>
      </c>
      <c r="I415" s="1">
        <f t="shared" si="1"/>
        <v>9.8999999999999986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">
      <c r="A416" s="1">
        <v>489519</v>
      </c>
      <c r="B416" s="1">
        <v>21491</v>
      </c>
      <c r="C416" s="1" t="s">
        <v>112</v>
      </c>
      <c r="D416" s="1">
        <v>6</v>
      </c>
      <c r="E416" s="3">
        <v>40148.484027777777</v>
      </c>
      <c r="F416" s="1">
        <v>1.95</v>
      </c>
      <c r="G416" s="1">
        <v>17700</v>
      </c>
      <c r="H416" s="1" t="s">
        <v>10</v>
      </c>
      <c r="I416" s="1">
        <f t="shared" si="1"/>
        <v>11.7</v>
      </c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2">
      <c r="A417" s="1">
        <v>489519</v>
      </c>
      <c r="B417" s="1">
        <v>21908</v>
      </c>
      <c r="C417" s="1" t="s">
        <v>387</v>
      </c>
      <c r="D417" s="1">
        <v>6</v>
      </c>
      <c r="E417" s="3">
        <v>40148.484027777777</v>
      </c>
      <c r="F417" s="1">
        <v>2.1</v>
      </c>
      <c r="G417" s="1">
        <v>17700</v>
      </c>
      <c r="H417" s="1" t="s">
        <v>10</v>
      </c>
      <c r="I417" s="1">
        <f t="shared" si="1"/>
        <v>12.600000000000001</v>
      </c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2">
      <c r="A418" s="1">
        <v>489519</v>
      </c>
      <c r="B418" s="1">
        <v>21181</v>
      </c>
      <c r="C418" s="1" t="s">
        <v>34</v>
      </c>
      <c r="D418" s="1">
        <v>6</v>
      </c>
      <c r="E418" s="3">
        <v>40148.484027777777</v>
      </c>
      <c r="F418" s="1">
        <v>2.1</v>
      </c>
      <c r="G418" s="1">
        <v>17700</v>
      </c>
      <c r="H418" s="1" t="s">
        <v>10</v>
      </c>
      <c r="I418" s="1">
        <f t="shared" si="1"/>
        <v>12.600000000000001</v>
      </c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2">
      <c r="A419" s="1">
        <v>489519</v>
      </c>
      <c r="B419" s="1">
        <v>21371</v>
      </c>
      <c r="C419" s="1" t="s">
        <v>388</v>
      </c>
      <c r="D419" s="1">
        <v>6</v>
      </c>
      <c r="E419" s="3">
        <v>40148.484027777777</v>
      </c>
      <c r="F419" s="1">
        <v>2.5499999999999998</v>
      </c>
      <c r="G419" s="1">
        <v>17700</v>
      </c>
      <c r="H419" s="1" t="s">
        <v>10</v>
      </c>
      <c r="I419" s="1">
        <f t="shared" si="1"/>
        <v>15.299999999999999</v>
      </c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">
      <c r="A420" s="1">
        <v>489519</v>
      </c>
      <c r="B420" s="1">
        <v>85152</v>
      </c>
      <c r="C420" s="1" t="s">
        <v>389</v>
      </c>
      <c r="D420" s="1">
        <v>6</v>
      </c>
      <c r="E420" s="3">
        <v>40148.484027777777</v>
      </c>
      <c r="F420" s="1">
        <v>2.1</v>
      </c>
      <c r="G420" s="1">
        <v>17700</v>
      </c>
      <c r="H420" s="1" t="s">
        <v>10</v>
      </c>
      <c r="I420" s="1">
        <f t="shared" si="1"/>
        <v>12.600000000000001</v>
      </c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2">
      <c r="A421" s="1">
        <v>489519</v>
      </c>
      <c r="B421" s="1">
        <v>90168</v>
      </c>
      <c r="C421" s="1" t="s">
        <v>390</v>
      </c>
      <c r="D421" s="1">
        <v>6</v>
      </c>
      <c r="E421" s="3">
        <v>40148.484027777777</v>
      </c>
      <c r="F421" s="1">
        <v>2.95</v>
      </c>
      <c r="G421" s="1">
        <v>17700</v>
      </c>
      <c r="H421" s="1" t="s">
        <v>10</v>
      </c>
      <c r="I421" s="1">
        <f t="shared" si="1"/>
        <v>17.700000000000003</v>
      </c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2">
      <c r="A422" s="1">
        <v>489519</v>
      </c>
      <c r="B422" s="1" t="s">
        <v>391</v>
      </c>
      <c r="C422" s="1" t="s">
        <v>392</v>
      </c>
      <c r="D422" s="1">
        <v>6</v>
      </c>
      <c r="E422" s="3">
        <v>40148.484027777777</v>
      </c>
      <c r="F422" s="1">
        <v>2.95</v>
      </c>
      <c r="G422" s="1">
        <v>17700</v>
      </c>
      <c r="H422" s="1" t="s">
        <v>10</v>
      </c>
      <c r="I422" s="1">
        <f t="shared" si="1"/>
        <v>17.700000000000003</v>
      </c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2">
      <c r="A423" s="1">
        <v>489519</v>
      </c>
      <c r="B423" s="1" t="s">
        <v>393</v>
      </c>
      <c r="C423" s="1" t="s">
        <v>394</v>
      </c>
      <c r="D423" s="1">
        <v>6</v>
      </c>
      <c r="E423" s="3">
        <v>40148.484027777777</v>
      </c>
      <c r="F423" s="1">
        <v>2.95</v>
      </c>
      <c r="G423" s="1">
        <v>17700</v>
      </c>
      <c r="H423" s="1" t="s">
        <v>10</v>
      </c>
      <c r="I423" s="1">
        <f t="shared" si="1"/>
        <v>17.700000000000003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2">
      <c r="A424" s="1">
        <v>489519</v>
      </c>
      <c r="B424" s="1">
        <v>90134</v>
      </c>
      <c r="C424" s="1" t="s">
        <v>395</v>
      </c>
      <c r="D424" s="1">
        <v>6</v>
      </c>
      <c r="E424" s="3">
        <v>40148.484027777777</v>
      </c>
      <c r="F424" s="1">
        <v>2.95</v>
      </c>
      <c r="G424" s="1">
        <v>17700</v>
      </c>
      <c r="H424" s="1" t="s">
        <v>10</v>
      </c>
      <c r="I424" s="1">
        <f t="shared" si="1"/>
        <v>17.700000000000003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2">
      <c r="A425" s="1">
        <v>489519</v>
      </c>
      <c r="B425" s="1" t="s">
        <v>396</v>
      </c>
      <c r="C425" s="1" t="s">
        <v>397</v>
      </c>
      <c r="D425" s="1">
        <v>5</v>
      </c>
      <c r="E425" s="3">
        <v>40148.484027777777</v>
      </c>
      <c r="F425" s="1">
        <v>3.95</v>
      </c>
      <c r="G425" s="1">
        <v>17700</v>
      </c>
      <c r="H425" s="1" t="s">
        <v>10</v>
      </c>
      <c r="I425" s="1">
        <f t="shared" si="1"/>
        <v>19.75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2">
      <c r="A426" s="1">
        <v>489519</v>
      </c>
      <c r="B426" s="1" t="s">
        <v>398</v>
      </c>
      <c r="C426" s="1" t="s">
        <v>399</v>
      </c>
      <c r="D426" s="1">
        <v>4</v>
      </c>
      <c r="E426" s="3">
        <v>40148.484027777777</v>
      </c>
      <c r="F426" s="1">
        <v>3.75</v>
      </c>
      <c r="G426" s="1">
        <v>17700</v>
      </c>
      <c r="H426" s="1" t="s">
        <v>10</v>
      </c>
      <c r="I426" s="1">
        <f t="shared" si="1"/>
        <v>15</v>
      </c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2">
      <c r="A427" s="1">
        <v>489519</v>
      </c>
      <c r="B427" s="1" t="s">
        <v>244</v>
      </c>
      <c r="C427" s="1" t="s">
        <v>245</v>
      </c>
      <c r="D427" s="1">
        <v>4</v>
      </c>
      <c r="E427" s="3">
        <v>40148.484027777777</v>
      </c>
      <c r="F427" s="1">
        <v>6.75</v>
      </c>
      <c r="G427" s="1">
        <v>17700</v>
      </c>
      <c r="H427" s="1" t="s">
        <v>10</v>
      </c>
      <c r="I427" s="1">
        <f t="shared" si="1"/>
        <v>27</v>
      </c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2">
      <c r="A428" s="1">
        <v>489519</v>
      </c>
      <c r="B428" s="1" t="s">
        <v>17</v>
      </c>
      <c r="C428" s="1" t="s">
        <v>18</v>
      </c>
      <c r="D428" s="1">
        <v>4</v>
      </c>
      <c r="E428" s="3">
        <v>40148.484027777777</v>
      </c>
      <c r="F428" s="1">
        <v>6.75</v>
      </c>
      <c r="G428" s="1">
        <v>17700</v>
      </c>
      <c r="H428" s="1" t="s">
        <v>10</v>
      </c>
      <c r="I428" s="1">
        <f t="shared" si="1"/>
        <v>27</v>
      </c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2">
      <c r="A429" s="1">
        <v>489519</v>
      </c>
      <c r="B429" s="1" t="s">
        <v>400</v>
      </c>
      <c r="C429" s="1" t="s">
        <v>401</v>
      </c>
      <c r="D429" s="1">
        <v>4</v>
      </c>
      <c r="E429" s="3">
        <v>40148.484027777777</v>
      </c>
      <c r="F429" s="1">
        <v>3.75</v>
      </c>
      <c r="G429" s="1">
        <v>17700</v>
      </c>
      <c r="H429" s="1" t="s">
        <v>10</v>
      </c>
      <c r="I429" s="1">
        <f t="shared" si="1"/>
        <v>15</v>
      </c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2">
      <c r="A430" s="1">
        <v>489519</v>
      </c>
      <c r="B430" s="1" t="s">
        <v>402</v>
      </c>
      <c r="C430" s="1" t="s">
        <v>403</v>
      </c>
      <c r="D430" s="1">
        <v>3</v>
      </c>
      <c r="E430" s="3">
        <v>40148.484027777777</v>
      </c>
      <c r="F430" s="1">
        <v>5.95</v>
      </c>
      <c r="G430" s="1">
        <v>17700</v>
      </c>
      <c r="H430" s="1" t="s">
        <v>10</v>
      </c>
      <c r="I430" s="1">
        <f t="shared" si="1"/>
        <v>17.850000000000001</v>
      </c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2">
      <c r="A431" s="1">
        <v>489519</v>
      </c>
      <c r="B431" s="1" t="s">
        <v>115</v>
      </c>
      <c r="C431" s="1" t="s">
        <v>116</v>
      </c>
      <c r="D431" s="1">
        <v>3</v>
      </c>
      <c r="E431" s="3">
        <v>40148.484027777777</v>
      </c>
      <c r="F431" s="1">
        <v>5.95</v>
      </c>
      <c r="G431" s="1">
        <v>17700</v>
      </c>
      <c r="H431" s="1" t="s">
        <v>10</v>
      </c>
      <c r="I431" s="1">
        <f t="shared" si="1"/>
        <v>17.850000000000001</v>
      </c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2">
      <c r="A432" s="1">
        <v>489519</v>
      </c>
      <c r="B432" s="1" t="s">
        <v>117</v>
      </c>
      <c r="C432" s="1" t="s">
        <v>118</v>
      </c>
      <c r="D432" s="1">
        <v>3</v>
      </c>
      <c r="E432" s="3">
        <v>40148.484027777777</v>
      </c>
      <c r="F432" s="1">
        <v>5.95</v>
      </c>
      <c r="G432" s="1">
        <v>17700</v>
      </c>
      <c r="H432" s="1" t="s">
        <v>10</v>
      </c>
      <c r="I432" s="1">
        <f t="shared" si="1"/>
        <v>17.850000000000001</v>
      </c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2">
      <c r="A433" s="1">
        <v>489519</v>
      </c>
      <c r="B433" s="1" t="s">
        <v>404</v>
      </c>
      <c r="C433" s="1" t="s">
        <v>405</v>
      </c>
      <c r="D433" s="1">
        <v>3</v>
      </c>
      <c r="E433" s="3">
        <v>40148.484027777777</v>
      </c>
      <c r="F433" s="1">
        <v>5.95</v>
      </c>
      <c r="G433" s="1">
        <v>17700</v>
      </c>
      <c r="H433" s="1" t="s">
        <v>10</v>
      </c>
      <c r="I433" s="1">
        <f t="shared" si="1"/>
        <v>17.850000000000001</v>
      </c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2">
      <c r="A434" s="1">
        <v>489519</v>
      </c>
      <c r="B434" s="1">
        <v>82483</v>
      </c>
      <c r="C434" s="1" t="s">
        <v>266</v>
      </c>
      <c r="D434" s="1">
        <v>3</v>
      </c>
      <c r="E434" s="3">
        <v>40148.484027777777</v>
      </c>
      <c r="F434" s="1">
        <v>5.95</v>
      </c>
      <c r="G434" s="1">
        <v>17700</v>
      </c>
      <c r="H434" s="1" t="s">
        <v>10</v>
      </c>
      <c r="I434" s="1">
        <f t="shared" si="1"/>
        <v>17.850000000000001</v>
      </c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2">
      <c r="A435" s="1">
        <v>489519</v>
      </c>
      <c r="B435" s="1" t="s">
        <v>406</v>
      </c>
      <c r="C435" s="1" t="s">
        <v>407</v>
      </c>
      <c r="D435" s="1">
        <v>3</v>
      </c>
      <c r="E435" s="3">
        <v>40148.484027777777</v>
      </c>
      <c r="F435" s="1">
        <v>7.95</v>
      </c>
      <c r="G435" s="1">
        <v>17700</v>
      </c>
      <c r="H435" s="1" t="s">
        <v>10</v>
      </c>
      <c r="I435" s="1">
        <f t="shared" si="1"/>
        <v>23.85</v>
      </c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2">
      <c r="A436" s="1">
        <v>489519</v>
      </c>
      <c r="B436" s="1">
        <v>90023</v>
      </c>
      <c r="C436" s="1" t="s">
        <v>408</v>
      </c>
      <c r="D436" s="1">
        <v>2</v>
      </c>
      <c r="E436" s="3">
        <v>40148.484027777777</v>
      </c>
      <c r="F436" s="1">
        <v>4.25</v>
      </c>
      <c r="G436" s="1">
        <v>17700</v>
      </c>
      <c r="H436" s="1" t="s">
        <v>10</v>
      </c>
      <c r="I436" s="1">
        <f t="shared" si="1"/>
        <v>8.5</v>
      </c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2">
      <c r="A437" s="1">
        <v>489519</v>
      </c>
      <c r="B437" s="1">
        <v>90145</v>
      </c>
      <c r="C437" s="1" t="s">
        <v>409</v>
      </c>
      <c r="D437" s="1">
        <v>2</v>
      </c>
      <c r="E437" s="3">
        <v>40148.484027777777</v>
      </c>
      <c r="F437" s="1">
        <v>5.95</v>
      </c>
      <c r="G437" s="1">
        <v>17700</v>
      </c>
      <c r="H437" s="1" t="s">
        <v>10</v>
      </c>
      <c r="I437" s="1">
        <f t="shared" si="1"/>
        <v>11.9</v>
      </c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2">
      <c r="A438" s="1">
        <v>489519</v>
      </c>
      <c r="B438" s="1" t="s">
        <v>410</v>
      </c>
      <c r="C438" s="1" t="s">
        <v>411</v>
      </c>
      <c r="D438" s="1">
        <v>2</v>
      </c>
      <c r="E438" s="3">
        <v>40148.484027777777</v>
      </c>
      <c r="F438" s="1">
        <v>5.95</v>
      </c>
      <c r="G438" s="1">
        <v>17700</v>
      </c>
      <c r="H438" s="1" t="s">
        <v>10</v>
      </c>
      <c r="I438" s="1">
        <f t="shared" si="1"/>
        <v>11.9</v>
      </c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2">
      <c r="A439" s="1">
        <v>489519</v>
      </c>
      <c r="B439" s="1" t="s">
        <v>412</v>
      </c>
      <c r="C439" s="1" t="s">
        <v>413</v>
      </c>
      <c r="D439" s="1">
        <v>2</v>
      </c>
      <c r="E439" s="3">
        <v>40148.484027777777</v>
      </c>
      <c r="F439" s="1">
        <v>8.5</v>
      </c>
      <c r="G439" s="1">
        <v>17700</v>
      </c>
      <c r="H439" s="1" t="s">
        <v>10</v>
      </c>
      <c r="I439" s="1">
        <f t="shared" si="1"/>
        <v>17</v>
      </c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2">
      <c r="A440" s="1">
        <v>489519</v>
      </c>
      <c r="B440" s="1">
        <v>90131</v>
      </c>
      <c r="C440" s="1" t="s">
        <v>414</v>
      </c>
      <c r="D440" s="1">
        <v>2</v>
      </c>
      <c r="E440" s="3">
        <v>40148.484027777777</v>
      </c>
      <c r="F440" s="1">
        <v>6.95</v>
      </c>
      <c r="G440" s="1">
        <v>17700</v>
      </c>
      <c r="H440" s="1" t="s">
        <v>10</v>
      </c>
      <c r="I440" s="1">
        <f t="shared" si="1"/>
        <v>13.9</v>
      </c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2">
      <c r="A441" s="1">
        <v>489519</v>
      </c>
      <c r="B441" s="1" t="s">
        <v>415</v>
      </c>
      <c r="C441" s="1" t="s">
        <v>416</v>
      </c>
      <c r="D441" s="1">
        <v>2</v>
      </c>
      <c r="E441" s="3">
        <v>40148.484027777777</v>
      </c>
      <c r="F441" s="1">
        <v>6.35</v>
      </c>
      <c r="G441" s="1">
        <v>17700</v>
      </c>
      <c r="H441" s="1" t="s">
        <v>10</v>
      </c>
      <c r="I441" s="1">
        <f t="shared" si="1"/>
        <v>12.7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2">
      <c r="A442" s="1">
        <v>489520</v>
      </c>
      <c r="B442" s="1">
        <v>21842</v>
      </c>
      <c r="C442" s="1" t="s">
        <v>417</v>
      </c>
      <c r="D442" s="1">
        <v>54</v>
      </c>
      <c r="E442" s="3">
        <v>40148.486805555556</v>
      </c>
      <c r="F442" s="1">
        <v>2.5499999999999998</v>
      </c>
      <c r="G442" s="1">
        <v>14911</v>
      </c>
      <c r="H442" s="1" t="s">
        <v>418</v>
      </c>
      <c r="I442" s="1">
        <f t="shared" si="1"/>
        <v>137.69999999999999</v>
      </c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2">
      <c r="A443" s="1">
        <v>489520</v>
      </c>
      <c r="B443" s="1">
        <v>72741</v>
      </c>
      <c r="C443" s="1" t="s">
        <v>419</v>
      </c>
      <c r="D443" s="1">
        <v>36</v>
      </c>
      <c r="E443" s="3">
        <v>40148.486805555556</v>
      </c>
      <c r="F443" s="1">
        <v>1.45</v>
      </c>
      <c r="G443" s="1">
        <v>14911</v>
      </c>
      <c r="H443" s="1" t="s">
        <v>418</v>
      </c>
      <c r="I443" s="1">
        <f t="shared" si="1"/>
        <v>52.199999999999996</v>
      </c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2">
      <c r="A444" s="1">
        <v>489520</v>
      </c>
      <c r="B444" s="1" t="s">
        <v>420</v>
      </c>
      <c r="C444" s="1" t="s">
        <v>421</v>
      </c>
      <c r="D444" s="1">
        <v>12</v>
      </c>
      <c r="E444" s="3">
        <v>40148.486805555556</v>
      </c>
      <c r="F444" s="1">
        <v>0.75</v>
      </c>
      <c r="G444" s="1">
        <v>14911</v>
      </c>
      <c r="H444" s="1" t="s">
        <v>418</v>
      </c>
      <c r="I444" s="1">
        <f t="shared" si="1"/>
        <v>9</v>
      </c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2">
      <c r="A445" s="1">
        <v>489520</v>
      </c>
      <c r="B445" s="1" t="s">
        <v>422</v>
      </c>
      <c r="C445" s="1" t="s">
        <v>423</v>
      </c>
      <c r="D445" s="1">
        <v>12</v>
      </c>
      <c r="E445" s="3">
        <v>40148.486805555556</v>
      </c>
      <c r="F445" s="1">
        <v>1.25</v>
      </c>
      <c r="G445" s="1">
        <v>14911</v>
      </c>
      <c r="H445" s="1" t="s">
        <v>418</v>
      </c>
      <c r="I445" s="1">
        <f t="shared" si="1"/>
        <v>15</v>
      </c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2">
      <c r="A446" s="1">
        <v>489520</v>
      </c>
      <c r="B446" s="1">
        <v>21172</v>
      </c>
      <c r="C446" s="1" t="s">
        <v>424</v>
      </c>
      <c r="D446" s="1">
        <v>12</v>
      </c>
      <c r="E446" s="3">
        <v>40148.486805555556</v>
      </c>
      <c r="F446" s="1">
        <v>1.45</v>
      </c>
      <c r="G446" s="1">
        <v>14911</v>
      </c>
      <c r="H446" s="1" t="s">
        <v>418</v>
      </c>
      <c r="I446" s="1">
        <f t="shared" si="1"/>
        <v>17.399999999999999</v>
      </c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2">
      <c r="A447" s="1">
        <v>489520</v>
      </c>
      <c r="B447" s="1">
        <v>82600</v>
      </c>
      <c r="C447" s="1" t="s">
        <v>425</v>
      </c>
      <c r="D447" s="1">
        <v>12</v>
      </c>
      <c r="E447" s="3">
        <v>40148.486805555556</v>
      </c>
      <c r="F447" s="1">
        <v>2.1</v>
      </c>
      <c r="G447" s="1">
        <v>14911</v>
      </c>
      <c r="H447" s="1" t="s">
        <v>418</v>
      </c>
      <c r="I447" s="1">
        <f t="shared" si="1"/>
        <v>25.200000000000003</v>
      </c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2">
      <c r="A448" s="1">
        <v>489520</v>
      </c>
      <c r="B448" s="1">
        <v>21133</v>
      </c>
      <c r="C448" s="1" t="s">
        <v>378</v>
      </c>
      <c r="D448" s="1">
        <v>12</v>
      </c>
      <c r="E448" s="3">
        <v>40148.486805555556</v>
      </c>
      <c r="F448" s="1">
        <v>1.69</v>
      </c>
      <c r="G448" s="1">
        <v>14911</v>
      </c>
      <c r="H448" s="1" t="s">
        <v>418</v>
      </c>
      <c r="I448" s="1">
        <f t="shared" si="1"/>
        <v>20.28</v>
      </c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2">
      <c r="A449" s="1">
        <v>489520</v>
      </c>
      <c r="B449" s="1">
        <v>35071</v>
      </c>
      <c r="C449" s="1" t="s">
        <v>426</v>
      </c>
      <c r="D449" s="1">
        <v>12</v>
      </c>
      <c r="E449" s="3">
        <v>40148.486805555556</v>
      </c>
      <c r="F449" s="1">
        <v>0.85</v>
      </c>
      <c r="G449" s="1">
        <v>14911</v>
      </c>
      <c r="H449" s="1" t="s">
        <v>418</v>
      </c>
      <c r="I449" s="1">
        <f t="shared" si="1"/>
        <v>10.199999999999999</v>
      </c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2">
      <c r="A450" s="1">
        <v>489520</v>
      </c>
      <c r="B450" s="1">
        <v>84836</v>
      </c>
      <c r="C450" s="1" t="s">
        <v>427</v>
      </c>
      <c r="D450" s="1">
        <v>12</v>
      </c>
      <c r="E450" s="3">
        <v>40148.486805555556</v>
      </c>
      <c r="F450" s="1">
        <v>1.25</v>
      </c>
      <c r="G450" s="1">
        <v>14911</v>
      </c>
      <c r="H450" s="1" t="s">
        <v>418</v>
      </c>
      <c r="I450" s="1">
        <f t="shared" si="1"/>
        <v>15</v>
      </c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2">
      <c r="A451" s="1">
        <v>489520</v>
      </c>
      <c r="B451" s="1">
        <v>22122</v>
      </c>
      <c r="C451" s="1" t="s">
        <v>358</v>
      </c>
      <c r="D451" s="1">
        <v>12</v>
      </c>
      <c r="E451" s="3">
        <v>40148.486805555556</v>
      </c>
      <c r="F451" s="1">
        <v>2.95</v>
      </c>
      <c r="G451" s="1">
        <v>14911</v>
      </c>
      <c r="H451" s="1" t="s">
        <v>418</v>
      </c>
      <c r="I451" s="1">
        <f t="shared" si="1"/>
        <v>35.400000000000006</v>
      </c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2">
      <c r="A452" s="1">
        <v>489520</v>
      </c>
      <c r="B452" s="1">
        <v>22080</v>
      </c>
      <c r="C452" s="1" t="s">
        <v>428</v>
      </c>
      <c r="D452" s="1">
        <v>10</v>
      </c>
      <c r="E452" s="3">
        <v>40148.486805555556</v>
      </c>
      <c r="F452" s="1">
        <v>1.65</v>
      </c>
      <c r="G452" s="1">
        <v>14911</v>
      </c>
      <c r="H452" s="1" t="s">
        <v>418</v>
      </c>
      <c r="I452" s="1">
        <f t="shared" si="1"/>
        <v>16.5</v>
      </c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2">
      <c r="A453" s="1">
        <v>489520</v>
      </c>
      <c r="B453" s="1">
        <v>22082</v>
      </c>
      <c r="C453" s="1" t="s">
        <v>429</v>
      </c>
      <c r="D453" s="1">
        <v>10</v>
      </c>
      <c r="E453" s="3">
        <v>40148.486805555556</v>
      </c>
      <c r="F453" s="1">
        <v>1.65</v>
      </c>
      <c r="G453" s="1">
        <v>14911</v>
      </c>
      <c r="H453" s="1" t="s">
        <v>418</v>
      </c>
      <c r="I453" s="1">
        <f t="shared" si="1"/>
        <v>16.5</v>
      </c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2">
      <c r="A454" s="1">
        <v>489520</v>
      </c>
      <c r="B454" s="1">
        <v>20734</v>
      </c>
      <c r="C454" s="1" t="s">
        <v>430</v>
      </c>
      <c r="D454" s="1">
        <v>10</v>
      </c>
      <c r="E454" s="3">
        <v>40148.486805555556</v>
      </c>
      <c r="F454" s="1">
        <v>0.85</v>
      </c>
      <c r="G454" s="1">
        <v>14911</v>
      </c>
      <c r="H454" s="1" t="s">
        <v>418</v>
      </c>
      <c r="I454" s="1">
        <f t="shared" si="1"/>
        <v>8.5</v>
      </c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2">
      <c r="A455" s="1">
        <v>489520</v>
      </c>
      <c r="B455" s="1">
        <v>22114</v>
      </c>
      <c r="C455" s="1" t="s">
        <v>184</v>
      </c>
      <c r="D455" s="1">
        <v>8</v>
      </c>
      <c r="E455" s="3">
        <v>40148.486805555556</v>
      </c>
      <c r="F455" s="1">
        <v>3.95</v>
      </c>
      <c r="G455" s="1">
        <v>14911</v>
      </c>
      <c r="H455" s="1" t="s">
        <v>418</v>
      </c>
      <c r="I455" s="1">
        <f t="shared" si="1"/>
        <v>31.6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2">
      <c r="A456" s="1">
        <v>489520</v>
      </c>
      <c r="B456" s="1">
        <v>22212</v>
      </c>
      <c r="C456" s="1" t="s">
        <v>431</v>
      </c>
      <c r="D456" s="1">
        <v>6</v>
      </c>
      <c r="E456" s="3">
        <v>40148.486805555556</v>
      </c>
      <c r="F456" s="1">
        <v>2.1</v>
      </c>
      <c r="G456" s="1">
        <v>14911</v>
      </c>
      <c r="H456" s="1" t="s">
        <v>418</v>
      </c>
      <c r="I456" s="1">
        <f t="shared" si="1"/>
        <v>12.600000000000001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2">
      <c r="A457" s="1">
        <v>489520</v>
      </c>
      <c r="B457" s="1">
        <v>20828</v>
      </c>
      <c r="C457" s="1" t="s">
        <v>432</v>
      </c>
      <c r="D457" s="1">
        <v>6</v>
      </c>
      <c r="E457" s="3">
        <v>40148.486805555556</v>
      </c>
      <c r="F457" s="1">
        <v>2.5499999999999998</v>
      </c>
      <c r="G457" s="1">
        <v>14911</v>
      </c>
      <c r="H457" s="1" t="s">
        <v>418</v>
      </c>
      <c r="I457" s="1">
        <f t="shared" si="1"/>
        <v>15.299999999999999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2">
      <c r="A458" s="1">
        <v>489520</v>
      </c>
      <c r="B458" s="1">
        <v>21754</v>
      </c>
      <c r="C458" s="1" t="s">
        <v>43</v>
      </c>
      <c r="D458" s="1">
        <v>6</v>
      </c>
      <c r="E458" s="3">
        <v>40148.486805555556</v>
      </c>
      <c r="F458" s="1">
        <v>5.95</v>
      </c>
      <c r="G458" s="1">
        <v>14911</v>
      </c>
      <c r="H458" s="1" t="s">
        <v>418</v>
      </c>
      <c r="I458" s="1">
        <f t="shared" si="1"/>
        <v>35.700000000000003</v>
      </c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2">
      <c r="A459" s="1">
        <v>489520</v>
      </c>
      <c r="B459" s="1">
        <v>21181</v>
      </c>
      <c r="C459" s="1" t="s">
        <v>34</v>
      </c>
      <c r="D459" s="1">
        <v>6</v>
      </c>
      <c r="E459" s="3">
        <v>40148.486805555556</v>
      </c>
      <c r="F459" s="1">
        <v>2.1</v>
      </c>
      <c r="G459" s="1">
        <v>14911</v>
      </c>
      <c r="H459" s="1" t="s">
        <v>418</v>
      </c>
      <c r="I459" s="1">
        <f t="shared" si="1"/>
        <v>12.600000000000001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2">
      <c r="A460" s="1">
        <v>489520</v>
      </c>
      <c r="B460" s="1">
        <v>22089</v>
      </c>
      <c r="C460" s="1" t="s">
        <v>433</v>
      </c>
      <c r="D460" s="1">
        <v>6</v>
      </c>
      <c r="E460" s="3">
        <v>40148.486805555556</v>
      </c>
      <c r="F460" s="1">
        <v>2.95</v>
      </c>
      <c r="G460" s="1">
        <v>14911</v>
      </c>
      <c r="H460" s="1" t="s">
        <v>418</v>
      </c>
      <c r="I460" s="1">
        <f t="shared" si="1"/>
        <v>17.700000000000003</v>
      </c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2">
      <c r="A461" s="1">
        <v>489520</v>
      </c>
      <c r="B461" s="1">
        <v>22083</v>
      </c>
      <c r="C461" s="1" t="s">
        <v>176</v>
      </c>
      <c r="D461" s="1">
        <v>6</v>
      </c>
      <c r="E461" s="3">
        <v>40148.486805555556</v>
      </c>
      <c r="F461" s="1">
        <v>2.95</v>
      </c>
      <c r="G461" s="1">
        <v>14911</v>
      </c>
      <c r="H461" s="1" t="s">
        <v>418</v>
      </c>
      <c r="I461" s="1">
        <f t="shared" si="1"/>
        <v>17.700000000000003</v>
      </c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x14ac:dyDescent="0.2">
      <c r="A462" s="1">
        <v>489520</v>
      </c>
      <c r="B462" s="1">
        <v>22086</v>
      </c>
      <c r="C462" s="1" t="s">
        <v>183</v>
      </c>
      <c r="D462" s="1">
        <v>6</v>
      </c>
      <c r="E462" s="3">
        <v>40148.486805555556</v>
      </c>
      <c r="F462" s="1">
        <v>2.95</v>
      </c>
      <c r="G462" s="1">
        <v>14911</v>
      </c>
      <c r="H462" s="1" t="s">
        <v>418</v>
      </c>
      <c r="I462" s="1">
        <f t="shared" si="1"/>
        <v>17.700000000000003</v>
      </c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2">
      <c r="A463" s="1">
        <v>489520</v>
      </c>
      <c r="B463" s="1">
        <v>21784</v>
      </c>
      <c r="C463" s="1" t="s">
        <v>434</v>
      </c>
      <c r="D463" s="1">
        <v>4</v>
      </c>
      <c r="E463" s="3">
        <v>40148.486805555556</v>
      </c>
      <c r="F463" s="1">
        <v>9.9499999999999993</v>
      </c>
      <c r="G463" s="1">
        <v>14911</v>
      </c>
      <c r="H463" s="1" t="s">
        <v>418</v>
      </c>
      <c r="I463" s="1">
        <f t="shared" si="1"/>
        <v>39.799999999999997</v>
      </c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2">
      <c r="A464" s="1">
        <v>489520</v>
      </c>
      <c r="B464" s="1">
        <v>22282</v>
      </c>
      <c r="C464" s="1" t="s">
        <v>435</v>
      </c>
      <c r="D464" s="1">
        <v>4</v>
      </c>
      <c r="E464" s="3">
        <v>40148.486805555556</v>
      </c>
      <c r="F464" s="1">
        <v>12.75</v>
      </c>
      <c r="G464" s="1">
        <v>14911</v>
      </c>
      <c r="H464" s="1" t="s">
        <v>418</v>
      </c>
      <c r="I464" s="1">
        <f t="shared" si="1"/>
        <v>51</v>
      </c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2">
      <c r="A465" s="1">
        <v>489520</v>
      </c>
      <c r="B465" s="1">
        <v>21430</v>
      </c>
      <c r="C465" s="1" t="s">
        <v>145</v>
      </c>
      <c r="D465" s="1">
        <v>4</v>
      </c>
      <c r="E465" s="3">
        <v>40148.486805555556</v>
      </c>
      <c r="F465" s="1">
        <v>3.75</v>
      </c>
      <c r="G465" s="1">
        <v>14911</v>
      </c>
      <c r="H465" s="1" t="s">
        <v>418</v>
      </c>
      <c r="I465" s="1">
        <f t="shared" si="1"/>
        <v>15</v>
      </c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2">
      <c r="A466" s="1">
        <v>489520</v>
      </c>
      <c r="B466" s="1" t="s">
        <v>436</v>
      </c>
      <c r="C466" s="1" t="s">
        <v>437</v>
      </c>
      <c r="D466" s="1">
        <v>3</v>
      </c>
      <c r="E466" s="3">
        <v>40148.486805555556</v>
      </c>
      <c r="F466" s="1">
        <v>4.95</v>
      </c>
      <c r="G466" s="1">
        <v>14911</v>
      </c>
      <c r="H466" s="1" t="s">
        <v>418</v>
      </c>
      <c r="I466" s="1">
        <f t="shared" si="1"/>
        <v>14.850000000000001</v>
      </c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2">
      <c r="A467" s="1">
        <v>489520</v>
      </c>
      <c r="B467" s="1">
        <v>22121</v>
      </c>
      <c r="C467" s="1" t="s">
        <v>438</v>
      </c>
      <c r="D467" s="1">
        <v>3</v>
      </c>
      <c r="E467" s="3">
        <v>40148.486805555556</v>
      </c>
      <c r="F467" s="1">
        <v>5.95</v>
      </c>
      <c r="G467" s="1">
        <v>14911</v>
      </c>
      <c r="H467" s="1" t="s">
        <v>418</v>
      </c>
      <c r="I467" s="1">
        <f t="shared" si="1"/>
        <v>17.850000000000001</v>
      </c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2">
      <c r="A468" s="1">
        <v>489520</v>
      </c>
      <c r="B468" s="1">
        <v>21485</v>
      </c>
      <c r="C468" s="1" t="s">
        <v>185</v>
      </c>
      <c r="D468" s="1">
        <v>3</v>
      </c>
      <c r="E468" s="3">
        <v>40148.486805555556</v>
      </c>
      <c r="F468" s="1">
        <v>4.95</v>
      </c>
      <c r="G468" s="1">
        <v>14911</v>
      </c>
      <c r="H468" s="1" t="s">
        <v>418</v>
      </c>
      <c r="I468" s="1">
        <f t="shared" si="1"/>
        <v>14.850000000000001</v>
      </c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2">
      <c r="A469" s="1">
        <v>489520</v>
      </c>
      <c r="B469" s="1">
        <v>21523</v>
      </c>
      <c r="C469" s="1" t="s">
        <v>19</v>
      </c>
      <c r="D469" s="1">
        <v>2</v>
      </c>
      <c r="E469" s="3">
        <v>40148.486805555556</v>
      </c>
      <c r="F469" s="1">
        <v>6.75</v>
      </c>
      <c r="G469" s="1">
        <v>14911</v>
      </c>
      <c r="H469" s="1" t="s">
        <v>418</v>
      </c>
      <c r="I469" s="1">
        <f t="shared" si="1"/>
        <v>13.5</v>
      </c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2">
      <c r="A470" s="1">
        <v>489520</v>
      </c>
      <c r="B470" s="1">
        <v>48187</v>
      </c>
      <c r="C470" s="1" t="s">
        <v>439</v>
      </c>
      <c r="D470" s="1">
        <v>2</v>
      </c>
      <c r="E470" s="3">
        <v>40148.486805555556</v>
      </c>
      <c r="F470" s="1">
        <v>6.75</v>
      </c>
      <c r="G470" s="1">
        <v>14911</v>
      </c>
      <c r="H470" s="1" t="s">
        <v>418</v>
      </c>
      <c r="I470" s="1">
        <f t="shared" si="1"/>
        <v>13.5</v>
      </c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2">
      <c r="A471" s="1">
        <v>489520</v>
      </c>
      <c r="B471" s="1">
        <v>48195</v>
      </c>
      <c r="C471" s="1" t="s">
        <v>440</v>
      </c>
      <c r="D471" s="1">
        <v>2</v>
      </c>
      <c r="E471" s="3">
        <v>40148.486805555556</v>
      </c>
      <c r="F471" s="1">
        <v>6.75</v>
      </c>
      <c r="G471" s="1">
        <v>14911</v>
      </c>
      <c r="H471" s="1" t="s">
        <v>418</v>
      </c>
      <c r="I471" s="1">
        <f t="shared" si="1"/>
        <v>13.5</v>
      </c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2">
      <c r="A472" s="1">
        <v>489521</v>
      </c>
      <c r="B472" s="1">
        <v>21646</v>
      </c>
      <c r="D472" s="1">
        <v>-50</v>
      </c>
      <c r="E472" s="3">
        <v>40148.488888888889</v>
      </c>
      <c r="F472" s="1">
        <v>0</v>
      </c>
      <c r="H472" s="1" t="s">
        <v>10</v>
      </c>
      <c r="I472" s="1">
        <f t="shared" si="1"/>
        <v>0</v>
      </c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2">
      <c r="A473" s="1">
        <v>489522</v>
      </c>
      <c r="B473" s="1">
        <v>21829</v>
      </c>
      <c r="C473" s="1" t="s">
        <v>441</v>
      </c>
      <c r="D473" s="1">
        <v>36</v>
      </c>
      <c r="E473" s="3">
        <v>40148.489583333336</v>
      </c>
      <c r="F473" s="1">
        <v>0.21</v>
      </c>
      <c r="G473" s="1">
        <v>15998</v>
      </c>
      <c r="H473" s="1" t="s">
        <v>10</v>
      </c>
      <c r="I473" s="1">
        <f t="shared" si="1"/>
        <v>7.56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2">
      <c r="A474" s="1">
        <v>489522</v>
      </c>
      <c r="B474" s="1">
        <v>21495</v>
      </c>
      <c r="C474" s="1" t="s">
        <v>442</v>
      </c>
      <c r="D474" s="1">
        <v>25</v>
      </c>
      <c r="E474" s="3">
        <v>40148.489583333336</v>
      </c>
      <c r="F474" s="1">
        <v>0.42</v>
      </c>
      <c r="G474" s="1">
        <v>15998</v>
      </c>
      <c r="H474" s="1" t="s">
        <v>10</v>
      </c>
      <c r="I474" s="1">
        <f t="shared" si="1"/>
        <v>10.5</v>
      </c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2">
      <c r="A475" s="1">
        <v>489522</v>
      </c>
      <c r="B475" s="1">
        <v>22130</v>
      </c>
      <c r="C475" s="1" t="s">
        <v>47</v>
      </c>
      <c r="D475" s="1">
        <v>24</v>
      </c>
      <c r="E475" s="3">
        <v>40148.489583333336</v>
      </c>
      <c r="F475" s="1">
        <v>0.85</v>
      </c>
      <c r="G475" s="1">
        <v>15998</v>
      </c>
      <c r="H475" s="1" t="s">
        <v>10</v>
      </c>
      <c r="I475" s="1">
        <f t="shared" si="1"/>
        <v>20.399999999999999</v>
      </c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2">
      <c r="A476" s="1">
        <v>489522</v>
      </c>
      <c r="B476" s="1">
        <v>21833</v>
      </c>
      <c r="C476" s="1" t="s">
        <v>443</v>
      </c>
      <c r="D476" s="1">
        <v>12</v>
      </c>
      <c r="E476" s="3">
        <v>40148.489583333336</v>
      </c>
      <c r="F476" s="1">
        <v>1.69</v>
      </c>
      <c r="G476" s="1">
        <v>15998</v>
      </c>
      <c r="H476" s="1" t="s">
        <v>10</v>
      </c>
      <c r="I476" s="1">
        <f t="shared" si="1"/>
        <v>20.28</v>
      </c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2">
      <c r="A477" s="1">
        <v>489522</v>
      </c>
      <c r="B477" s="1">
        <v>21639</v>
      </c>
      <c r="C477" s="1" t="s">
        <v>444</v>
      </c>
      <c r="D477" s="1">
        <v>10</v>
      </c>
      <c r="E477" s="3">
        <v>40148.489583333336</v>
      </c>
      <c r="F477" s="1">
        <v>0.85</v>
      </c>
      <c r="G477" s="1">
        <v>15998</v>
      </c>
      <c r="H477" s="1" t="s">
        <v>10</v>
      </c>
      <c r="I477" s="1">
        <f t="shared" si="1"/>
        <v>8.5</v>
      </c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2">
      <c r="A478" s="1">
        <v>489522</v>
      </c>
      <c r="B478" s="1">
        <v>22197</v>
      </c>
      <c r="C478" s="1" t="s">
        <v>445</v>
      </c>
      <c r="D478" s="1">
        <v>10</v>
      </c>
      <c r="E478" s="3">
        <v>40148.489583333336</v>
      </c>
      <c r="F478" s="1">
        <v>0.85</v>
      </c>
      <c r="G478" s="1">
        <v>15998</v>
      </c>
      <c r="H478" s="1" t="s">
        <v>10</v>
      </c>
      <c r="I478" s="1">
        <f t="shared" si="1"/>
        <v>8.5</v>
      </c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2">
      <c r="A479" s="1">
        <v>489522</v>
      </c>
      <c r="B479" s="1">
        <v>21086</v>
      </c>
      <c r="C479" s="1" t="s">
        <v>446</v>
      </c>
      <c r="D479" s="1">
        <v>8</v>
      </c>
      <c r="E479" s="3">
        <v>40148.489583333336</v>
      </c>
      <c r="F479" s="1">
        <v>0.65</v>
      </c>
      <c r="G479" s="1">
        <v>15998</v>
      </c>
      <c r="H479" s="1" t="s">
        <v>10</v>
      </c>
      <c r="I479" s="1">
        <f t="shared" si="1"/>
        <v>5.2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2">
      <c r="A480" s="1">
        <v>489522</v>
      </c>
      <c r="B480" s="1">
        <v>21136</v>
      </c>
      <c r="C480" s="1" t="s">
        <v>447</v>
      </c>
      <c r="D480" s="1">
        <v>8</v>
      </c>
      <c r="E480" s="3">
        <v>40148.489583333336</v>
      </c>
      <c r="F480" s="1">
        <v>1.69</v>
      </c>
      <c r="G480" s="1">
        <v>15998</v>
      </c>
      <c r="H480" s="1" t="s">
        <v>10</v>
      </c>
      <c r="I480" s="1">
        <f t="shared" si="1"/>
        <v>13.52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2">
      <c r="A481" s="1">
        <v>489522</v>
      </c>
      <c r="B481" s="1">
        <v>84879</v>
      </c>
      <c r="C481" s="1" t="s">
        <v>26</v>
      </c>
      <c r="D481" s="1">
        <v>8</v>
      </c>
      <c r="E481" s="3">
        <v>40148.489583333336</v>
      </c>
      <c r="F481" s="1">
        <v>1.69</v>
      </c>
      <c r="G481" s="1">
        <v>15998</v>
      </c>
      <c r="H481" s="1" t="s">
        <v>10</v>
      </c>
      <c r="I481" s="1">
        <f t="shared" si="1"/>
        <v>13.52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x14ac:dyDescent="0.2">
      <c r="A482" s="1">
        <v>489522</v>
      </c>
      <c r="B482" s="1">
        <v>21143</v>
      </c>
      <c r="C482" s="1" t="s">
        <v>448</v>
      </c>
      <c r="D482" s="1">
        <v>7</v>
      </c>
      <c r="E482" s="3">
        <v>40148.489583333336</v>
      </c>
      <c r="F482" s="1">
        <v>1.95</v>
      </c>
      <c r="G482" s="1">
        <v>15998</v>
      </c>
      <c r="H482" s="1" t="s">
        <v>10</v>
      </c>
      <c r="I482" s="1">
        <f t="shared" si="1"/>
        <v>13.65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2">
      <c r="A483" s="1">
        <v>489522</v>
      </c>
      <c r="B483" s="1">
        <v>72724</v>
      </c>
      <c r="C483" s="1" t="s">
        <v>449</v>
      </c>
      <c r="D483" s="1">
        <v>7</v>
      </c>
      <c r="E483" s="3">
        <v>40148.489583333336</v>
      </c>
      <c r="F483" s="1">
        <v>1.25</v>
      </c>
      <c r="G483" s="1">
        <v>15998</v>
      </c>
      <c r="H483" s="1" t="s">
        <v>10</v>
      </c>
      <c r="I483" s="1">
        <f t="shared" si="1"/>
        <v>8.75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2">
      <c r="A484" s="1">
        <v>489522</v>
      </c>
      <c r="B484" s="1">
        <v>10133</v>
      </c>
      <c r="C484" s="1" t="s">
        <v>450</v>
      </c>
      <c r="D484" s="1">
        <v>6</v>
      </c>
      <c r="E484" s="3">
        <v>40148.489583333336</v>
      </c>
      <c r="F484" s="1">
        <v>0.85</v>
      </c>
      <c r="G484" s="1">
        <v>15998</v>
      </c>
      <c r="H484" s="1" t="s">
        <v>10</v>
      </c>
      <c r="I484" s="1">
        <f t="shared" si="1"/>
        <v>5.0999999999999996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2">
      <c r="A485" s="1">
        <v>489522</v>
      </c>
      <c r="B485" s="1">
        <v>20987</v>
      </c>
      <c r="C485" s="1" t="s">
        <v>451</v>
      </c>
      <c r="D485" s="1">
        <v>6</v>
      </c>
      <c r="E485" s="3">
        <v>40148.489583333336</v>
      </c>
      <c r="F485" s="1">
        <v>1.95</v>
      </c>
      <c r="G485" s="1">
        <v>15998</v>
      </c>
      <c r="H485" s="1" t="s">
        <v>10</v>
      </c>
      <c r="I485" s="1">
        <f t="shared" si="1"/>
        <v>11.7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2">
      <c r="A486" s="1">
        <v>489522</v>
      </c>
      <c r="B486" s="1">
        <v>21638</v>
      </c>
      <c r="C486" s="1" t="s">
        <v>452</v>
      </c>
      <c r="D486" s="1">
        <v>6</v>
      </c>
      <c r="E486" s="3">
        <v>40148.489583333336</v>
      </c>
      <c r="F486" s="1">
        <v>2.1</v>
      </c>
      <c r="G486" s="1">
        <v>15998</v>
      </c>
      <c r="H486" s="1" t="s">
        <v>10</v>
      </c>
      <c r="I486" s="1">
        <f t="shared" si="1"/>
        <v>12.600000000000001</v>
      </c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2">
      <c r="A487" s="1">
        <v>489522</v>
      </c>
      <c r="B487" s="1">
        <v>22127</v>
      </c>
      <c r="C487" s="1" t="s">
        <v>453</v>
      </c>
      <c r="D487" s="1">
        <v>6</v>
      </c>
      <c r="E487" s="3">
        <v>40148.489583333336</v>
      </c>
      <c r="F487" s="1">
        <v>1.25</v>
      </c>
      <c r="G487" s="1">
        <v>15998</v>
      </c>
      <c r="H487" s="1" t="s">
        <v>10</v>
      </c>
      <c r="I487" s="1">
        <f t="shared" si="1"/>
        <v>7.5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2">
      <c r="A488" s="1">
        <v>489522</v>
      </c>
      <c r="B488" s="1">
        <v>22154</v>
      </c>
      <c r="C488" s="1" t="s">
        <v>454</v>
      </c>
      <c r="D488" s="1">
        <v>6</v>
      </c>
      <c r="E488" s="3">
        <v>40148.489583333336</v>
      </c>
      <c r="F488" s="1">
        <v>0.42</v>
      </c>
      <c r="G488" s="1">
        <v>15998</v>
      </c>
      <c r="H488" s="1" t="s">
        <v>10</v>
      </c>
      <c r="I488" s="1">
        <f t="shared" si="1"/>
        <v>2.52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2">
      <c r="A489" s="1">
        <v>489522</v>
      </c>
      <c r="B489" s="1">
        <v>22155</v>
      </c>
      <c r="C489" s="1" t="s">
        <v>455</v>
      </c>
      <c r="D489" s="1">
        <v>6</v>
      </c>
      <c r="E489" s="3">
        <v>40148.489583333336</v>
      </c>
      <c r="F489" s="1">
        <v>0.42</v>
      </c>
      <c r="G489" s="1">
        <v>15998</v>
      </c>
      <c r="H489" s="1" t="s">
        <v>10</v>
      </c>
      <c r="I489" s="1">
        <f t="shared" si="1"/>
        <v>2.52</v>
      </c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2">
      <c r="A490" s="1">
        <v>489522</v>
      </c>
      <c r="B490" s="1">
        <v>22294</v>
      </c>
      <c r="C490" s="1" t="s">
        <v>175</v>
      </c>
      <c r="D490" s="1">
        <v>6</v>
      </c>
      <c r="E490" s="3">
        <v>40148.489583333336</v>
      </c>
      <c r="F490" s="1">
        <v>1.25</v>
      </c>
      <c r="G490" s="1">
        <v>15998</v>
      </c>
      <c r="H490" s="1" t="s">
        <v>10</v>
      </c>
      <c r="I490" s="1">
        <f t="shared" si="1"/>
        <v>7.5</v>
      </c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2">
      <c r="A491" s="1">
        <v>489522</v>
      </c>
      <c r="B491" s="1">
        <v>21133</v>
      </c>
      <c r="C491" s="1" t="s">
        <v>378</v>
      </c>
      <c r="D491" s="1">
        <v>6</v>
      </c>
      <c r="E491" s="3">
        <v>40148.489583333336</v>
      </c>
      <c r="F491" s="1">
        <v>1.69</v>
      </c>
      <c r="G491" s="1">
        <v>15998</v>
      </c>
      <c r="H491" s="1" t="s">
        <v>10</v>
      </c>
      <c r="I491" s="1">
        <f t="shared" si="1"/>
        <v>10.14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x14ac:dyDescent="0.2">
      <c r="A492" s="1">
        <v>489522</v>
      </c>
      <c r="B492" s="1">
        <v>21587</v>
      </c>
      <c r="C492" s="1" t="s">
        <v>456</v>
      </c>
      <c r="D492" s="1">
        <v>6</v>
      </c>
      <c r="E492" s="3">
        <v>40148.489583333336</v>
      </c>
      <c r="F492" s="1">
        <v>2.5499999999999998</v>
      </c>
      <c r="G492" s="1">
        <v>15998</v>
      </c>
      <c r="H492" s="1" t="s">
        <v>10</v>
      </c>
      <c r="I492" s="1">
        <f t="shared" si="1"/>
        <v>15.299999999999999</v>
      </c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2">
      <c r="A493" s="1">
        <v>489522</v>
      </c>
      <c r="B493" s="1">
        <v>21818</v>
      </c>
      <c r="C493" s="1" t="s">
        <v>457</v>
      </c>
      <c r="D493" s="1">
        <v>6</v>
      </c>
      <c r="E493" s="3">
        <v>40148.489583333336</v>
      </c>
      <c r="F493" s="1">
        <v>0.85</v>
      </c>
      <c r="G493" s="1">
        <v>15998</v>
      </c>
      <c r="H493" s="1" t="s">
        <v>10</v>
      </c>
      <c r="I493" s="1">
        <f t="shared" si="1"/>
        <v>5.0999999999999996</v>
      </c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2">
      <c r="A494" s="1">
        <v>489522</v>
      </c>
      <c r="B494" s="1">
        <v>21819</v>
      </c>
      <c r="C494" s="1" t="s">
        <v>458</v>
      </c>
      <c r="D494" s="1">
        <v>6</v>
      </c>
      <c r="E494" s="3">
        <v>40148.489583333336</v>
      </c>
      <c r="F494" s="1">
        <v>0.85</v>
      </c>
      <c r="G494" s="1">
        <v>15998</v>
      </c>
      <c r="H494" s="1" t="s">
        <v>10</v>
      </c>
      <c r="I494" s="1">
        <f t="shared" si="1"/>
        <v>5.0999999999999996</v>
      </c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2">
      <c r="A495" s="1">
        <v>489522</v>
      </c>
      <c r="B495" s="1">
        <v>21817</v>
      </c>
      <c r="C495" s="1" t="s">
        <v>459</v>
      </c>
      <c r="D495" s="1">
        <v>6</v>
      </c>
      <c r="E495" s="3">
        <v>40148.489583333336</v>
      </c>
      <c r="F495" s="1">
        <v>0.85</v>
      </c>
      <c r="G495" s="1">
        <v>15998</v>
      </c>
      <c r="H495" s="1" t="s">
        <v>10</v>
      </c>
      <c r="I495" s="1">
        <f t="shared" si="1"/>
        <v>5.0999999999999996</v>
      </c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2">
      <c r="A496" s="1">
        <v>489522</v>
      </c>
      <c r="B496" s="1">
        <v>10135</v>
      </c>
      <c r="C496" s="1" t="s">
        <v>450</v>
      </c>
      <c r="D496" s="1">
        <v>6</v>
      </c>
      <c r="E496" s="3">
        <v>40148.489583333336</v>
      </c>
      <c r="F496" s="1">
        <v>1.25</v>
      </c>
      <c r="G496" s="1">
        <v>15998</v>
      </c>
      <c r="H496" s="1" t="s">
        <v>10</v>
      </c>
      <c r="I496" s="1">
        <f t="shared" si="1"/>
        <v>7.5</v>
      </c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2">
      <c r="A497" s="1">
        <v>489522</v>
      </c>
      <c r="B497" s="1">
        <v>21948</v>
      </c>
      <c r="C497" s="1" t="s">
        <v>460</v>
      </c>
      <c r="D497" s="1">
        <v>6</v>
      </c>
      <c r="E497" s="3">
        <v>40148.489583333336</v>
      </c>
      <c r="F497" s="1">
        <v>1.25</v>
      </c>
      <c r="G497" s="1">
        <v>15998</v>
      </c>
      <c r="H497" s="1" t="s">
        <v>10</v>
      </c>
      <c r="I497" s="1">
        <f t="shared" si="1"/>
        <v>7.5</v>
      </c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2">
      <c r="A498" s="1">
        <v>489522</v>
      </c>
      <c r="B498" s="1">
        <v>22103</v>
      </c>
      <c r="C498" s="1" t="s">
        <v>461</v>
      </c>
      <c r="D498" s="1">
        <v>6</v>
      </c>
      <c r="E498" s="3">
        <v>40148.489583333336</v>
      </c>
      <c r="F498" s="1">
        <v>1.65</v>
      </c>
      <c r="G498" s="1">
        <v>15998</v>
      </c>
      <c r="H498" s="1" t="s">
        <v>10</v>
      </c>
      <c r="I498" s="1">
        <f t="shared" si="1"/>
        <v>9.8999999999999986</v>
      </c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2">
      <c r="A499" s="1">
        <v>489522</v>
      </c>
      <c r="B499" s="1">
        <v>37424</v>
      </c>
      <c r="C499" s="1" t="s">
        <v>462</v>
      </c>
      <c r="D499" s="1">
        <v>6</v>
      </c>
      <c r="E499" s="3">
        <v>40148.489583333336</v>
      </c>
      <c r="F499" s="1">
        <v>0.85</v>
      </c>
      <c r="G499" s="1">
        <v>15998</v>
      </c>
      <c r="H499" s="1" t="s">
        <v>10</v>
      </c>
      <c r="I499" s="1">
        <f t="shared" si="1"/>
        <v>5.0999999999999996</v>
      </c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2">
      <c r="A500" s="1">
        <v>489522</v>
      </c>
      <c r="B500" s="1">
        <v>79341</v>
      </c>
      <c r="C500" s="1" t="s">
        <v>463</v>
      </c>
      <c r="D500" s="1">
        <v>6</v>
      </c>
      <c r="E500" s="3">
        <v>40148.489583333336</v>
      </c>
      <c r="F500" s="1">
        <v>6.75</v>
      </c>
      <c r="G500" s="1">
        <v>15998</v>
      </c>
      <c r="H500" s="1" t="s">
        <v>10</v>
      </c>
      <c r="I500" s="1">
        <f t="shared" si="1"/>
        <v>40.5</v>
      </c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2">
      <c r="A501" s="1">
        <v>489522</v>
      </c>
      <c r="B501" s="1">
        <v>21832</v>
      </c>
      <c r="C501" s="1" t="s">
        <v>464</v>
      </c>
      <c r="D501" s="1">
        <v>5</v>
      </c>
      <c r="E501" s="3">
        <v>40148.489583333336</v>
      </c>
      <c r="F501" s="1">
        <v>1.65</v>
      </c>
      <c r="G501" s="1">
        <v>15998</v>
      </c>
      <c r="H501" s="1" t="s">
        <v>10</v>
      </c>
      <c r="I501" s="1">
        <f t="shared" si="1"/>
        <v>8.25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2">
      <c r="A502" s="1">
        <v>489522</v>
      </c>
      <c r="B502" s="1">
        <v>22113</v>
      </c>
      <c r="C502" s="1" t="s">
        <v>465</v>
      </c>
      <c r="D502" s="1">
        <v>4</v>
      </c>
      <c r="E502" s="3">
        <v>40148.489583333336</v>
      </c>
      <c r="F502" s="1">
        <v>3.45</v>
      </c>
      <c r="G502" s="1">
        <v>15998</v>
      </c>
      <c r="H502" s="1" t="s">
        <v>10</v>
      </c>
      <c r="I502" s="1">
        <f t="shared" si="1"/>
        <v>13.8</v>
      </c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2">
      <c r="A503" s="1">
        <v>489522</v>
      </c>
      <c r="B503" s="1">
        <v>16225</v>
      </c>
      <c r="C503" s="1" t="s">
        <v>466</v>
      </c>
      <c r="D503" s="1">
        <v>4</v>
      </c>
      <c r="E503" s="3">
        <v>40148.489583333336</v>
      </c>
      <c r="F503" s="1">
        <v>1.25</v>
      </c>
      <c r="G503" s="1">
        <v>15998</v>
      </c>
      <c r="H503" s="1" t="s">
        <v>10</v>
      </c>
      <c r="I503" s="1">
        <f t="shared" si="1"/>
        <v>5</v>
      </c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2">
      <c r="A504" s="1">
        <v>489522</v>
      </c>
      <c r="B504" s="1">
        <v>21586</v>
      </c>
      <c r="C504" s="1" t="s">
        <v>130</v>
      </c>
      <c r="D504" s="1">
        <v>4</v>
      </c>
      <c r="E504" s="3">
        <v>40148.489583333336</v>
      </c>
      <c r="F504" s="1">
        <v>2.5499999999999998</v>
      </c>
      <c r="G504" s="1">
        <v>15998</v>
      </c>
      <c r="H504" s="1" t="s">
        <v>10</v>
      </c>
      <c r="I504" s="1">
        <f t="shared" si="1"/>
        <v>10.199999999999999</v>
      </c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2">
      <c r="A505" s="1">
        <v>489522</v>
      </c>
      <c r="B505" s="1">
        <v>22125</v>
      </c>
      <c r="C505" s="1" t="s">
        <v>181</v>
      </c>
      <c r="D505" s="1">
        <v>4</v>
      </c>
      <c r="E505" s="3">
        <v>40148.489583333336</v>
      </c>
      <c r="F505" s="1">
        <v>5.95</v>
      </c>
      <c r="G505" s="1">
        <v>15998</v>
      </c>
      <c r="H505" s="1" t="s">
        <v>10</v>
      </c>
      <c r="I505" s="1">
        <f t="shared" si="1"/>
        <v>23.8</v>
      </c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2">
      <c r="A506" s="1">
        <v>489522</v>
      </c>
      <c r="B506" s="1">
        <v>21094</v>
      </c>
      <c r="C506" s="1" t="s">
        <v>467</v>
      </c>
      <c r="D506" s="1">
        <v>4</v>
      </c>
      <c r="E506" s="3">
        <v>40148.489583333336</v>
      </c>
      <c r="F506" s="1">
        <v>0.85</v>
      </c>
      <c r="G506" s="1">
        <v>15998</v>
      </c>
      <c r="H506" s="1" t="s">
        <v>10</v>
      </c>
      <c r="I506" s="1">
        <f t="shared" si="1"/>
        <v>3.4</v>
      </c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2">
      <c r="A507" s="1">
        <v>489522</v>
      </c>
      <c r="B507" s="1">
        <v>21238</v>
      </c>
      <c r="C507" s="1" t="s">
        <v>468</v>
      </c>
      <c r="D507" s="1">
        <v>4</v>
      </c>
      <c r="E507" s="3">
        <v>40148.489583333336</v>
      </c>
      <c r="F507" s="1">
        <v>0.85</v>
      </c>
      <c r="G507" s="1">
        <v>15998</v>
      </c>
      <c r="H507" s="1" t="s">
        <v>10</v>
      </c>
      <c r="I507" s="1">
        <f t="shared" si="1"/>
        <v>3.4</v>
      </c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2">
      <c r="A508" s="1">
        <v>489522</v>
      </c>
      <c r="B508" s="1">
        <v>21240</v>
      </c>
      <c r="C508" s="1" t="s">
        <v>469</v>
      </c>
      <c r="D508" s="1">
        <v>4</v>
      </c>
      <c r="E508" s="3">
        <v>40148.489583333336</v>
      </c>
      <c r="F508" s="1">
        <v>0.85</v>
      </c>
      <c r="G508" s="1">
        <v>15998</v>
      </c>
      <c r="H508" s="1" t="s">
        <v>10</v>
      </c>
      <c r="I508" s="1">
        <f t="shared" si="1"/>
        <v>3.4</v>
      </c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2">
      <c r="A509" s="1">
        <v>489522</v>
      </c>
      <c r="B509" s="1">
        <v>21239</v>
      </c>
      <c r="C509" s="1" t="s">
        <v>470</v>
      </c>
      <c r="D509" s="1">
        <v>4</v>
      </c>
      <c r="E509" s="3">
        <v>40148.489583333336</v>
      </c>
      <c r="F509" s="1">
        <v>0.85</v>
      </c>
      <c r="G509" s="1">
        <v>15998</v>
      </c>
      <c r="H509" s="1" t="s">
        <v>10</v>
      </c>
      <c r="I509" s="1">
        <f t="shared" si="1"/>
        <v>3.4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2">
      <c r="A510" s="1">
        <v>489522</v>
      </c>
      <c r="B510" s="1">
        <v>84007</v>
      </c>
      <c r="C510" s="1" t="s">
        <v>471</v>
      </c>
      <c r="D510" s="1">
        <v>4</v>
      </c>
      <c r="E510" s="3">
        <v>40148.489583333336</v>
      </c>
      <c r="F510" s="1">
        <v>2.5499999999999998</v>
      </c>
      <c r="G510" s="1">
        <v>15998</v>
      </c>
      <c r="H510" s="1" t="s">
        <v>10</v>
      </c>
      <c r="I510" s="1">
        <f t="shared" si="1"/>
        <v>10.199999999999999</v>
      </c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2">
      <c r="A511" s="1">
        <v>489522</v>
      </c>
      <c r="B511" s="1">
        <v>84012</v>
      </c>
      <c r="C511" s="1" t="s">
        <v>472</v>
      </c>
      <c r="D511" s="1">
        <v>4</v>
      </c>
      <c r="E511" s="3">
        <v>40148.489583333336</v>
      </c>
      <c r="F511" s="1">
        <v>2.5499999999999998</v>
      </c>
      <c r="G511" s="1">
        <v>15998</v>
      </c>
      <c r="H511" s="1" t="s">
        <v>10</v>
      </c>
      <c r="I511" s="1">
        <f t="shared" si="1"/>
        <v>10.199999999999999</v>
      </c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x14ac:dyDescent="0.2">
      <c r="A512" s="1">
        <v>489522</v>
      </c>
      <c r="B512" s="1">
        <v>21916</v>
      </c>
      <c r="C512" s="1" t="s">
        <v>126</v>
      </c>
      <c r="D512" s="1">
        <v>3</v>
      </c>
      <c r="E512" s="3">
        <v>40148.489583333336</v>
      </c>
      <c r="F512" s="1">
        <v>0.42</v>
      </c>
      <c r="G512" s="1">
        <v>15998</v>
      </c>
      <c r="H512" s="1" t="s">
        <v>10</v>
      </c>
      <c r="I512" s="1">
        <f t="shared" ref="I512:I766" si="2">D512*F512</f>
        <v>1.26</v>
      </c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2">
      <c r="A513" s="1">
        <v>489522</v>
      </c>
      <c r="B513" s="1">
        <v>21826</v>
      </c>
      <c r="C513" s="1" t="s">
        <v>473</v>
      </c>
      <c r="D513" s="1">
        <v>3</v>
      </c>
      <c r="E513" s="3">
        <v>40148.489583333336</v>
      </c>
      <c r="F513" s="1">
        <v>1.25</v>
      </c>
      <c r="G513" s="1">
        <v>15998</v>
      </c>
      <c r="H513" s="1" t="s">
        <v>10</v>
      </c>
      <c r="I513" s="1">
        <f t="shared" si="2"/>
        <v>3.75</v>
      </c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2">
      <c r="A514" s="1">
        <v>489522</v>
      </c>
      <c r="B514" s="1">
        <v>21827</v>
      </c>
      <c r="C514" s="1" t="s">
        <v>474</v>
      </c>
      <c r="D514" s="1">
        <v>3</v>
      </c>
      <c r="E514" s="3">
        <v>40148.489583333336</v>
      </c>
      <c r="F514" s="1">
        <v>1.25</v>
      </c>
      <c r="G514" s="1">
        <v>15998</v>
      </c>
      <c r="H514" s="1" t="s">
        <v>10</v>
      </c>
      <c r="I514" s="1">
        <f t="shared" si="2"/>
        <v>3.75</v>
      </c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2">
      <c r="A515" s="1">
        <v>489522</v>
      </c>
      <c r="B515" s="1">
        <v>21828</v>
      </c>
      <c r="C515" s="1" t="s">
        <v>475</v>
      </c>
      <c r="D515" s="1">
        <v>3</v>
      </c>
      <c r="E515" s="3">
        <v>40148.489583333336</v>
      </c>
      <c r="F515" s="1">
        <v>1.25</v>
      </c>
      <c r="G515" s="1">
        <v>15998</v>
      </c>
      <c r="H515" s="1" t="s">
        <v>10</v>
      </c>
      <c r="I515" s="1">
        <f t="shared" si="2"/>
        <v>3.75</v>
      </c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2">
      <c r="A516" s="1">
        <v>489522</v>
      </c>
      <c r="B516" s="1">
        <v>22300</v>
      </c>
      <c r="C516" s="1" t="s">
        <v>300</v>
      </c>
      <c r="D516" s="1">
        <v>3</v>
      </c>
      <c r="E516" s="3">
        <v>40148.489583333336</v>
      </c>
      <c r="F516" s="1">
        <v>2.5499999999999998</v>
      </c>
      <c r="G516" s="1">
        <v>15998</v>
      </c>
      <c r="H516" s="1" t="s">
        <v>10</v>
      </c>
      <c r="I516" s="1">
        <f t="shared" si="2"/>
        <v>7.6499999999999995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2">
      <c r="A517" s="1">
        <v>489522</v>
      </c>
      <c r="B517" s="1">
        <v>22301</v>
      </c>
      <c r="C517" s="1" t="s">
        <v>306</v>
      </c>
      <c r="D517" s="1">
        <v>3</v>
      </c>
      <c r="E517" s="3">
        <v>40148.489583333336</v>
      </c>
      <c r="F517" s="1">
        <v>2.5499999999999998</v>
      </c>
      <c r="G517" s="1">
        <v>15998</v>
      </c>
      <c r="H517" s="1" t="s">
        <v>10</v>
      </c>
      <c r="I517" s="1">
        <f t="shared" si="2"/>
        <v>7.6499999999999995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2">
      <c r="A518" s="1">
        <v>489522</v>
      </c>
      <c r="B518" s="1">
        <v>22305</v>
      </c>
      <c r="C518" s="1" t="s">
        <v>476</v>
      </c>
      <c r="D518" s="1">
        <v>3</v>
      </c>
      <c r="E518" s="3">
        <v>40148.489583333336</v>
      </c>
      <c r="F518" s="1">
        <v>2.5499999999999998</v>
      </c>
      <c r="G518" s="1">
        <v>15998</v>
      </c>
      <c r="H518" s="1" t="s">
        <v>10</v>
      </c>
      <c r="I518" s="1">
        <f t="shared" si="2"/>
        <v>7.6499999999999995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2">
      <c r="A519" s="1">
        <v>489522</v>
      </c>
      <c r="B519" s="1">
        <v>22304</v>
      </c>
      <c r="C519" s="1" t="s">
        <v>477</v>
      </c>
      <c r="D519" s="1">
        <v>3</v>
      </c>
      <c r="E519" s="3">
        <v>40148.489583333336</v>
      </c>
      <c r="F519" s="1">
        <v>2.5499999999999998</v>
      </c>
      <c r="G519" s="1">
        <v>15998</v>
      </c>
      <c r="H519" s="1" t="s">
        <v>10</v>
      </c>
      <c r="I519" s="1">
        <f t="shared" si="2"/>
        <v>7.6499999999999995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">
      <c r="A520" s="1">
        <v>489522</v>
      </c>
      <c r="B520" s="1">
        <v>22302</v>
      </c>
      <c r="C520" s="1" t="s">
        <v>478</v>
      </c>
      <c r="D520" s="1">
        <v>3</v>
      </c>
      <c r="E520" s="3">
        <v>40148.489583333336</v>
      </c>
      <c r="F520" s="1">
        <v>2.5499999999999998</v>
      </c>
      <c r="G520" s="1">
        <v>15998</v>
      </c>
      <c r="H520" s="1" t="s">
        <v>10</v>
      </c>
      <c r="I520" s="1">
        <f t="shared" si="2"/>
        <v>7.6499999999999995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2">
      <c r="A521" s="1">
        <v>489522</v>
      </c>
      <c r="B521" s="1">
        <v>22303</v>
      </c>
      <c r="C521" s="1" t="s">
        <v>479</v>
      </c>
      <c r="D521" s="1">
        <v>3</v>
      </c>
      <c r="E521" s="3">
        <v>40148.489583333336</v>
      </c>
      <c r="F521" s="1">
        <v>2.5499999999999998</v>
      </c>
      <c r="G521" s="1">
        <v>15998</v>
      </c>
      <c r="H521" s="1" t="s">
        <v>10</v>
      </c>
      <c r="I521" s="1">
        <f t="shared" si="2"/>
        <v>7.6499999999999995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2">
      <c r="A522" s="1">
        <v>489522</v>
      </c>
      <c r="B522" s="1">
        <v>21888</v>
      </c>
      <c r="C522" s="1" t="s">
        <v>141</v>
      </c>
      <c r="D522" s="1">
        <v>3</v>
      </c>
      <c r="E522" s="3">
        <v>40148.489583333336</v>
      </c>
      <c r="F522" s="1">
        <v>3.75</v>
      </c>
      <c r="G522" s="1">
        <v>15998</v>
      </c>
      <c r="H522" s="1" t="s">
        <v>10</v>
      </c>
      <c r="I522" s="1">
        <f t="shared" si="2"/>
        <v>11.25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2">
      <c r="A523" s="1">
        <v>489522</v>
      </c>
      <c r="B523" s="1">
        <v>21908</v>
      </c>
      <c r="C523" s="1" t="s">
        <v>387</v>
      </c>
      <c r="D523" s="1">
        <v>3</v>
      </c>
      <c r="E523" s="3">
        <v>40148.489583333336</v>
      </c>
      <c r="F523" s="1">
        <v>2.1</v>
      </c>
      <c r="G523" s="1">
        <v>15998</v>
      </c>
      <c r="H523" s="1" t="s">
        <v>10</v>
      </c>
      <c r="I523" s="1">
        <f t="shared" si="2"/>
        <v>6.3000000000000007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2">
      <c r="A524" s="1">
        <v>489522</v>
      </c>
      <c r="B524" s="1">
        <v>21479</v>
      </c>
      <c r="C524" s="1" t="s">
        <v>323</v>
      </c>
      <c r="D524" s="1">
        <v>2</v>
      </c>
      <c r="E524" s="3">
        <v>40148.489583333336</v>
      </c>
      <c r="F524" s="1">
        <v>3.75</v>
      </c>
      <c r="G524" s="1">
        <v>15998</v>
      </c>
      <c r="H524" s="1" t="s">
        <v>10</v>
      </c>
      <c r="I524" s="1">
        <f t="shared" si="2"/>
        <v>7.5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2">
      <c r="A525" s="1">
        <v>489522</v>
      </c>
      <c r="B525" s="1">
        <v>22111</v>
      </c>
      <c r="C525" s="1" t="s">
        <v>24</v>
      </c>
      <c r="D525" s="1">
        <v>2</v>
      </c>
      <c r="E525" s="3">
        <v>40148.489583333336</v>
      </c>
      <c r="F525" s="1">
        <v>4.95</v>
      </c>
      <c r="G525" s="1">
        <v>15998</v>
      </c>
      <c r="H525" s="1" t="s">
        <v>10</v>
      </c>
      <c r="I525" s="1">
        <f t="shared" si="2"/>
        <v>9.9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2">
      <c r="A526" s="1">
        <v>489522</v>
      </c>
      <c r="B526" s="1">
        <v>20989</v>
      </c>
      <c r="C526" s="1" t="s">
        <v>480</v>
      </c>
      <c r="D526" s="1">
        <v>2</v>
      </c>
      <c r="E526" s="3">
        <v>40148.489583333336</v>
      </c>
      <c r="F526" s="1">
        <v>1.95</v>
      </c>
      <c r="G526" s="1">
        <v>15998</v>
      </c>
      <c r="H526" s="1" t="s">
        <v>10</v>
      </c>
      <c r="I526" s="1">
        <f t="shared" si="2"/>
        <v>3.9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2">
      <c r="A527" s="1">
        <v>489522</v>
      </c>
      <c r="B527" s="1">
        <v>21582</v>
      </c>
      <c r="C527" s="1" t="s">
        <v>127</v>
      </c>
      <c r="D527" s="1">
        <v>2</v>
      </c>
      <c r="E527" s="3">
        <v>40148.489583333336</v>
      </c>
      <c r="F527" s="1">
        <v>1.65</v>
      </c>
      <c r="G527" s="1">
        <v>15998</v>
      </c>
      <c r="H527" s="1" t="s">
        <v>10</v>
      </c>
      <c r="I527" s="1">
        <f t="shared" si="2"/>
        <v>3.3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2">
      <c r="A528" s="1">
        <v>489522</v>
      </c>
      <c r="B528" s="1">
        <v>21584</v>
      </c>
      <c r="C528" s="1" t="s">
        <v>354</v>
      </c>
      <c r="D528" s="1">
        <v>2</v>
      </c>
      <c r="E528" s="3">
        <v>40148.489583333336</v>
      </c>
      <c r="F528" s="1">
        <v>1.65</v>
      </c>
      <c r="G528" s="1">
        <v>15998</v>
      </c>
      <c r="H528" s="1" t="s">
        <v>10</v>
      </c>
      <c r="I528" s="1">
        <f t="shared" si="2"/>
        <v>3.3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2">
      <c r="A529" s="1">
        <v>489522</v>
      </c>
      <c r="B529" s="1">
        <v>35400</v>
      </c>
      <c r="C529" s="1" t="s">
        <v>69</v>
      </c>
      <c r="D529" s="1">
        <v>2</v>
      </c>
      <c r="E529" s="3">
        <v>40148.489583333336</v>
      </c>
      <c r="F529" s="1">
        <v>8.9499999999999993</v>
      </c>
      <c r="G529" s="1">
        <v>15998</v>
      </c>
      <c r="H529" s="1" t="s">
        <v>10</v>
      </c>
      <c r="I529" s="1">
        <f t="shared" si="2"/>
        <v>17.899999999999999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2">
      <c r="A530" s="1">
        <v>489522</v>
      </c>
      <c r="B530" s="1">
        <v>21889</v>
      </c>
      <c r="C530" s="1" t="s">
        <v>481</v>
      </c>
      <c r="D530" s="1">
        <v>2</v>
      </c>
      <c r="E530" s="3">
        <v>40148.489583333336</v>
      </c>
      <c r="F530" s="1">
        <v>1.25</v>
      </c>
      <c r="G530" s="1">
        <v>15998</v>
      </c>
      <c r="H530" s="1" t="s">
        <v>10</v>
      </c>
      <c r="I530" s="1">
        <f t="shared" si="2"/>
        <v>2.5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2">
      <c r="A531" s="1">
        <v>489522</v>
      </c>
      <c r="B531" s="1">
        <v>85045</v>
      </c>
      <c r="C531" s="1" t="s">
        <v>482</v>
      </c>
      <c r="D531" s="1">
        <v>2</v>
      </c>
      <c r="E531" s="3">
        <v>40148.489583333336</v>
      </c>
      <c r="F531" s="1">
        <v>4.95</v>
      </c>
      <c r="G531" s="1">
        <v>15998</v>
      </c>
      <c r="H531" s="1" t="s">
        <v>10</v>
      </c>
      <c r="I531" s="1">
        <f t="shared" si="2"/>
        <v>9.9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x14ac:dyDescent="0.2">
      <c r="A532" s="1">
        <v>489522</v>
      </c>
      <c r="B532" s="1">
        <v>85044</v>
      </c>
      <c r="C532" s="1" t="s">
        <v>483</v>
      </c>
      <c r="D532" s="1">
        <v>2</v>
      </c>
      <c r="E532" s="3">
        <v>40148.489583333336</v>
      </c>
      <c r="F532" s="1">
        <v>4.95</v>
      </c>
      <c r="G532" s="1">
        <v>15998</v>
      </c>
      <c r="H532" s="1" t="s">
        <v>10</v>
      </c>
      <c r="I532" s="1">
        <f t="shared" si="2"/>
        <v>9.9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2">
      <c r="A533" s="1">
        <v>489522</v>
      </c>
      <c r="B533" s="1">
        <v>21588</v>
      </c>
      <c r="C533" s="1" t="s">
        <v>484</v>
      </c>
      <c r="D533" s="1">
        <v>2</v>
      </c>
      <c r="E533" s="3">
        <v>40148.489583333336</v>
      </c>
      <c r="F533" s="1">
        <v>2.5499999999999998</v>
      </c>
      <c r="G533" s="1">
        <v>15998</v>
      </c>
      <c r="H533" s="1" t="s">
        <v>10</v>
      </c>
      <c r="I533" s="1">
        <f t="shared" si="2"/>
        <v>5.0999999999999996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2">
      <c r="A534" s="1">
        <v>489522</v>
      </c>
      <c r="B534" s="1">
        <v>47505</v>
      </c>
      <c r="C534" s="1" t="s">
        <v>485</v>
      </c>
      <c r="D534" s="1">
        <v>2</v>
      </c>
      <c r="E534" s="3">
        <v>40148.489583333336</v>
      </c>
      <c r="F534" s="1">
        <v>4.95</v>
      </c>
      <c r="G534" s="1">
        <v>15998</v>
      </c>
      <c r="H534" s="1" t="s">
        <v>10</v>
      </c>
      <c r="I534" s="1">
        <f t="shared" si="2"/>
        <v>9.9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2">
      <c r="A535" s="1">
        <v>489522</v>
      </c>
      <c r="B535" s="1">
        <v>21181</v>
      </c>
      <c r="C535" s="1" t="s">
        <v>34</v>
      </c>
      <c r="D535" s="1">
        <v>2</v>
      </c>
      <c r="E535" s="3">
        <v>40148.489583333336</v>
      </c>
      <c r="F535" s="1">
        <v>2.1</v>
      </c>
      <c r="G535" s="1">
        <v>15998</v>
      </c>
      <c r="H535" s="1" t="s">
        <v>10</v>
      </c>
      <c r="I535" s="1">
        <f t="shared" si="2"/>
        <v>4.2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2">
      <c r="A536" s="1">
        <v>489522</v>
      </c>
      <c r="B536" s="1">
        <v>21166</v>
      </c>
      <c r="C536" s="1" t="s">
        <v>486</v>
      </c>
      <c r="D536" s="1">
        <v>2</v>
      </c>
      <c r="E536" s="3">
        <v>40148.489583333336</v>
      </c>
      <c r="F536" s="1">
        <v>1.95</v>
      </c>
      <c r="G536" s="1">
        <v>15998</v>
      </c>
      <c r="H536" s="1" t="s">
        <v>10</v>
      </c>
      <c r="I536" s="1">
        <f t="shared" si="2"/>
        <v>3.9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2">
      <c r="A537" s="1">
        <v>489522</v>
      </c>
      <c r="B537" s="1">
        <v>21175</v>
      </c>
      <c r="C537" s="1" t="s">
        <v>487</v>
      </c>
      <c r="D537" s="1">
        <v>2</v>
      </c>
      <c r="E537" s="3">
        <v>40148.489583333336</v>
      </c>
      <c r="F537" s="1">
        <v>2.1</v>
      </c>
      <c r="G537" s="1">
        <v>15998</v>
      </c>
      <c r="H537" s="1" t="s">
        <v>10</v>
      </c>
      <c r="I537" s="1">
        <f t="shared" si="2"/>
        <v>4.2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2">
      <c r="A538" s="1">
        <v>489522</v>
      </c>
      <c r="B538" s="1">
        <v>85152</v>
      </c>
      <c r="C538" s="1" t="s">
        <v>389</v>
      </c>
      <c r="D538" s="1">
        <v>2</v>
      </c>
      <c r="E538" s="3">
        <v>40148.489583333336</v>
      </c>
      <c r="F538" s="1">
        <v>2.1</v>
      </c>
      <c r="G538" s="1">
        <v>15998</v>
      </c>
      <c r="H538" s="1" t="s">
        <v>10</v>
      </c>
      <c r="I538" s="1">
        <f t="shared" si="2"/>
        <v>4.2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2">
      <c r="A539" s="1">
        <v>489522</v>
      </c>
      <c r="B539" s="1" t="s">
        <v>488</v>
      </c>
      <c r="C539" s="1" t="s">
        <v>489</v>
      </c>
      <c r="D539" s="1">
        <v>2</v>
      </c>
      <c r="E539" s="3">
        <v>40148.489583333336</v>
      </c>
      <c r="F539" s="1">
        <v>1.25</v>
      </c>
      <c r="G539" s="1">
        <v>15998</v>
      </c>
      <c r="H539" s="1" t="s">
        <v>10</v>
      </c>
      <c r="I539" s="1">
        <f t="shared" si="2"/>
        <v>2.5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2">
      <c r="A540" s="1">
        <v>489522</v>
      </c>
      <c r="B540" s="1" t="s">
        <v>490</v>
      </c>
      <c r="C540" s="1" t="s">
        <v>491</v>
      </c>
      <c r="D540" s="1">
        <v>2</v>
      </c>
      <c r="E540" s="3">
        <v>40148.489583333336</v>
      </c>
      <c r="F540" s="1">
        <v>1.25</v>
      </c>
      <c r="G540" s="1">
        <v>15998</v>
      </c>
      <c r="H540" s="1" t="s">
        <v>10</v>
      </c>
      <c r="I540" s="1">
        <f t="shared" si="2"/>
        <v>2.5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2">
      <c r="A541" s="1">
        <v>489522</v>
      </c>
      <c r="B541" s="1">
        <v>22075</v>
      </c>
      <c r="C541" s="1" t="s">
        <v>492</v>
      </c>
      <c r="D541" s="1">
        <v>2</v>
      </c>
      <c r="E541" s="3">
        <v>40148.489583333336</v>
      </c>
      <c r="F541" s="1">
        <v>1.65</v>
      </c>
      <c r="G541" s="1">
        <v>15998</v>
      </c>
      <c r="H541" s="1" t="s">
        <v>10</v>
      </c>
      <c r="I541" s="1">
        <f t="shared" si="2"/>
        <v>3.3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2">
      <c r="A542" s="1">
        <v>489522</v>
      </c>
      <c r="B542" s="1" t="s">
        <v>282</v>
      </c>
      <c r="C542" s="1" t="s">
        <v>283</v>
      </c>
      <c r="D542" s="1">
        <v>1</v>
      </c>
      <c r="E542" s="3">
        <v>40148.489583333336</v>
      </c>
      <c r="F542" s="1">
        <v>9.9499999999999993</v>
      </c>
      <c r="G542" s="1">
        <v>15998</v>
      </c>
      <c r="H542" s="1" t="s">
        <v>10</v>
      </c>
      <c r="I542" s="1">
        <f t="shared" si="2"/>
        <v>9.9499999999999993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2">
      <c r="A543" s="1">
        <v>489522</v>
      </c>
      <c r="B543" s="1" t="s">
        <v>493</v>
      </c>
      <c r="C543" s="1" t="s">
        <v>494</v>
      </c>
      <c r="D543" s="1">
        <v>1</v>
      </c>
      <c r="E543" s="3">
        <v>40148.489583333336</v>
      </c>
      <c r="F543" s="1">
        <v>4.6500000000000004</v>
      </c>
      <c r="G543" s="1">
        <v>15998</v>
      </c>
      <c r="H543" s="1" t="s">
        <v>10</v>
      </c>
      <c r="I543" s="1">
        <f t="shared" si="2"/>
        <v>4.6500000000000004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2">
      <c r="A544" s="1">
        <v>489522</v>
      </c>
      <c r="B544" s="1">
        <v>20782</v>
      </c>
      <c r="C544" s="1" t="s">
        <v>495</v>
      </c>
      <c r="D544" s="1">
        <v>1</v>
      </c>
      <c r="E544" s="3">
        <v>40148.489583333336</v>
      </c>
      <c r="F544" s="1">
        <v>5.49</v>
      </c>
      <c r="G544" s="1">
        <v>15998</v>
      </c>
      <c r="H544" s="1" t="s">
        <v>10</v>
      </c>
      <c r="I544" s="1">
        <f t="shared" si="2"/>
        <v>5.49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2">
      <c r="A545" s="1">
        <v>489522</v>
      </c>
      <c r="B545" s="1">
        <v>22190</v>
      </c>
      <c r="C545" s="1" t="s">
        <v>496</v>
      </c>
      <c r="D545" s="1">
        <v>1</v>
      </c>
      <c r="E545" s="3">
        <v>40148.489583333336</v>
      </c>
      <c r="F545" s="1">
        <v>2.1</v>
      </c>
      <c r="G545" s="1">
        <v>15998</v>
      </c>
      <c r="H545" s="1" t="s">
        <v>10</v>
      </c>
      <c r="I545" s="1">
        <f t="shared" si="2"/>
        <v>2.1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">
      <c r="A546" s="1">
        <v>489522</v>
      </c>
      <c r="B546" s="1" t="s">
        <v>497</v>
      </c>
      <c r="C546" s="1" t="s">
        <v>498</v>
      </c>
      <c r="D546" s="1">
        <v>1</v>
      </c>
      <c r="E546" s="3">
        <v>40148.489583333336</v>
      </c>
      <c r="F546" s="1">
        <v>3.75</v>
      </c>
      <c r="G546" s="1">
        <v>15998</v>
      </c>
      <c r="H546" s="1" t="s">
        <v>10</v>
      </c>
      <c r="I546" s="1">
        <f t="shared" si="2"/>
        <v>3.75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2">
      <c r="A547" s="1">
        <v>489522</v>
      </c>
      <c r="B547" s="1">
        <v>22114</v>
      </c>
      <c r="C547" s="1" t="s">
        <v>184</v>
      </c>
      <c r="D547" s="1">
        <v>1</v>
      </c>
      <c r="E547" s="3">
        <v>40148.489583333336</v>
      </c>
      <c r="F547" s="1">
        <v>3.95</v>
      </c>
      <c r="G547" s="1">
        <v>15998</v>
      </c>
      <c r="H547" s="1" t="s">
        <v>10</v>
      </c>
      <c r="I547" s="1">
        <f t="shared" si="2"/>
        <v>3.95</v>
      </c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2">
      <c r="A548" s="1">
        <v>489522</v>
      </c>
      <c r="B548" s="1">
        <v>21489</v>
      </c>
      <c r="C548" s="1" t="s">
        <v>499</v>
      </c>
      <c r="D548" s="1">
        <v>1</v>
      </c>
      <c r="E548" s="3">
        <v>40148.489583333336</v>
      </c>
      <c r="F548" s="1">
        <v>3.95</v>
      </c>
      <c r="G548" s="1">
        <v>15998</v>
      </c>
      <c r="H548" s="1" t="s">
        <v>10</v>
      </c>
      <c r="I548" s="1">
        <f t="shared" si="2"/>
        <v>3.95</v>
      </c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">
      <c r="A549" s="1">
        <v>489522</v>
      </c>
      <c r="B549" s="1">
        <v>21868</v>
      </c>
      <c r="C549" s="1" t="s">
        <v>500</v>
      </c>
      <c r="D549" s="1">
        <v>1</v>
      </c>
      <c r="E549" s="3">
        <v>40148.489583333336</v>
      </c>
      <c r="F549" s="1">
        <v>1.25</v>
      </c>
      <c r="G549" s="1">
        <v>15998</v>
      </c>
      <c r="H549" s="1" t="s">
        <v>10</v>
      </c>
      <c r="I549" s="1">
        <f t="shared" si="2"/>
        <v>1.25</v>
      </c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2">
      <c r="A550" s="1">
        <v>489522</v>
      </c>
      <c r="B550" s="1">
        <v>21875</v>
      </c>
      <c r="C550" s="1" t="s">
        <v>501</v>
      </c>
      <c r="D550" s="1">
        <v>1</v>
      </c>
      <c r="E550" s="3">
        <v>40148.489583333336</v>
      </c>
      <c r="F550" s="1">
        <v>1.25</v>
      </c>
      <c r="G550" s="1">
        <v>15998</v>
      </c>
      <c r="H550" s="1" t="s">
        <v>10</v>
      </c>
      <c r="I550" s="1">
        <f t="shared" si="2"/>
        <v>1.25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2">
      <c r="A551" s="1">
        <v>489522</v>
      </c>
      <c r="B551" s="1">
        <v>21869</v>
      </c>
      <c r="C551" s="1" t="s">
        <v>344</v>
      </c>
      <c r="D551" s="1">
        <v>1</v>
      </c>
      <c r="E551" s="3">
        <v>40148.489583333336</v>
      </c>
      <c r="F551" s="1">
        <v>1.25</v>
      </c>
      <c r="G551" s="1">
        <v>15998</v>
      </c>
      <c r="H551" s="1" t="s">
        <v>10</v>
      </c>
      <c r="I551" s="1">
        <f t="shared" si="2"/>
        <v>1.25</v>
      </c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2">
      <c r="A552" s="1">
        <v>489522</v>
      </c>
      <c r="B552" s="1">
        <v>22218</v>
      </c>
      <c r="C552" s="1" t="s">
        <v>502</v>
      </c>
      <c r="D552" s="1">
        <v>1</v>
      </c>
      <c r="E552" s="3">
        <v>40148.489583333336</v>
      </c>
      <c r="F552" s="1">
        <v>4.25</v>
      </c>
      <c r="G552" s="1">
        <v>15998</v>
      </c>
      <c r="H552" s="1" t="s">
        <v>10</v>
      </c>
      <c r="I552" s="1">
        <f t="shared" si="2"/>
        <v>4.25</v>
      </c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2">
      <c r="A553" s="1">
        <v>489522</v>
      </c>
      <c r="B553" s="1">
        <v>22222</v>
      </c>
      <c r="C553" s="1" t="s">
        <v>503</v>
      </c>
      <c r="D553" s="1">
        <v>1</v>
      </c>
      <c r="E553" s="3">
        <v>40148.489583333336</v>
      </c>
      <c r="F553" s="1">
        <v>4.95</v>
      </c>
      <c r="G553" s="1">
        <v>15998</v>
      </c>
      <c r="H553" s="1" t="s">
        <v>10</v>
      </c>
      <c r="I553" s="1">
        <f t="shared" si="2"/>
        <v>4.95</v>
      </c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">
      <c r="A554" s="1">
        <v>489522</v>
      </c>
      <c r="B554" s="1">
        <v>48111</v>
      </c>
      <c r="C554" s="1" t="s">
        <v>504</v>
      </c>
      <c r="D554" s="1">
        <v>1</v>
      </c>
      <c r="E554" s="3">
        <v>40148.489583333336</v>
      </c>
      <c r="F554" s="1">
        <v>6.75</v>
      </c>
      <c r="G554" s="1">
        <v>15998</v>
      </c>
      <c r="H554" s="1" t="s">
        <v>10</v>
      </c>
      <c r="I554" s="1">
        <f t="shared" si="2"/>
        <v>6.75</v>
      </c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2">
      <c r="A555" s="1">
        <v>489522</v>
      </c>
      <c r="B555" s="1">
        <v>20685</v>
      </c>
      <c r="C555" s="1" t="s">
        <v>505</v>
      </c>
      <c r="D555" s="1">
        <v>1</v>
      </c>
      <c r="E555" s="3">
        <v>40148.489583333336</v>
      </c>
      <c r="F555" s="1">
        <v>6.75</v>
      </c>
      <c r="G555" s="1">
        <v>15998</v>
      </c>
      <c r="H555" s="1" t="s">
        <v>10</v>
      </c>
      <c r="I555" s="1">
        <f t="shared" si="2"/>
        <v>6.75</v>
      </c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2">
      <c r="A556" s="1">
        <v>489522</v>
      </c>
      <c r="B556" s="1">
        <v>48194</v>
      </c>
      <c r="C556" s="1" t="s">
        <v>506</v>
      </c>
      <c r="D556" s="1">
        <v>1</v>
      </c>
      <c r="E556" s="3">
        <v>40148.489583333336</v>
      </c>
      <c r="F556" s="1">
        <v>6.75</v>
      </c>
      <c r="G556" s="1">
        <v>15998</v>
      </c>
      <c r="H556" s="1" t="s">
        <v>10</v>
      </c>
      <c r="I556" s="1">
        <f t="shared" si="2"/>
        <v>6.75</v>
      </c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">
      <c r="A557" s="1">
        <v>489522</v>
      </c>
      <c r="B557" s="1" t="s">
        <v>507</v>
      </c>
      <c r="C557" s="1" t="s">
        <v>508</v>
      </c>
      <c r="D557" s="1">
        <v>1</v>
      </c>
      <c r="E557" s="3">
        <v>40148.489583333336</v>
      </c>
      <c r="F557" s="1">
        <v>4.6500000000000004</v>
      </c>
      <c r="G557" s="1">
        <v>15998</v>
      </c>
      <c r="H557" s="1" t="s">
        <v>10</v>
      </c>
      <c r="I557" s="1">
        <f t="shared" si="2"/>
        <v>4.6500000000000004</v>
      </c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2">
      <c r="A558" s="1">
        <v>489522</v>
      </c>
      <c r="B558" s="1">
        <v>20677</v>
      </c>
      <c r="C558" s="1" t="s">
        <v>509</v>
      </c>
      <c r="D558" s="1">
        <v>1</v>
      </c>
      <c r="E558" s="3">
        <v>40148.489583333336</v>
      </c>
      <c r="F558" s="1">
        <v>1.25</v>
      </c>
      <c r="G558" s="1">
        <v>15998</v>
      </c>
      <c r="H558" s="1" t="s">
        <v>10</v>
      </c>
      <c r="I558" s="1">
        <f t="shared" si="2"/>
        <v>1.25</v>
      </c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2">
      <c r="A559" s="1">
        <v>489522</v>
      </c>
      <c r="B559" s="1">
        <v>20676</v>
      </c>
      <c r="C559" s="1" t="s">
        <v>510</v>
      </c>
      <c r="D559" s="1">
        <v>1</v>
      </c>
      <c r="E559" s="3">
        <v>40148.489583333336</v>
      </c>
      <c r="F559" s="1">
        <v>1.25</v>
      </c>
      <c r="G559" s="1">
        <v>15998</v>
      </c>
      <c r="H559" s="1" t="s">
        <v>10</v>
      </c>
      <c r="I559" s="1">
        <f t="shared" si="2"/>
        <v>1.25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2">
      <c r="A560" s="1">
        <v>489522</v>
      </c>
      <c r="B560" s="1">
        <v>20675</v>
      </c>
      <c r="C560" s="1" t="s">
        <v>360</v>
      </c>
      <c r="D560" s="1">
        <v>1</v>
      </c>
      <c r="E560" s="3">
        <v>40148.489583333336</v>
      </c>
      <c r="F560" s="1">
        <v>1.25</v>
      </c>
      <c r="G560" s="1">
        <v>15998</v>
      </c>
      <c r="H560" s="1" t="s">
        <v>10</v>
      </c>
      <c r="I560" s="1">
        <f t="shared" si="2"/>
        <v>1.25</v>
      </c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">
      <c r="A561" s="1">
        <v>489522</v>
      </c>
      <c r="B561" s="1">
        <v>22315</v>
      </c>
      <c r="C561" s="1" t="s">
        <v>511</v>
      </c>
      <c r="D561" s="1">
        <v>1</v>
      </c>
      <c r="E561" s="3">
        <v>40148.489583333336</v>
      </c>
      <c r="F561" s="1">
        <v>1.25</v>
      </c>
      <c r="G561" s="1">
        <v>15998</v>
      </c>
      <c r="H561" s="1" t="s">
        <v>10</v>
      </c>
      <c r="I561" s="1">
        <f t="shared" si="2"/>
        <v>1.25</v>
      </c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2">
      <c r="A562" s="1">
        <v>489522</v>
      </c>
      <c r="B562" s="1">
        <v>21870</v>
      </c>
      <c r="C562" s="1" t="s">
        <v>512</v>
      </c>
      <c r="D562" s="1">
        <v>1</v>
      </c>
      <c r="E562" s="3">
        <v>40148.489583333336</v>
      </c>
      <c r="F562" s="1">
        <v>1.25</v>
      </c>
      <c r="G562" s="1">
        <v>15998</v>
      </c>
      <c r="H562" s="1" t="s">
        <v>10</v>
      </c>
      <c r="I562" s="1">
        <f t="shared" si="2"/>
        <v>1.25</v>
      </c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2">
      <c r="A563" s="1">
        <v>489522</v>
      </c>
      <c r="B563" s="1">
        <v>82600</v>
      </c>
      <c r="C563" s="1" t="s">
        <v>425</v>
      </c>
      <c r="D563" s="1">
        <v>1</v>
      </c>
      <c r="E563" s="3">
        <v>40148.489583333336</v>
      </c>
      <c r="F563" s="1">
        <v>2.1</v>
      </c>
      <c r="G563" s="1">
        <v>15998</v>
      </c>
      <c r="H563" s="1" t="s">
        <v>10</v>
      </c>
      <c r="I563" s="1">
        <f t="shared" si="2"/>
        <v>2.1</v>
      </c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2">
      <c r="A564" s="1">
        <v>489522</v>
      </c>
      <c r="B564" s="1">
        <v>22115</v>
      </c>
      <c r="C564" s="1" t="s">
        <v>513</v>
      </c>
      <c r="D564" s="1">
        <v>1</v>
      </c>
      <c r="E564" s="3">
        <v>40148.489583333336</v>
      </c>
      <c r="F564" s="1">
        <v>2.95</v>
      </c>
      <c r="G564" s="1">
        <v>15998</v>
      </c>
      <c r="H564" s="1" t="s">
        <v>10</v>
      </c>
      <c r="I564" s="1">
        <f t="shared" si="2"/>
        <v>2.95</v>
      </c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2">
      <c r="A565" s="1">
        <v>489522</v>
      </c>
      <c r="B565" s="1">
        <v>21174</v>
      </c>
      <c r="C565" s="1" t="s">
        <v>514</v>
      </c>
      <c r="D565" s="1">
        <v>1</v>
      </c>
      <c r="E565" s="3">
        <v>40148.489583333336</v>
      </c>
      <c r="F565" s="1">
        <v>1.95</v>
      </c>
      <c r="G565" s="1">
        <v>15998</v>
      </c>
      <c r="H565" s="1" t="s">
        <v>10</v>
      </c>
      <c r="I565" s="1">
        <f t="shared" si="2"/>
        <v>1.95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2">
      <c r="A566" s="1">
        <v>489522</v>
      </c>
      <c r="B566" s="1">
        <v>82582</v>
      </c>
      <c r="C566" s="1" t="s">
        <v>33</v>
      </c>
      <c r="D566" s="1">
        <v>1</v>
      </c>
      <c r="E566" s="3">
        <v>40148.489583333336</v>
      </c>
      <c r="F566" s="1">
        <v>2.1</v>
      </c>
      <c r="G566" s="1">
        <v>15998</v>
      </c>
      <c r="H566" s="1" t="s">
        <v>10</v>
      </c>
      <c r="I566" s="1">
        <f t="shared" si="2"/>
        <v>2.1</v>
      </c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">
      <c r="A567" s="1">
        <v>489522</v>
      </c>
      <c r="B567" s="1">
        <v>85150</v>
      </c>
      <c r="C567" s="1" t="s">
        <v>151</v>
      </c>
      <c r="D567" s="1">
        <v>1</v>
      </c>
      <c r="E567" s="3">
        <v>40148.489583333336</v>
      </c>
      <c r="F567" s="1">
        <v>2.5499999999999998</v>
      </c>
      <c r="G567" s="1">
        <v>15998</v>
      </c>
      <c r="H567" s="1" t="s">
        <v>10</v>
      </c>
      <c r="I567" s="1">
        <f t="shared" si="2"/>
        <v>2.5499999999999998</v>
      </c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2">
      <c r="A568" s="1">
        <v>489522</v>
      </c>
      <c r="B568" s="1">
        <v>21755</v>
      </c>
      <c r="C568" s="1" t="s">
        <v>25</v>
      </c>
      <c r="D568" s="1">
        <v>1</v>
      </c>
      <c r="E568" s="3">
        <v>40148.489583333336</v>
      </c>
      <c r="F568" s="1">
        <v>5.95</v>
      </c>
      <c r="G568" s="1">
        <v>15998</v>
      </c>
      <c r="H568" s="1" t="s">
        <v>10</v>
      </c>
      <c r="I568" s="1">
        <f t="shared" si="2"/>
        <v>5.95</v>
      </c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2">
      <c r="A569" s="1">
        <v>489522</v>
      </c>
      <c r="B569" s="1" t="s">
        <v>356</v>
      </c>
      <c r="C569" s="1" t="s">
        <v>357</v>
      </c>
      <c r="D569" s="1">
        <v>1</v>
      </c>
      <c r="E569" s="3">
        <v>40148.489583333336</v>
      </c>
      <c r="F569" s="1">
        <v>3.75</v>
      </c>
      <c r="G569" s="1">
        <v>15998</v>
      </c>
      <c r="H569" s="1" t="s">
        <v>10</v>
      </c>
      <c r="I569" s="1">
        <f t="shared" si="2"/>
        <v>3.75</v>
      </c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">
      <c r="A570" s="1">
        <v>489522</v>
      </c>
      <c r="B570" s="1" t="s">
        <v>289</v>
      </c>
      <c r="C570" s="1" t="s">
        <v>290</v>
      </c>
      <c r="D570" s="1">
        <v>1</v>
      </c>
      <c r="E570" s="3">
        <v>40148.489583333336</v>
      </c>
      <c r="F570" s="1">
        <v>3.75</v>
      </c>
      <c r="G570" s="1">
        <v>15998</v>
      </c>
      <c r="H570" s="1" t="s">
        <v>10</v>
      </c>
      <c r="I570" s="1">
        <f t="shared" si="2"/>
        <v>3.75</v>
      </c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2">
      <c r="A571" s="1">
        <v>489522</v>
      </c>
      <c r="B571" s="1" t="s">
        <v>291</v>
      </c>
      <c r="C571" s="1" t="s">
        <v>292</v>
      </c>
      <c r="D571" s="1">
        <v>1</v>
      </c>
      <c r="E571" s="3">
        <v>40148.489583333336</v>
      </c>
      <c r="F571" s="1">
        <v>3.75</v>
      </c>
      <c r="G571" s="1">
        <v>15998</v>
      </c>
      <c r="H571" s="1" t="s">
        <v>10</v>
      </c>
      <c r="I571" s="1">
        <f t="shared" si="2"/>
        <v>3.75</v>
      </c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2">
      <c r="A572" s="1">
        <v>489522</v>
      </c>
      <c r="B572" s="1">
        <v>22077</v>
      </c>
      <c r="C572" s="1" t="s">
        <v>515</v>
      </c>
      <c r="D572" s="1">
        <v>1</v>
      </c>
      <c r="E572" s="3">
        <v>40148.489583333336</v>
      </c>
      <c r="F572" s="1">
        <v>1.65</v>
      </c>
      <c r="G572" s="1">
        <v>15998</v>
      </c>
      <c r="H572" s="1" t="s">
        <v>10</v>
      </c>
      <c r="I572" s="1">
        <f t="shared" si="2"/>
        <v>1.65</v>
      </c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2">
      <c r="A573" s="1">
        <v>489522</v>
      </c>
      <c r="B573" s="1">
        <v>22076</v>
      </c>
      <c r="C573" s="1" t="s">
        <v>516</v>
      </c>
      <c r="D573" s="1">
        <v>1</v>
      </c>
      <c r="E573" s="3">
        <v>40148.489583333336</v>
      </c>
      <c r="F573" s="1">
        <v>1.65</v>
      </c>
      <c r="G573" s="1">
        <v>15998</v>
      </c>
      <c r="H573" s="1" t="s">
        <v>10</v>
      </c>
      <c r="I573" s="1">
        <f t="shared" si="2"/>
        <v>1.65</v>
      </c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2">
      <c r="A574" s="1">
        <v>489522</v>
      </c>
      <c r="B574" s="1" t="s">
        <v>17</v>
      </c>
      <c r="C574" s="1" t="s">
        <v>18</v>
      </c>
      <c r="D574" s="1">
        <v>1</v>
      </c>
      <c r="E574" s="3">
        <v>40148.489583333336</v>
      </c>
      <c r="F574" s="1">
        <v>6.75</v>
      </c>
      <c r="G574" s="1">
        <v>15998</v>
      </c>
      <c r="H574" s="1" t="s">
        <v>10</v>
      </c>
      <c r="I574" s="1">
        <f t="shared" si="2"/>
        <v>6.75</v>
      </c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2">
      <c r="A575" s="1">
        <v>489522</v>
      </c>
      <c r="B575" s="1" t="s">
        <v>517</v>
      </c>
      <c r="C575" s="1" t="s">
        <v>518</v>
      </c>
      <c r="D575" s="1">
        <v>1</v>
      </c>
      <c r="E575" s="3">
        <v>40148.489583333336</v>
      </c>
      <c r="F575" s="1">
        <v>6.75</v>
      </c>
      <c r="G575" s="1">
        <v>15998</v>
      </c>
      <c r="H575" s="1" t="s">
        <v>10</v>
      </c>
      <c r="I575" s="1">
        <f t="shared" si="2"/>
        <v>6.75</v>
      </c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2">
      <c r="A576" s="1">
        <v>489522</v>
      </c>
      <c r="B576" s="1" t="s">
        <v>519</v>
      </c>
      <c r="C576" s="1" t="s">
        <v>520</v>
      </c>
      <c r="D576" s="1">
        <v>1</v>
      </c>
      <c r="E576" s="3">
        <v>40148.489583333336</v>
      </c>
      <c r="F576" s="1">
        <v>6.75</v>
      </c>
      <c r="G576" s="1">
        <v>15998</v>
      </c>
      <c r="H576" s="1" t="s">
        <v>10</v>
      </c>
      <c r="I576" s="1">
        <f t="shared" si="2"/>
        <v>6.75</v>
      </c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">
      <c r="A577" s="1">
        <v>489523</v>
      </c>
      <c r="B577" s="1">
        <v>84879</v>
      </c>
      <c r="C577" s="1" t="s">
        <v>26</v>
      </c>
      <c r="D577" s="1">
        <v>800</v>
      </c>
      <c r="E577" s="3">
        <v>40148.490277777775</v>
      </c>
      <c r="F577" s="1">
        <v>1.45</v>
      </c>
      <c r="G577" s="1">
        <v>12931</v>
      </c>
      <c r="H577" s="1" t="s">
        <v>10</v>
      </c>
      <c r="I577" s="1">
        <f t="shared" si="2"/>
        <v>1160</v>
      </c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2">
      <c r="A578" s="1" t="s">
        <v>521</v>
      </c>
      <c r="B578" s="1">
        <v>21258</v>
      </c>
      <c r="C578" s="1" t="s">
        <v>330</v>
      </c>
      <c r="D578" s="1">
        <v>-1</v>
      </c>
      <c r="E578" s="3">
        <v>40148.491666666669</v>
      </c>
      <c r="F578" s="1">
        <v>12.75</v>
      </c>
      <c r="G578" s="1">
        <v>15614</v>
      </c>
      <c r="H578" s="1" t="s">
        <v>10</v>
      </c>
      <c r="I578" s="1">
        <f t="shared" si="2"/>
        <v>-12.75</v>
      </c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2">
      <c r="A579" s="1">
        <v>489525</v>
      </c>
      <c r="B579" s="1" t="s">
        <v>522</v>
      </c>
      <c r="C579" s="1" t="s">
        <v>523</v>
      </c>
      <c r="D579" s="1">
        <v>1</v>
      </c>
      <c r="E579" s="3">
        <v>40148.492361111108</v>
      </c>
      <c r="F579" s="1">
        <v>0.55000000000000004</v>
      </c>
      <c r="H579" s="1" t="s">
        <v>10</v>
      </c>
      <c r="I579" s="1">
        <f t="shared" si="2"/>
        <v>0.55000000000000004</v>
      </c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2">
      <c r="A580" s="1">
        <v>489525</v>
      </c>
      <c r="B580" s="1">
        <v>85227</v>
      </c>
      <c r="C580" s="1" t="s">
        <v>524</v>
      </c>
      <c r="D580" s="1">
        <v>1</v>
      </c>
      <c r="E580" s="3">
        <v>40148.492361111108</v>
      </c>
      <c r="F580" s="1">
        <v>0.85</v>
      </c>
      <c r="H580" s="1" t="s">
        <v>10</v>
      </c>
      <c r="I580" s="1">
        <f t="shared" si="2"/>
        <v>0.85</v>
      </c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2">
      <c r="A581" s="1">
        <v>489526</v>
      </c>
      <c r="B581" s="1">
        <v>21498</v>
      </c>
      <c r="C581" s="1" t="s">
        <v>525</v>
      </c>
      <c r="D581" s="1">
        <v>25</v>
      </c>
      <c r="E581" s="3">
        <v>40148.493055555555</v>
      </c>
      <c r="F581" s="1">
        <v>0.42</v>
      </c>
      <c r="G581" s="1">
        <v>12533</v>
      </c>
      <c r="H581" s="1" t="s">
        <v>526</v>
      </c>
      <c r="I581" s="1">
        <f t="shared" si="2"/>
        <v>10.5</v>
      </c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2">
      <c r="A582" s="1">
        <v>489526</v>
      </c>
      <c r="B582" s="1" t="s">
        <v>527</v>
      </c>
      <c r="C582" s="1" t="s">
        <v>528</v>
      </c>
      <c r="D582" s="1">
        <v>25</v>
      </c>
      <c r="E582" s="3">
        <v>40148.493055555555</v>
      </c>
      <c r="F582" s="1">
        <v>0.42</v>
      </c>
      <c r="G582" s="1">
        <v>12533</v>
      </c>
      <c r="H582" s="1" t="s">
        <v>526</v>
      </c>
      <c r="I582" s="1">
        <f t="shared" si="2"/>
        <v>10.5</v>
      </c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2">
      <c r="A583" s="1">
        <v>489526</v>
      </c>
      <c r="B583" s="1">
        <v>21976</v>
      </c>
      <c r="C583" s="1" t="s">
        <v>529</v>
      </c>
      <c r="D583" s="1">
        <v>24</v>
      </c>
      <c r="E583" s="3">
        <v>40148.493055555555</v>
      </c>
      <c r="F583" s="1">
        <v>0.55000000000000004</v>
      </c>
      <c r="G583" s="1">
        <v>12533</v>
      </c>
      <c r="H583" s="1" t="s">
        <v>526</v>
      </c>
      <c r="I583" s="1">
        <f t="shared" si="2"/>
        <v>13.200000000000001</v>
      </c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2">
      <c r="A584" s="1">
        <v>489526</v>
      </c>
      <c r="B584" s="1">
        <v>84948</v>
      </c>
      <c r="C584" s="1" t="s">
        <v>530</v>
      </c>
      <c r="D584" s="1">
        <v>24</v>
      </c>
      <c r="E584" s="3">
        <v>40148.493055555555</v>
      </c>
      <c r="F584" s="1">
        <v>1.65</v>
      </c>
      <c r="G584" s="1">
        <v>12533</v>
      </c>
      <c r="H584" s="1" t="s">
        <v>526</v>
      </c>
      <c r="I584" s="1">
        <f t="shared" si="2"/>
        <v>39.599999999999994</v>
      </c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2">
      <c r="A585" s="1">
        <v>489526</v>
      </c>
      <c r="B585" s="1">
        <v>84836</v>
      </c>
      <c r="C585" s="1" t="s">
        <v>427</v>
      </c>
      <c r="D585" s="1">
        <v>24</v>
      </c>
      <c r="E585" s="3">
        <v>40148.493055555555</v>
      </c>
      <c r="F585" s="1">
        <v>1.25</v>
      </c>
      <c r="G585" s="1">
        <v>12533</v>
      </c>
      <c r="H585" s="1" t="s">
        <v>526</v>
      </c>
      <c r="I585" s="1">
        <f t="shared" si="2"/>
        <v>30</v>
      </c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">
      <c r="A586" s="1">
        <v>489526</v>
      </c>
      <c r="B586" s="1">
        <v>22319</v>
      </c>
      <c r="C586" s="1" t="s">
        <v>355</v>
      </c>
      <c r="D586" s="1">
        <v>24</v>
      </c>
      <c r="E586" s="3">
        <v>40148.493055555555</v>
      </c>
      <c r="F586" s="1">
        <v>0.65</v>
      </c>
      <c r="G586" s="1">
        <v>12533</v>
      </c>
      <c r="H586" s="1" t="s">
        <v>526</v>
      </c>
      <c r="I586" s="1">
        <f t="shared" si="2"/>
        <v>15.600000000000001</v>
      </c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">
      <c r="A587" s="1">
        <v>489526</v>
      </c>
      <c r="B587" s="1">
        <v>22321</v>
      </c>
      <c r="C587" s="1" t="s">
        <v>124</v>
      </c>
      <c r="D587" s="1">
        <v>24</v>
      </c>
      <c r="E587" s="3">
        <v>40148.493055555555</v>
      </c>
      <c r="F587" s="1">
        <v>0.85</v>
      </c>
      <c r="G587" s="1">
        <v>12533</v>
      </c>
      <c r="H587" s="1" t="s">
        <v>526</v>
      </c>
      <c r="I587" s="1">
        <f t="shared" si="2"/>
        <v>20.399999999999999</v>
      </c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2">
      <c r="A588" s="1">
        <v>489526</v>
      </c>
      <c r="B588" s="1">
        <v>21788</v>
      </c>
      <c r="C588" s="1" t="s">
        <v>531</v>
      </c>
      <c r="D588" s="1">
        <v>24</v>
      </c>
      <c r="E588" s="3">
        <v>40148.493055555555</v>
      </c>
      <c r="F588" s="1">
        <v>0.85</v>
      </c>
      <c r="G588" s="1">
        <v>12533</v>
      </c>
      <c r="H588" s="1" t="s">
        <v>526</v>
      </c>
      <c r="I588" s="1">
        <f t="shared" si="2"/>
        <v>20.399999999999999</v>
      </c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2">
      <c r="A589" s="1">
        <v>489526</v>
      </c>
      <c r="B589" s="1">
        <v>21789</v>
      </c>
      <c r="C589" s="1" t="s">
        <v>532</v>
      </c>
      <c r="D589" s="1">
        <v>24</v>
      </c>
      <c r="E589" s="3">
        <v>40148.493055555555</v>
      </c>
      <c r="F589" s="1">
        <v>0.85</v>
      </c>
      <c r="G589" s="1">
        <v>12533</v>
      </c>
      <c r="H589" s="1" t="s">
        <v>526</v>
      </c>
      <c r="I589" s="1">
        <f t="shared" si="2"/>
        <v>20.399999999999999</v>
      </c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2">
      <c r="A590" s="1">
        <v>489526</v>
      </c>
      <c r="B590" s="1">
        <v>84832</v>
      </c>
      <c r="C590" s="1" t="s">
        <v>533</v>
      </c>
      <c r="D590" s="1">
        <v>24</v>
      </c>
      <c r="E590" s="3">
        <v>40148.493055555555</v>
      </c>
      <c r="F590" s="1">
        <v>0.85</v>
      </c>
      <c r="G590" s="1">
        <v>12533</v>
      </c>
      <c r="H590" s="1" t="s">
        <v>526</v>
      </c>
      <c r="I590" s="1">
        <f t="shared" si="2"/>
        <v>20.399999999999999</v>
      </c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2">
      <c r="A591" s="1">
        <v>489526</v>
      </c>
      <c r="B591" s="1">
        <v>21238</v>
      </c>
      <c r="C591" s="1" t="s">
        <v>468</v>
      </c>
      <c r="D591" s="1">
        <v>16</v>
      </c>
      <c r="E591" s="3">
        <v>40148.493055555555</v>
      </c>
      <c r="F591" s="1">
        <v>0.85</v>
      </c>
      <c r="G591" s="1">
        <v>12533</v>
      </c>
      <c r="H591" s="1" t="s">
        <v>526</v>
      </c>
      <c r="I591" s="1">
        <f t="shared" si="2"/>
        <v>13.6</v>
      </c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2">
      <c r="A592" s="1">
        <v>489526</v>
      </c>
      <c r="B592" s="1" t="s">
        <v>490</v>
      </c>
      <c r="C592" s="1" t="s">
        <v>491</v>
      </c>
      <c r="D592" s="1">
        <v>12</v>
      </c>
      <c r="E592" s="3">
        <v>40148.493055555555</v>
      </c>
      <c r="F592" s="1">
        <v>1.25</v>
      </c>
      <c r="G592" s="1">
        <v>12533</v>
      </c>
      <c r="H592" s="1" t="s">
        <v>526</v>
      </c>
      <c r="I592" s="1">
        <f t="shared" si="2"/>
        <v>15</v>
      </c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2">
      <c r="A593" s="1">
        <v>489526</v>
      </c>
      <c r="B593" s="1">
        <v>22077</v>
      </c>
      <c r="C593" s="1" t="s">
        <v>515</v>
      </c>
      <c r="D593" s="1">
        <v>12</v>
      </c>
      <c r="E593" s="3">
        <v>40148.493055555555</v>
      </c>
      <c r="F593" s="1">
        <v>1.65</v>
      </c>
      <c r="G593" s="1">
        <v>12533</v>
      </c>
      <c r="H593" s="1" t="s">
        <v>526</v>
      </c>
      <c r="I593" s="1">
        <f t="shared" si="2"/>
        <v>19.799999999999997</v>
      </c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2">
      <c r="A594" s="1">
        <v>489526</v>
      </c>
      <c r="B594" s="1">
        <v>84946</v>
      </c>
      <c r="C594" s="1" t="s">
        <v>208</v>
      </c>
      <c r="D594" s="1">
        <v>12</v>
      </c>
      <c r="E594" s="3">
        <v>40148.493055555555</v>
      </c>
      <c r="F594" s="1">
        <v>1.25</v>
      </c>
      <c r="G594" s="1">
        <v>12533</v>
      </c>
      <c r="H594" s="1" t="s">
        <v>526</v>
      </c>
      <c r="I594" s="1">
        <f t="shared" si="2"/>
        <v>15</v>
      </c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">
      <c r="A595" s="1">
        <v>489526</v>
      </c>
      <c r="B595" s="1">
        <v>20914</v>
      </c>
      <c r="C595" s="1" t="s">
        <v>534</v>
      </c>
      <c r="D595" s="1">
        <v>12</v>
      </c>
      <c r="E595" s="3">
        <v>40148.493055555555</v>
      </c>
      <c r="F595" s="1">
        <v>2.95</v>
      </c>
      <c r="G595" s="1">
        <v>12533</v>
      </c>
      <c r="H595" s="1" t="s">
        <v>526</v>
      </c>
      <c r="I595" s="1">
        <f t="shared" si="2"/>
        <v>35.400000000000006</v>
      </c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2">
      <c r="A596" s="1">
        <v>489526</v>
      </c>
      <c r="B596" s="1">
        <v>21731</v>
      </c>
      <c r="C596" s="1" t="s">
        <v>103</v>
      </c>
      <c r="D596" s="1">
        <v>12</v>
      </c>
      <c r="E596" s="3">
        <v>40148.493055555555</v>
      </c>
      <c r="F596" s="1">
        <v>1.65</v>
      </c>
      <c r="G596" s="1">
        <v>12533</v>
      </c>
      <c r="H596" s="1" t="s">
        <v>526</v>
      </c>
      <c r="I596" s="1">
        <f t="shared" si="2"/>
        <v>19.799999999999997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2">
      <c r="A597" s="1">
        <v>489526</v>
      </c>
      <c r="B597" s="1">
        <v>22254</v>
      </c>
      <c r="C597" s="1" t="s">
        <v>535</v>
      </c>
      <c r="D597" s="1">
        <v>12</v>
      </c>
      <c r="E597" s="3">
        <v>40148.493055555555</v>
      </c>
      <c r="F597" s="1">
        <v>1.25</v>
      </c>
      <c r="G597" s="1">
        <v>12533</v>
      </c>
      <c r="H597" s="1" t="s">
        <v>526</v>
      </c>
      <c r="I597" s="1">
        <f t="shared" si="2"/>
        <v>15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2">
      <c r="A598" s="1">
        <v>489526</v>
      </c>
      <c r="B598" s="1">
        <v>22255</v>
      </c>
      <c r="C598" s="1" t="s">
        <v>536</v>
      </c>
      <c r="D598" s="1">
        <v>12</v>
      </c>
      <c r="E598" s="3">
        <v>40148.493055555555</v>
      </c>
      <c r="F598" s="1">
        <v>0.85</v>
      </c>
      <c r="G598" s="1">
        <v>12533</v>
      </c>
      <c r="H598" s="1" t="s">
        <v>526</v>
      </c>
      <c r="I598" s="1">
        <f t="shared" si="2"/>
        <v>10.199999999999999</v>
      </c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2">
      <c r="A599" s="1">
        <v>489526</v>
      </c>
      <c r="B599" s="1">
        <v>20718</v>
      </c>
      <c r="C599" s="1" t="s">
        <v>537</v>
      </c>
      <c r="D599" s="1">
        <v>10</v>
      </c>
      <c r="E599" s="3">
        <v>40148.493055555555</v>
      </c>
      <c r="F599" s="1">
        <v>1.25</v>
      </c>
      <c r="G599" s="1">
        <v>12533</v>
      </c>
      <c r="H599" s="1" t="s">
        <v>526</v>
      </c>
      <c r="I599" s="1">
        <f t="shared" si="2"/>
        <v>12.5</v>
      </c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">
      <c r="A600" s="1">
        <v>489526</v>
      </c>
      <c r="B600" s="1" t="s">
        <v>113</v>
      </c>
      <c r="C600" s="1" t="s">
        <v>114</v>
      </c>
      <c r="D600" s="1">
        <v>9</v>
      </c>
      <c r="E600" s="3">
        <v>40148.493055555555</v>
      </c>
      <c r="F600" s="1">
        <v>4.95</v>
      </c>
      <c r="G600" s="1">
        <v>12533</v>
      </c>
      <c r="H600" s="1" t="s">
        <v>526</v>
      </c>
      <c r="I600" s="1">
        <f t="shared" si="2"/>
        <v>44.550000000000004</v>
      </c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2">
      <c r="A601" s="1">
        <v>489526</v>
      </c>
      <c r="B601" s="1">
        <v>22333</v>
      </c>
      <c r="C601" s="1" t="s">
        <v>111</v>
      </c>
      <c r="D601" s="1">
        <v>8</v>
      </c>
      <c r="E601" s="3">
        <v>40148.493055555555</v>
      </c>
      <c r="F601" s="1">
        <v>1.65</v>
      </c>
      <c r="G601" s="1">
        <v>12533</v>
      </c>
      <c r="H601" s="1" t="s">
        <v>526</v>
      </c>
      <c r="I601" s="1">
        <f t="shared" si="2"/>
        <v>13.2</v>
      </c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2">
      <c r="A602" s="1">
        <v>489526</v>
      </c>
      <c r="B602" s="1">
        <v>20676</v>
      </c>
      <c r="C602" s="1" t="s">
        <v>510</v>
      </c>
      <c r="D602" s="1">
        <v>8</v>
      </c>
      <c r="E602" s="3">
        <v>40148.493055555555</v>
      </c>
      <c r="F602" s="1">
        <v>1.25</v>
      </c>
      <c r="G602" s="1">
        <v>12533</v>
      </c>
      <c r="H602" s="1" t="s">
        <v>526</v>
      </c>
      <c r="I602" s="1">
        <f t="shared" si="2"/>
        <v>10</v>
      </c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">
      <c r="A603" s="1">
        <v>489526</v>
      </c>
      <c r="B603" s="1">
        <v>21242</v>
      </c>
      <c r="C603" s="1" t="s">
        <v>538</v>
      </c>
      <c r="D603" s="1">
        <v>8</v>
      </c>
      <c r="E603" s="3">
        <v>40148.493055555555</v>
      </c>
      <c r="F603" s="1">
        <v>1.69</v>
      </c>
      <c r="G603" s="1">
        <v>12533</v>
      </c>
      <c r="H603" s="1" t="s">
        <v>526</v>
      </c>
      <c r="I603" s="1">
        <f t="shared" si="2"/>
        <v>13.52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2">
      <c r="A604" s="1">
        <v>489526</v>
      </c>
      <c r="B604" s="1">
        <v>22232</v>
      </c>
      <c r="C604" s="1" t="s">
        <v>539</v>
      </c>
      <c r="D604" s="1">
        <v>8</v>
      </c>
      <c r="E604" s="3">
        <v>40148.493055555555</v>
      </c>
      <c r="F604" s="1">
        <v>1.65</v>
      </c>
      <c r="G604" s="1">
        <v>12533</v>
      </c>
      <c r="H604" s="1" t="s">
        <v>526</v>
      </c>
      <c r="I604" s="1">
        <f t="shared" si="2"/>
        <v>13.2</v>
      </c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">
      <c r="A605" s="1">
        <v>489526</v>
      </c>
      <c r="B605" s="1">
        <v>21733</v>
      </c>
      <c r="C605" s="1" t="s">
        <v>174</v>
      </c>
      <c r="D605" s="1">
        <v>6</v>
      </c>
      <c r="E605" s="3">
        <v>40148.493055555555</v>
      </c>
      <c r="F605" s="1">
        <v>2.95</v>
      </c>
      <c r="G605" s="1">
        <v>12533</v>
      </c>
      <c r="H605" s="1" t="s">
        <v>526</v>
      </c>
      <c r="I605" s="1">
        <f t="shared" si="2"/>
        <v>17.700000000000003</v>
      </c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2">
      <c r="A606" s="1">
        <v>489526</v>
      </c>
      <c r="B606" s="1" t="s">
        <v>142</v>
      </c>
      <c r="C606" s="1" t="s">
        <v>143</v>
      </c>
      <c r="D606" s="1">
        <v>6</v>
      </c>
      <c r="E606" s="3">
        <v>40148.493055555555</v>
      </c>
      <c r="F606" s="1">
        <v>2.95</v>
      </c>
      <c r="G606" s="1">
        <v>12533</v>
      </c>
      <c r="H606" s="1" t="s">
        <v>526</v>
      </c>
      <c r="I606" s="1">
        <f t="shared" si="2"/>
        <v>17.700000000000003</v>
      </c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2">
      <c r="A607" s="1">
        <v>489526</v>
      </c>
      <c r="B607" s="1">
        <v>21533</v>
      </c>
      <c r="C607" s="1" t="s">
        <v>315</v>
      </c>
      <c r="D607" s="1">
        <v>6</v>
      </c>
      <c r="E607" s="3">
        <v>40148.493055555555</v>
      </c>
      <c r="F607" s="1">
        <v>4.95</v>
      </c>
      <c r="G607" s="1">
        <v>12533</v>
      </c>
      <c r="H607" s="1" t="s">
        <v>526</v>
      </c>
      <c r="I607" s="1">
        <f t="shared" si="2"/>
        <v>29.700000000000003</v>
      </c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">
      <c r="A608" s="1">
        <v>489526</v>
      </c>
      <c r="B608" s="1">
        <v>21531</v>
      </c>
      <c r="C608" s="1" t="s">
        <v>540</v>
      </c>
      <c r="D608" s="1">
        <v>6</v>
      </c>
      <c r="E608" s="3">
        <v>40148.493055555555</v>
      </c>
      <c r="F608" s="1">
        <v>2.5499999999999998</v>
      </c>
      <c r="G608" s="1">
        <v>12533</v>
      </c>
      <c r="H608" s="1" t="s">
        <v>526</v>
      </c>
      <c r="I608" s="1">
        <f t="shared" si="2"/>
        <v>15.299999999999999</v>
      </c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2">
      <c r="A609" s="1">
        <v>489526</v>
      </c>
      <c r="B609" s="1">
        <v>21535</v>
      </c>
      <c r="C609" s="1" t="s">
        <v>541</v>
      </c>
      <c r="D609" s="1">
        <v>6</v>
      </c>
      <c r="E609" s="3">
        <v>40148.493055555555</v>
      </c>
      <c r="F609" s="1">
        <v>2.5499999999999998</v>
      </c>
      <c r="G609" s="1">
        <v>12533</v>
      </c>
      <c r="H609" s="1" t="s">
        <v>526</v>
      </c>
      <c r="I609" s="1">
        <f t="shared" si="2"/>
        <v>15.299999999999999</v>
      </c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2">
      <c r="A610" s="1">
        <v>489526</v>
      </c>
      <c r="B610" s="1">
        <v>21844</v>
      </c>
      <c r="C610" s="1" t="s">
        <v>542</v>
      </c>
      <c r="D610" s="1">
        <v>6</v>
      </c>
      <c r="E610" s="3">
        <v>40148.493055555555</v>
      </c>
      <c r="F610" s="1">
        <v>2.95</v>
      </c>
      <c r="G610" s="1">
        <v>12533</v>
      </c>
      <c r="H610" s="1" t="s">
        <v>526</v>
      </c>
      <c r="I610" s="1">
        <f t="shared" si="2"/>
        <v>17.700000000000003</v>
      </c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">
      <c r="A611" s="1">
        <v>489526</v>
      </c>
      <c r="B611" s="1" t="s">
        <v>543</v>
      </c>
      <c r="C611" s="1" t="s">
        <v>544</v>
      </c>
      <c r="D611" s="1">
        <v>6</v>
      </c>
      <c r="E611" s="3">
        <v>40148.493055555555</v>
      </c>
      <c r="F611" s="1">
        <v>5.95</v>
      </c>
      <c r="G611" s="1">
        <v>12533</v>
      </c>
      <c r="H611" s="1" t="s">
        <v>526</v>
      </c>
      <c r="I611" s="1">
        <f t="shared" si="2"/>
        <v>35.700000000000003</v>
      </c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2">
      <c r="A612" s="1">
        <v>489526</v>
      </c>
      <c r="B612" s="1" t="s">
        <v>545</v>
      </c>
      <c r="C612" s="1" t="s">
        <v>546</v>
      </c>
      <c r="D612" s="1">
        <v>6</v>
      </c>
      <c r="E612" s="3">
        <v>40148.493055555555</v>
      </c>
      <c r="F612" s="1">
        <v>5.95</v>
      </c>
      <c r="G612" s="1">
        <v>12533</v>
      </c>
      <c r="H612" s="1" t="s">
        <v>526</v>
      </c>
      <c r="I612" s="1">
        <f t="shared" si="2"/>
        <v>35.700000000000003</v>
      </c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2">
      <c r="A613" s="1">
        <v>489526</v>
      </c>
      <c r="B613" s="1">
        <v>20682</v>
      </c>
      <c r="C613" s="1" t="s">
        <v>547</v>
      </c>
      <c r="D613" s="1">
        <v>6</v>
      </c>
      <c r="E613" s="3">
        <v>40148.493055555555</v>
      </c>
      <c r="F613" s="1">
        <v>3.25</v>
      </c>
      <c r="G613" s="1">
        <v>12533</v>
      </c>
      <c r="H613" s="1" t="s">
        <v>526</v>
      </c>
      <c r="I613" s="1">
        <f t="shared" si="2"/>
        <v>19.5</v>
      </c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2">
      <c r="A614" s="1">
        <v>489526</v>
      </c>
      <c r="B614" s="1" t="s">
        <v>119</v>
      </c>
      <c r="C614" s="1" t="s">
        <v>120</v>
      </c>
      <c r="D614" s="1">
        <v>6</v>
      </c>
      <c r="E614" s="3">
        <v>40148.493055555555</v>
      </c>
      <c r="F614" s="1">
        <v>18</v>
      </c>
      <c r="G614" s="1">
        <v>12533</v>
      </c>
      <c r="H614" s="1" t="s">
        <v>526</v>
      </c>
      <c r="I614" s="1">
        <f t="shared" si="2"/>
        <v>108</v>
      </c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">
      <c r="A615" s="1">
        <v>489526</v>
      </c>
      <c r="B615" s="1">
        <v>21537</v>
      </c>
      <c r="C615" s="1" t="s">
        <v>548</v>
      </c>
      <c r="D615" s="1">
        <v>4</v>
      </c>
      <c r="E615" s="3">
        <v>40148.493055555555</v>
      </c>
      <c r="F615" s="1">
        <v>4.25</v>
      </c>
      <c r="G615" s="1">
        <v>12533</v>
      </c>
      <c r="H615" s="1" t="s">
        <v>526</v>
      </c>
      <c r="I615" s="1">
        <f t="shared" si="2"/>
        <v>17</v>
      </c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2">
      <c r="A616" s="1">
        <v>489526</v>
      </c>
      <c r="B616" s="1">
        <v>22073</v>
      </c>
      <c r="C616" s="1" t="s">
        <v>549</v>
      </c>
      <c r="D616" s="1">
        <v>4</v>
      </c>
      <c r="E616" s="3">
        <v>40148.493055555555</v>
      </c>
      <c r="F616" s="1">
        <v>3.75</v>
      </c>
      <c r="G616" s="1">
        <v>12533</v>
      </c>
      <c r="H616" s="1" t="s">
        <v>526</v>
      </c>
      <c r="I616" s="1">
        <f t="shared" si="2"/>
        <v>15</v>
      </c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2">
      <c r="A617" s="1">
        <v>489526</v>
      </c>
      <c r="B617" s="1">
        <v>22072</v>
      </c>
      <c r="C617" s="1" t="s">
        <v>550</v>
      </c>
      <c r="D617" s="1">
        <v>4</v>
      </c>
      <c r="E617" s="3">
        <v>40148.493055555555</v>
      </c>
      <c r="F617" s="1">
        <v>3.75</v>
      </c>
      <c r="G617" s="1">
        <v>12533</v>
      </c>
      <c r="H617" s="1" t="s">
        <v>526</v>
      </c>
      <c r="I617" s="1">
        <f t="shared" si="2"/>
        <v>15</v>
      </c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">
      <c r="A618" s="1">
        <v>489526</v>
      </c>
      <c r="B618" s="1">
        <v>21539</v>
      </c>
      <c r="C618" s="1" t="s">
        <v>551</v>
      </c>
      <c r="D618" s="1">
        <v>3</v>
      </c>
      <c r="E618" s="3">
        <v>40148.493055555555</v>
      </c>
      <c r="F618" s="1">
        <v>4.95</v>
      </c>
      <c r="G618" s="1">
        <v>12533</v>
      </c>
      <c r="H618" s="1" t="s">
        <v>526</v>
      </c>
      <c r="I618" s="1">
        <f t="shared" si="2"/>
        <v>14.850000000000001</v>
      </c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2">
      <c r="A619" s="1">
        <v>489526</v>
      </c>
      <c r="B619" s="1">
        <v>22180</v>
      </c>
      <c r="C619" s="1" t="s">
        <v>172</v>
      </c>
      <c r="D619" s="1">
        <v>3</v>
      </c>
      <c r="E619" s="3">
        <v>40148.493055555555</v>
      </c>
      <c r="F619" s="1">
        <v>9.9499999999999993</v>
      </c>
      <c r="G619" s="1">
        <v>12533</v>
      </c>
      <c r="H619" s="1" t="s">
        <v>526</v>
      </c>
      <c r="I619" s="1">
        <f t="shared" si="2"/>
        <v>29.849999999999998</v>
      </c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2">
      <c r="A620" s="1">
        <v>489526</v>
      </c>
      <c r="B620" s="1">
        <v>21217</v>
      </c>
      <c r="C620" s="1" t="s">
        <v>186</v>
      </c>
      <c r="D620" s="1">
        <v>3</v>
      </c>
      <c r="E620" s="3">
        <v>40148.493055555555</v>
      </c>
      <c r="F620" s="1">
        <v>9.9499999999999993</v>
      </c>
      <c r="G620" s="1">
        <v>12533</v>
      </c>
      <c r="H620" s="1" t="s">
        <v>526</v>
      </c>
      <c r="I620" s="1">
        <f t="shared" si="2"/>
        <v>29.849999999999998</v>
      </c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">
      <c r="A621" s="1">
        <v>489526</v>
      </c>
      <c r="B621" s="1">
        <v>20964</v>
      </c>
      <c r="C621" s="1" t="s">
        <v>552</v>
      </c>
      <c r="D621" s="1">
        <v>3</v>
      </c>
      <c r="E621" s="3">
        <v>40148.493055555555</v>
      </c>
      <c r="F621" s="1">
        <v>2.5499999999999998</v>
      </c>
      <c r="G621" s="1">
        <v>12533</v>
      </c>
      <c r="H621" s="1" t="s">
        <v>526</v>
      </c>
      <c r="I621" s="1">
        <f t="shared" si="2"/>
        <v>7.6499999999999995</v>
      </c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2">
      <c r="A622" s="1">
        <v>489526</v>
      </c>
      <c r="B622" s="1" t="s">
        <v>402</v>
      </c>
      <c r="C622" s="1" t="s">
        <v>403</v>
      </c>
      <c r="D622" s="1">
        <v>3</v>
      </c>
      <c r="E622" s="3">
        <v>40148.493055555555</v>
      </c>
      <c r="F622" s="1">
        <v>5.95</v>
      </c>
      <c r="G622" s="1">
        <v>12533</v>
      </c>
      <c r="H622" s="1" t="s">
        <v>526</v>
      </c>
      <c r="I622" s="1">
        <f t="shared" si="2"/>
        <v>17.850000000000001</v>
      </c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2">
      <c r="A623" s="1">
        <v>489526</v>
      </c>
      <c r="B623" s="1">
        <v>21527</v>
      </c>
      <c r="C623" s="1" t="s">
        <v>553</v>
      </c>
      <c r="D623" s="1">
        <v>2</v>
      </c>
      <c r="E623" s="3">
        <v>40148.493055555555</v>
      </c>
      <c r="F623" s="1">
        <v>7.95</v>
      </c>
      <c r="G623" s="1">
        <v>12533</v>
      </c>
      <c r="H623" s="1" t="s">
        <v>526</v>
      </c>
      <c r="I623" s="1">
        <f t="shared" si="2"/>
        <v>15.9</v>
      </c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">
      <c r="A624" s="1">
        <v>489526</v>
      </c>
      <c r="B624" s="1" t="s">
        <v>554</v>
      </c>
      <c r="C624" s="1" t="s">
        <v>555</v>
      </c>
      <c r="D624" s="1">
        <v>2</v>
      </c>
      <c r="E624" s="3">
        <v>40148.493055555555</v>
      </c>
      <c r="F624" s="1">
        <v>1.45</v>
      </c>
      <c r="G624" s="1">
        <v>12533</v>
      </c>
      <c r="H624" s="1" t="s">
        <v>526</v>
      </c>
      <c r="I624" s="1">
        <f t="shared" si="2"/>
        <v>2.9</v>
      </c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2">
      <c r="A625" s="1" t="s">
        <v>556</v>
      </c>
      <c r="B625" s="1">
        <v>21041</v>
      </c>
      <c r="C625" s="1" t="s">
        <v>153</v>
      </c>
      <c r="D625" s="1">
        <v>-3</v>
      </c>
      <c r="E625" s="3">
        <v>40148.493055555555</v>
      </c>
      <c r="F625" s="1">
        <v>2.95</v>
      </c>
      <c r="G625" s="1">
        <v>16128</v>
      </c>
      <c r="H625" s="1" t="s">
        <v>10</v>
      </c>
      <c r="I625" s="1">
        <f t="shared" si="2"/>
        <v>-8.8500000000000014</v>
      </c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2">
      <c r="A626" s="1" t="s">
        <v>556</v>
      </c>
      <c r="B626" s="1" t="s">
        <v>557</v>
      </c>
      <c r="C626" s="1" t="s">
        <v>558</v>
      </c>
      <c r="D626" s="1">
        <v>-6</v>
      </c>
      <c r="E626" s="3">
        <v>40148.493055555555</v>
      </c>
      <c r="F626" s="1">
        <v>2.5499999999999998</v>
      </c>
      <c r="G626" s="1">
        <v>16128</v>
      </c>
      <c r="H626" s="1" t="s">
        <v>10</v>
      </c>
      <c r="I626" s="1">
        <f t="shared" si="2"/>
        <v>-15.299999999999999</v>
      </c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">
      <c r="A627" s="1" t="s">
        <v>556</v>
      </c>
      <c r="B627" s="1">
        <v>21173</v>
      </c>
      <c r="C627" s="1" t="s">
        <v>559</v>
      </c>
      <c r="D627" s="1">
        <v>-12</v>
      </c>
      <c r="E627" s="3">
        <v>40148.493055555555</v>
      </c>
      <c r="F627" s="1">
        <v>1.65</v>
      </c>
      <c r="G627" s="1">
        <v>16128</v>
      </c>
      <c r="H627" s="1" t="s">
        <v>10</v>
      </c>
      <c r="I627" s="1">
        <f t="shared" si="2"/>
        <v>-19.799999999999997</v>
      </c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2">
      <c r="A628" s="1" t="s">
        <v>560</v>
      </c>
      <c r="B628" s="1">
        <v>85048</v>
      </c>
      <c r="C628" s="1" t="s">
        <v>14</v>
      </c>
      <c r="D628" s="1">
        <v>-1</v>
      </c>
      <c r="E628" s="3">
        <v>40148.493055555555</v>
      </c>
      <c r="F628" s="1">
        <v>7.95</v>
      </c>
      <c r="G628" s="1">
        <v>16714</v>
      </c>
      <c r="H628" s="1" t="s">
        <v>10</v>
      </c>
      <c r="I628" s="1">
        <f t="shared" si="2"/>
        <v>-7.95</v>
      </c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2">
      <c r="A629" s="1">
        <v>489529</v>
      </c>
      <c r="B629" s="1" t="s">
        <v>561</v>
      </c>
      <c r="C629" s="1" t="s">
        <v>562</v>
      </c>
      <c r="D629" s="1">
        <v>25</v>
      </c>
      <c r="E629" s="3">
        <v>40148.493750000001</v>
      </c>
      <c r="F629" s="1">
        <v>0.42</v>
      </c>
      <c r="G629" s="1">
        <v>17984</v>
      </c>
      <c r="H629" s="1" t="s">
        <v>10</v>
      </c>
      <c r="I629" s="1">
        <f t="shared" si="2"/>
        <v>10.5</v>
      </c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">
      <c r="A630" s="1">
        <v>489529</v>
      </c>
      <c r="B630" s="1">
        <v>21500</v>
      </c>
      <c r="C630" s="1" t="s">
        <v>563</v>
      </c>
      <c r="D630" s="1">
        <v>25</v>
      </c>
      <c r="E630" s="3">
        <v>40148.493750000001</v>
      </c>
      <c r="F630" s="1">
        <v>0.42</v>
      </c>
      <c r="G630" s="1">
        <v>17984</v>
      </c>
      <c r="H630" s="1" t="s">
        <v>10</v>
      </c>
      <c r="I630" s="1">
        <f t="shared" si="2"/>
        <v>10.5</v>
      </c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2">
      <c r="A631" s="1">
        <v>489529</v>
      </c>
      <c r="B631" s="1">
        <v>22028</v>
      </c>
      <c r="C631" s="1" t="s">
        <v>564</v>
      </c>
      <c r="D631" s="1">
        <v>12</v>
      </c>
      <c r="E631" s="3">
        <v>40148.493750000001</v>
      </c>
      <c r="F631" s="1">
        <v>0.42</v>
      </c>
      <c r="G631" s="1">
        <v>17984</v>
      </c>
      <c r="H631" s="1" t="s">
        <v>10</v>
      </c>
      <c r="I631" s="1">
        <f t="shared" si="2"/>
        <v>5.04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2">
      <c r="A632" s="1">
        <v>489529</v>
      </c>
      <c r="B632" s="1">
        <v>22029</v>
      </c>
      <c r="C632" s="1" t="s">
        <v>136</v>
      </c>
      <c r="D632" s="1">
        <v>12</v>
      </c>
      <c r="E632" s="3">
        <v>40148.493750000001</v>
      </c>
      <c r="F632" s="1">
        <v>0.42</v>
      </c>
      <c r="G632" s="1">
        <v>17984</v>
      </c>
      <c r="H632" s="1" t="s">
        <v>10</v>
      </c>
      <c r="I632" s="1">
        <f t="shared" si="2"/>
        <v>5.04</v>
      </c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2">
      <c r="A633" s="1">
        <v>489529</v>
      </c>
      <c r="B633" s="1">
        <v>22030</v>
      </c>
      <c r="C633" s="1" t="s">
        <v>565</v>
      </c>
      <c r="D633" s="1">
        <v>12</v>
      </c>
      <c r="E633" s="3">
        <v>40148.493750000001</v>
      </c>
      <c r="F633" s="1">
        <v>0.42</v>
      </c>
      <c r="G633" s="1">
        <v>17984</v>
      </c>
      <c r="H633" s="1" t="s">
        <v>10</v>
      </c>
      <c r="I633" s="1">
        <f t="shared" si="2"/>
        <v>5.04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">
      <c r="A634" s="1">
        <v>489529</v>
      </c>
      <c r="B634" s="1">
        <v>22024</v>
      </c>
      <c r="C634" s="1" t="s">
        <v>134</v>
      </c>
      <c r="D634" s="1">
        <v>12</v>
      </c>
      <c r="E634" s="3">
        <v>40148.493750000001</v>
      </c>
      <c r="F634" s="1">
        <v>0.42</v>
      </c>
      <c r="G634" s="1">
        <v>17984</v>
      </c>
      <c r="H634" s="1" t="s">
        <v>10</v>
      </c>
      <c r="I634" s="1">
        <f t="shared" si="2"/>
        <v>5.04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">
      <c r="A635" s="1">
        <v>489529</v>
      </c>
      <c r="B635" s="1">
        <v>22037</v>
      </c>
      <c r="C635" s="1" t="s">
        <v>566</v>
      </c>
      <c r="D635" s="1">
        <v>12</v>
      </c>
      <c r="E635" s="3">
        <v>40148.493750000001</v>
      </c>
      <c r="F635" s="1">
        <v>0.42</v>
      </c>
      <c r="G635" s="1">
        <v>17984</v>
      </c>
      <c r="H635" s="1" t="s">
        <v>10</v>
      </c>
      <c r="I635" s="1">
        <f t="shared" si="2"/>
        <v>5.04</v>
      </c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2">
      <c r="A636" s="1">
        <v>489529</v>
      </c>
      <c r="B636" s="1">
        <v>22036</v>
      </c>
      <c r="C636" s="1" t="s">
        <v>567</v>
      </c>
      <c r="D636" s="1">
        <v>12</v>
      </c>
      <c r="E636" s="3">
        <v>40148.493750000001</v>
      </c>
      <c r="F636" s="1">
        <v>0.42</v>
      </c>
      <c r="G636" s="1">
        <v>17984</v>
      </c>
      <c r="H636" s="1" t="s">
        <v>10</v>
      </c>
      <c r="I636" s="1">
        <f t="shared" si="2"/>
        <v>5.04</v>
      </c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2">
      <c r="A637" s="1">
        <v>489529</v>
      </c>
      <c r="B637" s="1">
        <v>22028</v>
      </c>
      <c r="C637" s="1" t="s">
        <v>564</v>
      </c>
      <c r="D637" s="1">
        <v>12</v>
      </c>
      <c r="E637" s="3">
        <v>40148.493750000001</v>
      </c>
      <c r="F637" s="1">
        <v>0.42</v>
      </c>
      <c r="G637" s="1">
        <v>17984</v>
      </c>
      <c r="H637" s="1" t="s">
        <v>10</v>
      </c>
      <c r="I637" s="1">
        <f t="shared" si="2"/>
        <v>5.04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">
      <c r="A638" s="1">
        <v>489529</v>
      </c>
      <c r="B638" s="1">
        <v>22036</v>
      </c>
      <c r="C638" s="1" t="s">
        <v>567</v>
      </c>
      <c r="D638" s="1">
        <v>12</v>
      </c>
      <c r="E638" s="3">
        <v>40148.493750000001</v>
      </c>
      <c r="F638" s="1">
        <v>0.42</v>
      </c>
      <c r="G638" s="1">
        <v>17984</v>
      </c>
      <c r="H638" s="1" t="s">
        <v>10</v>
      </c>
      <c r="I638" s="1">
        <f t="shared" si="2"/>
        <v>5.04</v>
      </c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">
      <c r="A639" s="1">
        <v>489529</v>
      </c>
      <c r="B639" s="1">
        <v>22300</v>
      </c>
      <c r="C639" s="1" t="s">
        <v>300</v>
      </c>
      <c r="D639" s="1">
        <v>6</v>
      </c>
      <c r="E639" s="3">
        <v>40148.493750000001</v>
      </c>
      <c r="F639" s="1">
        <v>2.5499999999999998</v>
      </c>
      <c r="G639" s="1">
        <v>17984</v>
      </c>
      <c r="H639" s="1" t="s">
        <v>10</v>
      </c>
      <c r="I639" s="1">
        <f t="shared" si="2"/>
        <v>15.299999999999999</v>
      </c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2">
      <c r="A640" s="1">
        <v>489529</v>
      </c>
      <c r="B640" s="1">
        <v>20673</v>
      </c>
      <c r="C640" s="1" t="s">
        <v>568</v>
      </c>
      <c r="D640" s="1">
        <v>4</v>
      </c>
      <c r="E640" s="3">
        <v>40148.493750000001</v>
      </c>
      <c r="F640" s="1">
        <v>1.25</v>
      </c>
      <c r="G640" s="1">
        <v>17984</v>
      </c>
      <c r="H640" s="1" t="s">
        <v>10</v>
      </c>
      <c r="I640" s="1">
        <f t="shared" si="2"/>
        <v>5</v>
      </c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2">
      <c r="A641" s="1">
        <v>489529</v>
      </c>
      <c r="B641" s="1">
        <v>21429</v>
      </c>
      <c r="C641" s="1" t="s">
        <v>569</v>
      </c>
      <c r="D641" s="1">
        <v>4</v>
      </c>
      <c r="E641" s="3">
        <v>40148.493750000001</v>
      </c>
      <c r="F641" s="1">
        <v>1.65</v>
      </c>
      <c r="G641" s="1">
        <v>17984</v>
      </c>
      <c r="H641" s="1" t="s">
        <v>10</v>
      </c>
      <c r="I641" s="1">
        <f t="shared" si="2"/>
        <v>6.6</v>
      </c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2">
      <c r="A642" s="1">
        <v>489529</v>
      </c>
      <c r="B642" s="1">
        <v>21431</v>
      </c>
      <c r="C642" s="1" t="s">
        <v>570</v>
      </c>
      <c r="D642" s="1">
        <v>4</v>
      </c>
      <c r="E642" s="3">
        <v>40148.493750000001</v>
      </c>
      <c r="F642" s="1">
        <v>1.65</v>
      </c>
      <c r="G642" s="1">
        <v>17984</v>
      </c>
      <c r="H642" s="1" t="s">
        <v>10</v>
      </c>
      <c r="I642" s="1">
        <f t="shared" si="2"/>
        <v>6.6</v>
      </c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">
      <c r="A643" s="1">
        <v>489529</v>
      </c>
      <c r="B643" s="1">
        <v>21726</v>
      </c>
      <c r="C643" s="1" t="s">
        <v>571</v>
      </c>
      <c r="D643" s="1">
        <v>3</v>
      </c>
      <c r="E643" s="3">
        <v>40148.493750000001</v>
      </c>
      <c r="F643" s="1">
        <v>0.85</v>
      </c>
      <c r="G643" s="1">
        <v>17984</v>
      </c>
      <c r="H643" s="1" t="s">
        <v>10</v>
      </c>
      <c r="I643" s="1">
        <f t="shared" si="2"/>
        <v>2.5499999999999998</v>
      </c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2">
      <c r="A644" s="1">
        <v>489529</v>
      </c>
      <c r="B644" s="1">
        <v>22086</v>
      </c>
      <c r="C644" s="1" t="s">
        <v>183</v>
      </c>
      <c r="D644" s="1">
        <v>3</v>
      </c>
      <c r="E644" s="3">
        <v>40148.493750000001</v>
      </c>
      <c r="F644" s="1">
        <v>2.95</v>
      </c>
      <c r="G644" s="1">
        <v>17984</v>
      </c>
      <c r="H644" s="1" t="s">
        <v>10</v>
      </c>
      <c r="I644" s="1">
        <f t="shared" si="2"/>
        <v>8.8500000000000014</v>
      </c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2">
      <c r="A645" s="1">
        <v>489529</v>
      </c>
      <c r="B645" s="1" t="s">
        <v>572</v>
      </c>
      <c r="C645" s="1" t="s">
        <v>573</v>
      </c>
      <c r="D645" s="1">
        <v>3</v>
      </c>
      <c r="E645" s="3">
        <v>40148.493750000001</v>
      </c>
      <c r="F645" s="1">
        <v>4.25</v>
      </c>
      <c r="G645" s="1">
        <v>17984</v>
      </c>
      <c r="H645" s="1" t="s">
        <v>10</v>
      </c>
      <c r="I645" s="1">
        <f t="shared" si="2"/>
        <v>12.75</v>
      </c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">
      <c r="A646" s="1">
        <v>489529</v>
      </c>
      <c r="B646" s="1">
        <v>20774</v>
      </c>
      <c r="C646" s="1" t="s">
        <v>574</v>
      </c>
      <c r="D646" s="1">
        <v>2</v>
      </c>
      <c r="E646" s="3">
        <v>40148.493750000001</v>
      </c>
      <c r="F646" s="1">
        <v>1.65</v>
      </c>
      <c r="G646" s="1">
        <v>17984</v>
      </c>
      <c r="H646" s="1" t="s">
        <v>10</v>
      </c>
      <c r="I646" s="1">
        <f t="shared" si="2"/>
        <v>3.3</v>
      </c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2">
      <c r="A647" s="1">
        <v>489529</v>
      </c>
      <c r="B647" s="1">
        <v>21833</v>
      </c>
      <c r="C647" s="1" t="s">
        <v>443</v>
      </c>
      <c r="D647" s="1">
        <v>2</v>
      </c>
      <c r="E647" s="3">
        <v>40148.493750000001</v>
      </c>
      <c r="F647" s="1">
        <v>1.69</v>
      </c>
      <c r="G647" s="1">
        <v>17984</v>
      </c>
      <c r="H647" s="1" t="s">
        <v>10</v>
      </c>
      <c r="I647" s="1">
        <f t="shared" si="2"/>
        <v>3.38</v>
      </c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2">
      <c r="A648" s="1">
        <v>489529</v>
      </c>
      <c r="B648" s="1">
        <v>21544</v>
      </c>
      <c r="C648" s="1" t="s">
        <v>575</v>
      </c>
      <c r="D648" s="1">
        <v>2</v>
      </c>
      <c r="E648" s="3">
        <v>40148.493750000001</v>
      </c>
      <c r="F648" s="1">
        <v>0.85</v>
      </c>
      <c r="G648" s="1">
        <v>17984</v>
      </c>
      <c r="H648" s="1" t="s">
        <v>10</v>
      </c>
      <c r="I648" s="1">
        <f t="shared" si="2"/>
        <v>1.7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">
      <c r="A649" s="1">
        <v>489529</v>
      </c>
      <c r="B649" s="1">
        <v>20982</v>
      </c>
      <c r="C649" s="1" t="s">
        <v>380</v>
      </c>
      <c r="D649" s="1">
        <v>2</v>
      </c>
      <c r="E649" s="3">
        <v>40148.493750000001</v>
      </c>
      <c r="F649" s="1">
        <v>0.85</v>
      </c>
      <c r="G649" s="1">
        <v>17984</v>
      </c>
      <c r="H649" s="1" t="s">
        <v>10</v>
      </c>
      <c r="I649" s="1">
        <f t="shared" si="2"/>
        <v>1.7</v>
      </c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2">
      <c r="A650" s="1">
        <v>489529</v>
      </c>
      <c r="B650" s="1">
        <v>21912</v>
      </c>
      <c r="C650" s="1" t="s">
        <v>62</v>
      </c>
      <c r="D650" s="1">
        <v>2</v>
      </c>
      <c r="E650" s="3">
        <v>40148.493750000001</v>
      </c>
      <c r="F650" s="1">
        <v>3.75</v>
      </c>
      <c r="G650" s="1">
        <v>17984</v>
      </c>
      <c r="H650" s="1" t="s">
        <v>10</v>
      </c>
      <c r="I650" s="1">
        <f t="shared" si="2"/>
        <v>7.5</v>
      </c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">
      <c r="A651" s="1">
        <v>489529</v>
      </c>
      <c r="B651" s="1">
        <v>21490</v>
      </c>
      <c r="C651" s="1" t="s">
        <v>298</v>
      </c>
      <c r="D651" s="1">
        <v>2</v>
      </c>
      <c r="E651" s="3">
        <v>40148.493750000001</v>
      </c>
      <c r="F651" s="1">
        <v>1.95</v>
      </c>
      <c r="G651" s="1">
        <v>17984</v>
      </c>
      <c r="H651" s="1" t="s">
        <v>10</v>
      </c>
      <c r="I651" s="1">
        <f t="shared" si="2"/>
        <v>3.9</v>
      </c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2">
      <c r="A652" s="1">
        <v>489529</v>
      </c>
      <c r="B652" s="1">
        <v>85063</v>
      </c>
      <c r="C652" s="1" t="s">
        <v>576</v>
      </c>
      <c r="D652" s="1">
        <v>1</v>
      </c>
      <c r="E652" s="3">
        <v>40148.493750000001</v>
      </c>
      <c r="F652" s="1">
        <v>16.95</v>
      </c>
      <c r="G652" s="1">
        <v>17984</v>
      </c>
      <c r="H652" s="1" t="s">
        <v>10</v>
      </c>
      <c r="I652" s="1">
        <f t="shared" si="2"/>
        <v>16.95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2">
      <c r="A653" s="1">
        <v>489529</v>
      </c>
      <c r="B653" s="1">
        <v>48129</v>
      </c>
      <c r="C653" s="1" t="s">
        <v>577</v>
      </c>
      <c r="D653" s="1">
        <v>1</v>
      </c>
      <c r="E653" s="3">
        <v>40148.493750000001</v>
      </c>
      <c r="F653" s="1">
        <v>6.75</v>
      </c>
      <c r="G653" s="1">
        <v>17984</v>
      </c>
      <c r="H653" s="1" t="s">
        <v>10</v>
      </c>
      <c r="I653" s="1">
        <f t="shared" si="2"/>
        <v>6.75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2">
      <c r="A654" s="1">
        <v>489529</v>
      </c>
      <c r="B654" s="1">
        <v>21491</v>
      </c>
      <c r="C654" s="1" t="s">
        <v>112</v>
      </c>
      <c r="D654" s="1">
        <v>1</v>
      </c>
      <c r="E654" s="3">
        <v>40148.493750000001</v>
      </c>
      <c r="F654" s="1">
        <v>1.95</v>
      </c>
      <c r="G654" s="1">
        <v>17984</v>
      </c>
      <c r="H654" s="1" t="s">
        <v>10</v>
      </c>
      <c r="I654" s="1">
        <f t="shared" si="2"/>
        <v>1.95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">
      <c r="A655" s="1">
        <v>489529</v>
      </c>
      <c r="B655" s="1">
        <v>22030</v>
      </c>
      <c r="C655" s="1" t="s">
        <v>565</v>
      </c>
      <c r="D655" s="1">
        <v>1</v>
      </c>
      <c r="E655" s="3">
        <v>40148.493750000001</v>
      </c>
      <c r="F655" s="1">
        <v>0.42</v>
      </c>
      <c r="G655" s="1">
        <v>17984</v>
      </c>
      <c r="H655" s="1" t="s">
        <v>10</v>
      </c>
      <c r="I655" s="1">
        <f t="shared" si="2"/>
        <v>0.42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">
      <c r="A656" s="1">
        <v>489529</v>
      </c>
      <c r="B656" s="1">
        <v>21081</v>
      </c>
      <c r="C656" s="1" t="s">
        <v>578</v>
      </c>
      <c r="D656" s="1">
        <v>1</v>
      </c>
      <c r="E656" s="3">
        <v>40148.493750000001</v>
      </c>
      <c r="F656" s="1">
        <v>0.85</v>
      </c>
      <c r="G656" s="1">
        <v>17984</v>
      </c>
      <c r="H656" s="1" t="s">
        <v>10</v>
      </c>
      <c r="I656" s="1">
        <f t="shared" si="2"/>
        <v>0.85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2">
      <c r="A657" s="1">
        <v>489529</v>
      </c>
      <c r="B657" s="1">
        <v>20773</v>
      </c>
      <c r="C657" s="1" t="s">
        <v>579</v>
      </c>
      <c r="D657" s="1">
        <v>1</v>
      </c>
      <c r="E657" s="3">
        <v>40148.493750000001</v>
      </c>
      <c r="F657" s="1">
        <v>1.65</v>
      </c>
      <c r="G657" s="1">
        <v>17984</v>
      </c>
      <c r="H657" s="1" t="s">
        <v>10</v>
      </c>
      <c r="I657" s="1">
        <f t="shared" si="2"/>
        <v>1.65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2">
      <c r="A658" s="1">
        <v>489529</v>
      </c>
      <c r="B658" s="1">
        <v>20767</v>
      </c>
      <c r="C658" s="1" t="s">
        <v>580</v>
      </c>
      <c r="D658" s="1">
        <v>1</v>
      </c>
      <c r="E658" s="3">
        <v>40148.493750000001</v>
      </c>
      <c r="F658" s="1">
        <v>2.5499999999999998</v>
      </c>
      <c r="G658" s="1">
        <v>17984</v>
      </c>
      <c r="H658" s="1" t="s">
        <v>10</v>
      </c>
      <c r="I658" s="1">
        <f t="shared" si="2"/>
        <v>2.5499999999999998</v>
      </c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">
      <c r="A659" s="1">
        <v>489529</v>
      </c>
      <c r="B659" s="1">
        <v>20622</v>
      </c>
      <c r="C659" s="1" t="s">
        <v>581</v>
      </c>
      <c r="D659" s="1">
        <v>1</v>
      </c>
      <c r="E659" s="3">
        <v>40148.493750000001</v>
      </c>
      <c r="F659" s="1">
        <v>2.1</v>
      </c>
      <c r="G659" s="1">
        <v>17984</v>
      </c>
      <c r="H659" s="1" t="s">
        <v>10</v>
      </c>
      <c r="I659" s="1">
        <f t="shared" si="2"/>
        <v>2.1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2">
      <c r="A660" s="1">
        <v>489529</v>
      </c>
      <c r="B660" s="1">
        <v>21122</v>
      </c>
      <c r="C660" s="1" t="s">
        <v>582</v>
      </c>
      <c r="D660" s="1">
        <v>1</v>
      </c>
      <c r="E660" s="3">
        <v>40148.493750000001</v>
      </c>
      <c r="F660" s="1">
        <v>1.25</v>
      </c>
      <c r="G660" s="1">
        <v>17984</v>
      </c>
      <c r="H660" s="1" t="s">
        <v>10</v>
      </c>
      <c r="I660" s="1">
        <f t="shared" si="2"/>
        <v>1.25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2">
      <c r="A661" s="1">
        <v>489529</v>
      </c>
      <c r="B661" s="1">
        <v>21124</v>
      </c>
      <c r="C661" s="1" t="s">
        <v>583</v>
      </c>
      <c r="D661" s="1">
        <v>1</v>
      </c>
      <c r="E661" s="3">
        <v>40148.493750000001</v>
      </c>
      <c r="F661" s="1">
        <v>1.25</v>
      </c>
      <c r="G661" s="1">
        <v>17984</v>
      </c>
      <c r="H661" s="1" t="s">
        <v>10</v>
      </c>
      <c r="I661" s="1">
        <f t="shared" si="2"/>
        <v>1.25</v>
      </c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2">
      <c r="A662" s="1">
        <v>489529</v>
      </c>
      <c r="B662" s="1">
        <v>20657</v>
      </c>
      <c r="C662" s="1" t="s">
        <v>584</v>
      </c>
      <c r="D662" s="1">
        <v>1</v>
      </c>
      <c r="E662" s="3">
        <v>40148.493750000001</v>
      </c>
      <c r="F662" s="1">
        <v>1.25</v>
      </c>
      <c r="G662" s="1">
        <v>17984</v>
      </c>
      <c r="H662" s="1" t="s">
        <v>10</v>
      </c>
      <c r="I662" s="1">
        <f t="shared" si="2"/>
        <v>1.25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2">
      <c r="A663" s="1">
        <v>489529</v>
      </c>
      <c r="B663" s="1" t="s">
        <v>585</v>
      </c>
      <c r="C663" s="1" t="s">
        <v>586</v>
      </c>
      <c r="D663" s="1">
        <v>1</v>
      </c>
      <c r="E663" s="3">
        <v>40148.493750000001</v>
      </c>
      <c r="F663" s="1">
        <v>0.85</v>
      </c>
      <c r="G663" s="1">
        <v>17984</v>
      </c>
      <c r="H663" s="1" t="s">
        <v>10</v>
      </c>
      <c r="I663" s="1">
        <f t="shared" si="2"/>
        <v>0.85</v>
      </c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2">
      <c r="A664" s="1">
        <v>489529</v>
      </c>
      <c r="B664" s="1">
        <v>22086</v>
      </c>
      <c r="C664" s="1" t="s">
        <v>183</v>
      </c>
      <c r="D664" s="1">
        <v>1</v>
      </c>
      <c r="E664" s="3">
        <v>40148.493750000001</v>
      </c>
      <c r="F664" s="1">
        <v>2.95</v>
      </c>
      <c r="G664" s="1">
        <v>17984</v>
      </c>
      <c r="H664" s="1" t="s">
        <v>10</v>
      </c>
      <c r="I664" s="1">
        <f t="shared" si="2"/>
        <v>2.95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">
      <c r="A665" s="1">
        <v>489529</v>
      </c>
      <c r="B665" s="1">
        <v>20619</v>
      </c>
      <c r="C665" s="1" t="s">
        <v>587</v>
      </c>
      <c r="D665" s="1">
        <v>1</v>
      </c>
      <c r="E665" s="3">
        <v>40148.493750000001</v>
      </c>
      <c r="F665" s="1">
        <v>2.1</v>
      </c>
      <c r="G665" s="1">
        <v>17984</v>
      </c>
      <c r="H665" s="1" t="s">
        <v>10</v>
      </c>
      <c r="I665" s="1">
        <f t="shared" si="2"/>
        <v>2.1</v>
      </c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">
      <c r="A666" s="1">
        <v>489529</v>
      </c>
      <c r="B666" s="1">
        <v>21864</v>
      </c>
      <c r="C666" s="1" t="s">
        <v>332</v>
      </c>
      <c r="D666" s="1">
        <v>1</v>
      </c>
      <c r="E666" s="3">
        <v>40148.493750000001</v>
      </c>
      <c r="F666" s="1">
        <v>2.1</v>
      </c>
      <c r="G666" s="1">
        <v>17984</v>
      </c>
      <c r="H666" s="1" t="s">
        <v>10</v>
      </c>
      <c r="I666" s="1">
        <f t="shared" si="2"/>
        <v>2.1</v>
      </c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">
      <c r="A667" s="1">
        <v>489529</v>
      </c>
      <c r="B667" s="1">
        <v>21866</v>
      </c>
      <c r="C667" s="1" t="s">
        <v>588</v>
      </c>
      <c r="D667" s="1">
        <v>1</v>
      </c>
      <c r="E667" s="3">
        <v>40148.493750000001</v>
      </c>
      <c r="F667" s="1">
        <v>1.25</v>
      </c>
      <c r="G667" s="1">
        <v>17984</v>
      </c>
      <c r="H667" s="1" t="s">
        <v>10</v>
      </c>
      <c r="I667" s="1">
        <f t="shared" si="2"/>
        <v>1.25</v>
      </c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2">
      <c r="A668" s="1">
        <v>489529</v>
      </c>
      <c r="B668" s="1">
        <v>20660</v>
      </c>
      <c r="C668" s="1" t="s">
        <v>589</v>
      </c>
      <c r="D668" s="1">
        <v>1</v>
      </c>
      <c r="E668" s="3">
        <v>40148.493750000001</v>
      </c>
      <c r="F668" s="1">
        <v>1.25</v>
      </c>
      <c r="G668" s="1">
        <v>17984</v>
      </c>
      <c r="H668" s="1" t="s">
        <v>10</v>
      </c>
      <c r="I668" s="1">
        <f t="shared" si="2"/>
        <v>1.25</v>
      </c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2">
      <c r="A669" s="1">
        <v>489529</v>
      </c>
      <c r="B669" s="1">
        <v>21489</v>
      </c>
      <c r="C669" s="1" t="s">
        <v>499</v>
      </c>
      <c r="D669" s="1">
        <v>1</v>
      </c>
      <c r="E669" s="3">
        <v>40148.493750000001</v>
      </c>
      <c r="F669" s="1">
        <v>3.95</v>
      </c>
      <c r="G669" s="1">
        <v>17984</v>
      </c>
      <c r="H669" s="1" t="s">
        <v>10</v>
      </c>
      <c r="I669" s="1">
        <f t="shared" si="2"/>
        <v>3.95</v>
      </c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">
      <c r="A670" s="1">
        <v>489529</v>
      </c>
      <c r="B670" s="1" t="s">
        <v>361</v>
      </c>
      <c r="C670" s="1" t="s">
        <v>362</v>
      </c>
      <c r="D670" s="1">
        <v>1</v>
      </c>
      <c r="E670" s="3">
        <v>40148.493750000001</v>
      </c>
      <c r="F670" s="1">
        <v>2.95</v>
      </c>
      <c r="G670" s="1">
        <v>17984</v>
      </c>
      <c r="H670" s="1" t="s">
        <v>10</v>
      </c>
      <c r="I670" s="1">
        <f t="shared" si="2"/>
        <v>2.95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2">
      <c r="A671" s="1">
        <v>489529</v>
      </c>
      <c r="B671" s="1">
        <v>20777</v>
      </c>
      <c r="C671" s="1" t="s">
        <v>590</v>
      </c>
      <c r="D671" s="1">
        <v>1</v>
      </c>
      <c r="E671" s="3">
        <v>40148.493750000001</v>
      </c>
      <c r="F671" s="1">
        <v>1.65</v>
      </c>
      <c r="G671" s="1">
        <v>17984</v>
      </c>
      <c r="H671" s="1" t="s">
        <v>10</v>
      </c>
      <c r="I671" s="1">
        <f t="shared" si="2"/>
        <v>1.65</v>
      </c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2">
      <c r="A672" s="1">
        <v>489529</v>
      </c>
      <c r="B672" s="1">
        <v>21004</v>
      </c>
      <c r="C672" s="1" t="s">
        <v>591</v>
      </c>
      <c r="D672" s="1">
        <v>1</v>
      </c>
      <c r="E672" s="3">
        <v>40148.493750000001</v>
      </c>
      <c r="F672" s="1">
        <v>4.25</v>
      </c>
      <c r="G672" s="1">
        <v>17984</v>
      </c>
      <c r="H672" s="1" t="s">
        <v>10</v>
      </c>
      <c r="I672" s="1">
        <f t="shared" si="2"/>
        <v>4.25</v>
      </c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">
      <c r="A673" s="1">
        <v>489529</v>
      </c>
      <c r="B673" s="1">
        <v>20984</v>
      </c>
      <c r="C673" s="1" t="s">
        <v>379</v>
      </c>
      <c r="D673" s="1">
        <v>1</v>
      </c>
      <c r="E673" s="3">
        <v>40148.493750000001</v>
      </c>
      <c r="F673" s="1">
        <v>0.85</v>
      </c>
      <c r="G673" s="1">
        <v>17984</v>
      </c>
      <c r="H673" s="1" t="s">
        <v>10</v>
      </c>
      <c r="I673" s="1">
        <f t="shared" si="2"/>
        <v>0.85</v>
      </c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2">
      <c r="A674" s="1">
        <v>489529</v>
      </c>
      <c r="B674" s="1" t="s">
        <v>592</v>
      </c>
      <c r="C674" s="1" t="s">
        <v>593</v>
      </c>
      <c r="D674" s="1">
        <v>1</v>
      </c>
      <c r="E674" s="3">
        <v>40148.493750000001</v>
      </c>
      <c r="F674" s="1">
        <v>2.95</v>
      </c>
      <c r="G674" s="1">
        <v>17984</v>
      </c>
      <c r="H674" s="1" t="s">
        <v>10</v>
      </c>
      <c r="I674" s="1">
        <f t="shared" si="2"/>
        <v>2.95</v>
      </c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2">
      <c r="A675" s="1">
        <v>489529</v>
      </c>
      <c r="B675" s="1" t="s">
        <v>594</v>
      </c>
      <c r="C675" s="1" t="s">
        <v>595</v>
      </c>
      <c r="D675" s="1">
        <v>1</v>
      </c>
      <c r="E675" s="3">
        <v>40148.493750000001</v>
      </c>
      <c r="F675" s="1">
        <v>3.75</v>
      </c>
      <c r="G675" s="1">
        <v>17984</v>
      </c>
      <c r="H675" s="1" t="s">
        <v>10</v>
      </c>
      <c r="I675" s="1">
        <f t="shared" si="2"/>
        <v>3.75</v>
      </c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2">
      <c r="A676" s="1">
        <v>489529</v>
      </c>
      <c r="B676" s="1" t="s">
        <v>596</v>
      </c>
      <c r="C676" s="1" t="s">
        <v>597</v>
      </c>
      <c r="D676" s="1">
        <v>1</v>
      </c>
      <c r="E676" s="3">
        <v>40148.493750000001</v>
      </c>
      <c r="F676" s="1">
        <v>1.69</v>
      </c>
      <c r="G676" s="1">
        <v>17984</v>
      </c>
      <c r="H676" s="1" t="s">
        <v>10</v>
      </c>
      <c r="I676" s="1">
        <f t="shared" si="2"/>
        <v>1.69</v>
      </c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2">
      <c r="A677" s="1">
        <v>489529</v>
      </c>
      <c r="B677" s="1">
        <v>48129</v>
      </c>
      <c r="C677" s="1" t="s">
        <v>577</v>
      </c>
      <c r="D677" s="1">
        <v>1</v>
      </c>
      <c r="E677" s="3">
        <v>40148.493750000001</v>
      </c>
      <c r="F677" s="1">
        <v>6.75</v>
      </c>
      <c r="G677" s="1">
        <v>17984</v>
      </c>
      <c r="H677" s="1" t="s">
        <v>10</v>
      </c>
      <c r="I677" s="1">
        <f t="shared" si="2"/>
        <v>6.75</v>
      </c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">
      <c r="A678" s="1">
        <v>489529</v>
      </c>
      <c r="B678" s="1">
        <v>20748</v>
      </c>
      <c r="C678" s="1" t="s">
        <v>598</v>
      </c>
      <c r="D678" s="1">
        <v>1</v>
      </c>
      <c r="E678" s="3">
        <v>40148.493750000001</v>
      </c>
      <c r="F678" s="1">
        <v>12.75</v>
      </c>
      <c r="G678" s="1">
        <v>17984</v>
      </c>
      <c r="H678" s="1" t="s">
        <v>10</v>
      </c>
      <c r="I678" s="1">
        <f t="shared" si="2"/>
        <v>12.75</v>
      </c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">
      <c r="A679" s="1" t="s">
        <v>599</v>
      </c>
      <c r="B679" s="1" t="s">
        <v>600</v>
      </c>
      <c r="C679" s="1" t="s">
        <v>601</v>
      </c>
      <c r="D679" s="1">
        <v>-1</v>
      </c>
      <c r="E679" s="3">
        <v>40148.49722222222</v>
      </c>
      <c r="F679" s="1">
        <v>4.25</v>
      </c>
      <c r="G679" s="1">
        <v>14748</v>
      </c>
      <c r="H679" s="1" t="s">
        <v>10</v>
      </c>
      <c r="I679" s="1">
        <f t="shared" si="2"/>
        <v>-4.25</v>
      </c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2">
      <c r="A680" s="1">
        <v>489531</v>
      </c>
      <c r="B680" s="1">
        <v>71477</v>
      </c>
      <c r="C680" s="1" t="s">
        <v>328</v>
      </c>
      <c r="D680" s="1">
        <v>12</v>
      </c>
      <c r="E680" s="3">
        <v>40148.497916666667</v>
      </c>
      <c r="F680" s="1">
        <v>3.25</v>
      </c>
      <c r="G680" s="1">
        <v>14871</v>
      </c>
      <c r="H680" s="1" t="s">
        <v>10</v>
      </c>
      <c r="I680" s="1">
        <f t="shared" si="2"/>
        <v>39</v>
      </c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2">
      <c r="A681" s="1">
        <v>489531</v>
      </c>
      <c r="B681" s="1">
        <v>21582</v>
      </c>
      <c r="C681" s="1" t="s">
        <v>127</v>
      </c>
      <c r="D681" s="1">
        <v>8</v>
      </c>
      <c r="E681" s="3">
        <v>40148.497916666667</v>
      </c>
      <c r="F681" s="1">
        <v>1.65</v>
      </c>
      <c r="G681" s="1">
        <v>14871</v>
      </c>
      <c r="H681" s="1" t="s">
        <v>10</v>
      </c>
      <c r="I681" s="1">
        <f t="shared" si="2"/>
        <v>13.2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2">
      <c r="A682" s="1">
        <v>489531</v>
      </c>
      <c r="B682" s="1">
        <v>21591</v>
      </c>
      <c r="C682" s="1" t="s">
        <v>602</v>
      </c>
      <c r="D682" s="1">
        <v>7</v>
      </c>
      <c r="E682" s="3">
        <v>40148.497916666667</v>
      </c>
      <c r="F682" s="1">
        <v>1.25</v>
      </c>
      <c r="G682" s="1">
        <v>14871</v>
      </c>
      <c r="H682" s="1" t="s">
        <v>10</v>
      </c>
      <c r="I682" s="1">
        <f t="shared" si="2"/>
        <v>8.75</v>
      </c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2">
      <c r="A683" s="1">
        <v>489531</v>
      </c>
      <c r="B683" s="1">
        <v>21587</v>
      </c>
      <c r="C683" s="1" t="s">
        <v>456</v>
      </c>
      <c r="D683" s="1">
        <v>6</v>
      </c>
      <c r="E683" s="3">
        <v>40148.497916666667</v>
      </c>
      <c r="F683" s="1">
        <v>2.5499999999999998</v>
      </c>
      <c r="G683" s="1">
        <v>14871</v>
      </c>
      <c r="H683" s="1" t="s">
        <v>10</v>
      </c>
      <c r="I683" s="1">
        <f t="shared" si="2"/>
        <v>15.299999999999999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">
      <c r="A684" s="1">
        <v>489531</v>
      </c>
      <c r="B684" s="1" t="s">
        <v>142</v>
      </c>
      <c r="C684" s="1" t="s">
        <v>143</v>
      </c>
      <c r="D684" s="1">
        <v>5</v>
      </c>
      <c r="E684" s="3">
        <v>40148.497916666667</v>
      </c>
      <c r="F684" s="1">
        <v>2.95</v>
      </c>
      <c r="G684" s="1">
        <v>14871</v>
      </c>
      <c r="H684" s="1" t="s">
        <v>10</v>
      </c>
      <c r="I684" s="1">
        <f t="shared" si="2"/>
        <v>14.75</v>
      </c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2">
      <c r="A685" s="1">
        <v>489531</v>
      </c>
      <c r="B685" s="1">
        <v>85042</v>
      </c>
      <c r="C685" s="1" t="s">
        <v>270</v>
      </c>
      <c r="D685" s="1">
        <v>4</v>
      </c>
      <c r="E685" s="3">
        <v>40148.497916666667</v>
      </c>
      <c r="F685" s="1">
        <v>4.95</v>
      </c>
      <c r="G685" s="1">
        <v>14871</v>
      </c>
      <c r="H685" s="1" t="s">
        <v>10</v>
      </c>
      <c r="I685" s="1">
        <f t="shared" si="2"/>
        <v>19.8</v>
      </c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2">
      <c r="A686" s="1">
        <v>489531</v>
      </c>
      <c r="B686" s="1">
        <v>21590</v>
      </c>
      <c r="C686" s="1" t="s">
        <v>125</v>
      </c>
      <c r="D686" s="1">
        <v>4</v>
      </c>
      <c r="E686" s="3">
        <v>40148.497916666667</v>
      </c>
      <c r="F686" s="1">
        <v>1.25</v>
      </c>
      <c r="G686" s="1">
        <v>14871</v>
      </c>
      <c r="H686" s="1" t="s">
        <v>10</v>
      </c>
      <c r="I686" s="1">
        <f t="shared" si="2"/>
        <v>5</v>
      </c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">
      <c r="A687" s="1">
        <v>489531</v>
      </c>
      <c r="B687" s="1" t="s">
        <v>603</v>
      </c>
      <c r="C687" s="1" t="s">
        <v>604</v>
      </c>
      <c r="D687" s="1">
        <v>2</v>
      </c>
      <c r="E687" s="3">
        <v>40148.497916666667</v>
      </c>
      <c r="F687" s="1">
        <v>1.25</v>
      </c>
      <c r="G687" s="1">
        <v>14871</v>
      </c>
      <c r="H687" s="1" t="s">
        <v>10</v>
      </c>
      <c r="I687" s="1">
        <f t="shared" si="2"/>
        <v>2.5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2">
      <c r="A688" s="1">
        <v>489531</v>
      </c>
      <c r="B688" s="1">
        <v>79029</v>
      </c>
      <c r="C688" s="1" t="s">
        <v>605</v>
      </c>
      <c r="D688" s="1">
        <v>1</v>
      </c>
      <c r="E688" s="3">
        <v>40148.497916666667</v>
      </c>
      <c r="F688" s="1">
        <v>1.95</v>
      </c>
      <c r="G688" s="1">
        <v>14871</v>
      </c>
      <c r="H688" s="1" t="s">
        <v>10</v>
      </c>
      <c r="I688" s="1">
        <f t="shared" si="2"/>
        <v>1.95</v>
      </c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2">
      <c r="A689" s="1">
        <v>489531</v>
      </c>
      <c r="B689" s="1">
        <v>82486</v>
      </c>
      <c r="C689" s="1" t="s">
        <v>267</v>
      </c>
      <c r="D689" s="1">
        <v>1</v>
      </c>
      <c r="E689" s="3">
        <v>40148.497916666667</v>
      </c>
      <c r="F689" s="1">
        <v>7.95</v>
      </c>
      <c r="G689" s="1">
        <v>14871</v>
      </c>
      <c r="H689" s="1" t="s">
        <v>10</v>
      </c>
      <c r="I689" s="1">
        <f t="shared" si="2"/>
        <v>7.95</v>
      </c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">
      <c r="A690" s="1">
        <v>489531</v>
      </c>
      <c r="B690" s="1">
        <v>82483</v>
      </c>
      <c r="C690" s="1" t="s">
        <v>266</v>
      </c>
      <c r="D690" s="1">
        <v>1</v>
      </c>
      <c r="E690" s="3">
        <v>40148.497916666667</v>
      </c>
      <c r="F690" s="1">
        <v>5.95</v>
      </c>
      <c r="G690" s="1">
        <v>14871</v>
      </c>
      <c r="H690" s="1" t="s">
        <v>10</v>
      </c>
      <c r="I690" s="1">
        <f t="shared" si="2"/>
        <v>5.95</v>
      </c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">
      <c r="A691" s="1">
        <v>489531</v>
      </c>
      <c r="B691" s="1">
        <v>22112</v>
      </c>
      <c r="C691" s="1" t="s">
        <v>65</v>
      </c>
      <c r="D691" s="1">
        <v>1</v>
      </c>
      <c r="E691" s="3">
        <v>40148.497916666667</v>
      </c>
      <c r="F691" s="1">
        <v>4.95</v>
      </c>
      <c r="G691" s="1">
        <v>14871</v>
      </c>
      <c r="H691" s="1" t="s">
        <v>10</v>
      </c>
      <c r="I691" s="1">
        <f t="shared" si="2"/>
        <v>4.95</v>
      </c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2">
      <c r="A692" s="1">
        <v>489531</v>
      </c>
      <c r="B692" s="1">
        <v>22111</v>
      </c>
      <c r="C692" s="1" t="s">
        <v>24</v>
      </c>
      <c r="D692" s="1">
        <v>1</v>
      </c>
      <c r="E692" s="3">
        <v>40148.497916666667</v>
      </c>
      <c r="F692" s="1">
        <v>4.95</v>
      </c>
      <c r="G692" s="1">
        <v>14871</v>
      </c>
      <c r="H692" s="1" t="s">
        <v>10</v>
      </c>
      <c r="I692" s="1">
        <f t="shared" si="2"/>
        <v>4.95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x14ac:dyDescent="0.2">
      <c r="A693" s="1">
        <v>489531</v>
      </c>
      <c r="B693" s="1">
        <v>21034</v>
      </c>
      <c r="C693" s="1" t="s">
        <v>606</v>
      </c>
      <c r="D693" s="1">
        <v>1</v>
      </c>
      <c r="E693" s="3">
        <v>40148.497916666667</v>
      </c>
      <c r="F693" s="1">
        <v>0.95</v>
      </c>
      <c r="G693" s="1">
        <v>14871</v>
      </c>
      <c r="H693" s="1" t="s">
        <v>10</v>
      </c>
      <c r="I693" s="1">
        <f t="shared" si="2"/>
        <v>0.95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x14ac:dyDescent="0.2">
      <c r="A694" s="1">
        <v>489532</v>
      </c>
      <c r="B694" s="1">
        <v>16235</v>
      </c>
      <c r="C694" s="1" t="s">
        <v>607</v>
      </c>
      <c r="D694" s="1">
        <v>60</v>
      </c>
      <c r="E694" s="3">
        <v>40148.498611111114</v>
      </c>
      <c r="F694" s="1">
        <v>0.21</v>
      </c>
      <c r="G694" s="1">
        <v>13394</v>
      </c>
      <c r="H694" s="1" t="s">
        <v>10</v>
      </c>
      <c r="I694" s="1">
        <f t="shared" si="2"/>
        <v>12.6</v>
      </c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x14ac:dyDescent="0.2">
      <c r="A695" s="1">
        <v>489532</v>
      </c>
      <c r="B695" s="1">
        <v>21985</v>
      </c>
      <c r="C695" s="1" t="s">
        <v>608</v>
      </c>
      <c r="D695" s="1">
        <v>48</v>
      </c>
      <c r="E695" s="3">
        <v>40148.498611111114</v>
      </c>
      <c r="F695" s="1">
        <v>0.28999999999999998</v>
      </c>
      <c r="G695" s="1">
        <v>13394</v>
      </c>
      <c r="H695" s="1" t="s">
        <v>10</v>
      </c>
      <c r="I695" s="1">
        <f t="shared" si="2"/>
        <v>13.919999999999998</v>
      </c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x14ac:dyDescent="0.2">
      <c r="A696" s="1">
        <v>489532</v>
      </c>
      <c r="B696" s="1">
        <v>21980</v>
      </c>
      <c r="C696" s="1" t="s">
        <v>609</v>
      </c>
      <c r="D696" s="1">
        <v>48</v>
      </c>
      <c r="E696" s="3">
        <v>40148.498611111114</v>
      </c>
      <c r="F696" s="1">
        <v>0.28999999999999998</v>
      </c>
      <c r="G696" s="1">
        <v>13394</v>
      </c>
      <c r="H696" s="1" t="s">
        <v>10</v>
      </c>
      <c r="I696" s="1">
        <f t="shared" si="2"/>
        <v>13.919999999999998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x14ac:dyDescent="0.2">
      <c r="A697" s="1">
        <v>489532</v>
      </c>
      <c r="B697" s="1">
        <v>84270</v>
      </c>
      <c r="C697" s="1" t="s">
        <v>610</v>
      </c>
      <c r="D697" s="1">
        <v>30</v>
      </c>
      <c r="E697" s="3">
        <v>40148.498611111114</v>
      </c>
      <c r="F697" s="1">
        <v>0.21</v>
      </c>
      <c r="G697" s="1">
        <v>13394</v>
      </c>
      <c r="H697" s="1" t="s">
        <v>10</v>
      </c>
      <c r="I697" s="1">
        <f t="shared" si="2"/>
        <v>6.3</v>
      </c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x14ac:dyDescent="0.2">
      <c r="A698" s="1">
        <v>489532</v>
      </c>
      <c r="B698" s="1">
        <v>21212</v>
      </c>
      <c r="C698" s="1" t="s">
        <v>253</v>
      </c>
      <c r="D698" s="1">
        <v>24</v>
      </c>
      <c r="E698" s="3">
        <v>40148.498611111114</v>
      </c>
      <c r="F698" s="1">
        <v>0.55000000000000004</v>
      </c>
      <c r="G698" s="1">
        <v>13394</v>
      </c>
      <c r="H698" s="1" t="s">
        <v>10</v>
      </c>
      <c r="I698" s="1">
        <f t="shared" si="2"/>
        <v>13.200000000000001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x14ac:dyDescent="0.2">
      <c r="A699" s="1">
        <v>489532</v>
      </c>
      <c r="B699" s="1">
        <v>84990</v>
      </c>
      <c r="C699" s="1" t="s">
        <v>611</v>
      </c>
      <c r="D699" s="1">
        <v>24</v>
      </c>
      <c r="E699" s="3">
        <v>40148.498611111114</v>
      </c>
      <c r="F699" s="1">
        <v>0.55000000000000004</v>
      </c>
      <c r="G699" s="1">
        <v>13394</v>
      </c>
      <c r="H699" s="1" t="s">
        <v>10</v>
      </c>
      <c r="I699" s="1">
        <f t="shared" si="2"/>
        <v>13.200000000000001</v>
      </c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x14ac:dyDescent="0.2">
      <c r="A700" s="1">
        <v>489532</v>
      </c>
      <c r="B700" s="1" t="s">
        <v>612</v>
      </c>
      <c r="C700" s="1" t="s">
        <v>613</v>
      </c>
      <c r="D700" s="1">
        <v>24</v>
      </c>
      <c r="E700" s="3">
        <v>40148.498611111114</v>
      </c>
      <c r="F700" s="1">
        <v>0.85</v>
      </c>
      <c r="G700" s="1">
        <v>13394</v>
      </c>
      <c r="H700" s="1" t="s">
        <v>10</v>
      </c>
      <c r="I700" s="1">
        <f t="shared" si="2"/>
        <v>20.399999999999999</v>
      </c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x14ac:dyDescent="0.2">
      <c r="A701" s="1">
        <v>489532</v>
      </c>
      <c r="B701" s="1" t="s">
        <v>614</v>
      </c>
      <c r="C701" s="1" t="s">
        <v>615</v>
      </c>
      <c r="D701" s="1">
        <v>12</v>
      </c>
      <c r="E701" s="3">
        <v>40148.498611111114</v>
      </c>
      <c r="F701" s="1">
        <v>1.25</v>
      </c>
      <c r="G701" s="1">
        <v>13394</v>
      </c>
      <c r="H701" s="1" t="s">
        <v>10</v>
      </c>
      <c r="I701" s="1">
        <f t="shared" si="2"/>
        <v>15</v>
      </c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x14ac:dyDescent="0.2">
      <c r="A702" s="1">
        <v>489532</v>
      </c>
      <c r="B702" s="1" t="s">
        <v>616</v>
      </c>
      <c r="C702" s="1" t="s">
        <v>617</v>
      </c>
      <c r="D702" s="1">
        <v>12</v>
      </c>
      <c r="E702" s="3">
        <v>40148.498611111114</v>
      </c>
      <c r="F702" s="1">
        <v>0.85</v>
      </c>
      <c r="G702" s="1">
        <v>13394</v>
      </c>
      <c r="H702" s="1" t="s">
        <v>10</v>
      </c>
      <c r="I702" s="1">
        <f t="shared" si="2"/>
        <v>10.199999999999999</v>
      </c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x14ac:dyDescent="0.2">
      <c r="A703" s="1">
        <v>489532</v>
      </c>
      <c r="B703" s="1">
        <v>72008</v>
      </c>
      <c r="C703" s="1" t="s">
        <v>618</v>
      </c>
      <c r="D703" s="1">
        <v>12</v>
      </c>
      <c r="E703" s="3">
        <v>40148.498611111114</v>
      </c>
      <c r="F703" s="1">
        <v>0.42</v>
      </c>
      <c r="G703" s="1">
        <v>13394</v>
      </c>
      <c r="H703" s="1" t="s">
        <v>10</v>
      </c>
      <c r="I703" s="1">
        <f t="shared" si="2"/>
        <v>5.04</v>
      </c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x14ac:dyDescent="0.2">
      <c r="A704" s="1">
        <v>489532</v>
      </c>
      <c r="B704" s="1" t="s">
        <v>619</v>
      </c>
      <c r="C704" s="1" t="s">
        <v>620</v>
      </c>
      <c r="D704" s="1">
        <v>12</v>
      </c>
      <c r="E704" s="3">
        <v>40148.498611111114</v>
      </c>
      <c r="F704" s="1">
        <v>1.25</v>
      </c>
      <c r="G704" s="1">
        <v>13394</v>
      </c>
      <c r="H704" s="1" t="s">
        <v>10</v>
      </c>
      <c r="I704" s="1">
        <f t="shared" si="2"/>
        <v>15</v>
      </c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x14ac:dyDescent="0.2">
      <c r="A705" s="1">
        <v>489532</v>
      </c>
      <c r="B705" s="1">
        <v>22077</v>
      </c>
      <c r="C705" s="1" t="s">
        <v>515</v>
      </c>
      <c r="D705" s="1">
        <v>9</v>
      </c>
      <c r="E705" s="3">
        <v>40148.498611111114</v>
      </c>
      <c r="F705" s="1">
        <v>1.65</v>
      </c>
      <c r="G705" s="1">
        <v>13394</v>
      </c>
      <c r="H705" s="1" t="s">
        <v>10</v>
      </c>
      <c r="I705" s="1">
        <f t="shared" si="2"/>
        <v>14.85</v>
      </c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x14ac:dyDescent="0.2">
      <c r="A706" s="1">
        <v>489532</v>
      </c>
      <c r="B706" s="1">
        <v>22083</v>
      </c>
      <c r="C706" s="1" t="s">
        <v>176</v>
      </c>
      <c r="D706" s="1">
        <v>6</v>
      </c>
      <c r="E706" s="3">
        <v>40148.498611111114</v>
      </c>
      <c r="F706" s="1">
        <v>2.95</v>
      </c>
      <c r="G706" s="1">
        <v>13394</v>
      </c>
      <c r="H706" s="1" t="s">
        <v>10</v>
      </c>
      <c r="I706" s="1">
        <f t="shared" si="2"/>
        <v>17.700000000000003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x14ac:dyDescent="0.2">
      <c r="A707" s="1">
        <v>489532</v>
      </c>
      <c r="B707" s="1">
        <v>22086</v>
      </c>
      <c r="C707" s="1" t="s">
        <v>183</v>
      </c>
      <c r="D707" s="1">
        <v>6</v>
      </c>
      <c r="E707" s="3">
        <v>40148.498611111114</v>
      </c>
      <c r="F707" s="1">
        <v>2.95</v>
      </c>
      <c r="G707" s="1">
        <v>13394</v>
      </c>
      <c r="H707" s="1" t="s">
        <v>10</v>
      </c>
      <c r="I707" s="1">
        <f t="shared" si="2"/>
        <v>17.700000000000003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x14ac:dyDescent="0.2">
      <c r="A708" s="1">
        <v>489532</v>
      </c>
      <c r="B708" s="1">
        <v>84347</v>
      </c>
      <c r="C708" s="1" t="s">
        <v>621</v>
      </c>
      <c r="D708" s="1">
        <v>6</v>
      </c>
      <c r="E708" s="3">
        <v>40148.498611111114</v>
      </c>
      <c r="F708" s="1">
        <v>2.5499999999999998</v>
      </c>
      <c r="G708" s="1">
        <v>13394</v>
      </c>
      <c r="H708" s="1" t="s">
        <v>10</v>
      </c>
      <c r="I708" s="1">
        <f t="shared" si="2"/>
        <v>15.299999999999999</v>
      </c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x14ac:dyDescent="0.2">
      <c r="A709" s="1">
        <v>489532</v>
      </c>
      <c r="B709" s="1">
        <v>22071</v>
      </c>
      <c r="C709" s="1" t="s">
        <v>622</v>
      </c>
      <c r="D709" s="1">
        <v>6</v>
      </c>
      <c r="E709" s="3">
        <v>40148.498611111114</v>
      </c>
      <c r="F709" s="1">
        <v>3.75</v>
      </c>
      <c r="G709" s="1">
        <v>13394</v>
      </c>
      <c r="H709" s="1" t="s">
        <v>10</v>
      </c>
      <c r="I709" s="1">
        <f t="shared" si="2"/>
        <v>22.5</v>
      </c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x14ac:dyDescent="0.2">
      <c r="A710" s="1">
        <v>489532</v>
      </c>
      <c r="B710" s="1">
        <v>22070</v>
      </c>
      <c r="C710" s="1" t="s">
        <v>623</v>
      </c>
      <c r="D710" s="1">
        <v>6</v>
      </c>
      <c r="E710" s="3">
        <v>40148.498611111114</v>
      </c>
      <c r="F710" s="1">
        <v>3.75</v>
      </c>
      <c r="G710" s="1">
        <v>13394</v>
      </c>
      <c r="H710" s="1" t="s">
        <v>10</v>
      </c>
      <c r="I710" s="1">
        <f t="shared" si="2"/>
        <v>22.5</v>
      </c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x14ac:dyDescent="0.2">
      <c r="A711" s="1">
        <v>489532</v>
      </c>
      <c r="B711" s="1">
        <v>22111</v>
      </c>
      <c r="C711" s="1" t="s">
        <v>24</v>
      </c>
      <c r="D711" s="1">
        <v>3</v>
      </c>
      <c r="E711" s="3">
        <v>40148.498611111114</v>
      </c>
      <c r="F711" s="1">
        <v>4.95</v>
      </c>
      <c r="G711" s="1">
        <v>13394</v>
      </c>
      <c r="H711" s="1" t="s">
        <v>10</v>
      </c>
      <c r="I711" s="1">
        <f t="shared" si="2"/>
        <v>14.850000000000001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x14ac:dyDescent="0.2">
      <c r="A712" s="1">
        <v>489532</v>
      </c>
      <c r="B712" s="1">
        <v>21485</v>
      </c>
      <c r="C712" s="1" t="s">
        <v>185</v>
      </c>
      <c r="D712" s="1">
        <v>3</v>
      </c>
      <c r="E712" s="3">
        <v>40148.498611111114</v>
      </c>
      <c r="F712" s="1">
        <v>4.95</v>
      </c>
      <c r="G712" s="1">
        <v>13394</v>
      </c>
      <c r="H712" s="1" t="s">
        <v>10</v>
      </c>
      <c r="I712" s="1">
        <f t="shared" si="2"/>
        <v>14.850000000000001</v>
      </c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x14ac:dyDescent="0.2">
      <c r="A713" s="1">
        <v>489532</v>
      </c>
      <c r="B713" s="1">
        <v>20892</v>
      </c>
      <c r="C713" s="1" t="s">
        <v>331</v>
      </c>
      <c r="D713" s="1">
        <v>2</v>
      </c>
      <c r="E713" s="3">
        <v>40148.498611111114</v>
      </c>
      <c r="F713" s="1">
        <v>12.75</v>
      </c>
      <c r="G713" s="1">
        <v>13394</v>
      </c>
      <c r="H713" s="1" t="s">
        <v>10</v>
      </c>
      <c r="I713" s="1">
        <f t="shared" si="2"/>
        <v>25.5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x14ac:dyDescent="0.2">
      <c r="A714" s="1">
        <v>489533</v>
      </c>
      <c r="B714" s="1">
        <v>84836</v>
      </c>
      <c r="C714" s="1" t="s">
        <v>427</v>
      </c>
      <c r="D714" s="1">
        <v>12</v>
      </c>
      <c r="E714" s="3">
        <v>40148.501388888886</v>
      </c>
      <c r="F714" s="1">
        <v>1.25</v>
      </c>
      <c r="G714" s="1">
        <v>16011</v>
      </c>
      <c r="H714" s="1" t="s">
        <v>10</v>
      </c>
      <c r="I714" s="1">
        <f t="shared" si="2"/>
        <v>15</v>
      </c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x14ac:dyDescent="0.2">
      <c r="A715" s="1">
        <v>489533</v>
      </c>
      <c r="B715" s="1" t="s">
        <v>52</v>
      </c>
      <c r="C715" s="1" t="s">
        <v>53</v>
      </c>
      <c r="D715" s="1">
        <v>12</v>
      </c>
      <c r="E715" s="3">
        <v>40148.501388888886</v>
      </c>
      <c r="F715" s="1">
        <v>0.85</v>
      </c>
      <c r="G715" s="1">
        <v>16011</v>
      </c>
      <c r="H715" s="1" t="s">
        <v>10</v>
      </c>
      <c r="I715" s="1">
        <f t="shared" si="2"/>
        <v>10.199999999999999</v>
      </c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x14ac:dyDescent="0.2">
      <c r="A716" s="1">
        <v>489533</v>
      </c>
      <c r="B716" s="1">
        <v>84946</v>
      </c>
      <c r="C716" s="1" t="s">
        <v>208</v>
      </c>
      <c r="D716" s="1">
        <v>6</v>
      </c>
      <c r="E716" s="3">
        <v>40148.501388888886</v>
      </c>
      <c r="F716" s="1">
        <v>1.25</v>
      </c>
      <c r="G716" s="1">
        <v>16011</v>
      </c>
      <c r="H716" s="1" t="s">
        <v>10</v>
      </c>
      <c r="I716" s="1">
        <f t="shared" si="2"/>
        <v>7.5</v>
      </c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x14ac:dyDescent="0.2">
      <c r="A717" s="1">
        <v>489533</v>
      </c>
      <c r="B717" s="1">
        <v>22300</v>
      </c>
      <c r="C717" s="1" t="s">
        <v>300</v>
      </c>
      <c r="D717" s="1">
        <v>6</v>
      </c>
      <c r="E717" s="3">
        <v>40148.501388888886</v>
      </c>
      <c r="F717" s="1">
        <v>2.5499999999999998</v>
      </c>
      <c r="G717" s="1">
        <v>16011</v>
      </c>
      <c r="H717" s="1" t="s">
        <v>10</v>
      </c>
      <c r="I717" s="1">
        <f t="shared" si="2"/>
        <v>15.299999999999999</v>
      </c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x14ac:dyDescent="0.2">
      <c r="A718" s="1">
        <v>489533</v>
      </c>
      <c r="B718" s="1">
        <v>84946</v>
      </c>
      <c r="C718" s="1" t="s">
        <v>208</v>
      </c>
      <c r="D718" s="1">
        <v>6</v>
      </c>
      <c r="E718" s="3">
        <v>40148.501388888886</v>
      </c>
      <c r="F718" s="1">
        <v>1.25</v>
      </c>
      <c r="G718" s="1">
        <v>16011</v>
      </c>
      <c r="H718" s="1" t="s">
        <v>10</v>
      </c>
      <c r="I718" s="1">
        <f t="shared" si="2"/>
        <v>7.5</v>
      </c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x14ac:dyDescent="0.2">
      <c r="A719" s="1">
        <v>489533</v>
      </c>
      <c r="B719" s="1">
        <v>21353</v>
      </c>
      <c r="C719" s="1" t="s">
        <v>624</v>
      </c>
      <c r="D719" s="1">
        <v>4</v>
      </c>
      <c r="E719" s="3">
        <v>40148.501388888886</v>
      </c>
      <c r="F719" s="1">
        <v>7.95</v>
      </c>
      <c r="G719" s="1">
        <v>16011</v>
      </c>
      <c r="H719" s="1" t="s">
        <v>10</v>
      </c>
      <c r="I719" s="1">
        <f t="shared" si="2"/>
        <v>31.8</v>
      </c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x14ac:dyDescent="0.2">
      <c r="A720" s="1">
        <v>489533</v>
      </c>
      <c r="B720" s="1">
        <v>21540</v>
      </c>
      <c r="C720" s="1" t="s">
        <v>316</v>
      </c>
      <c r="D720" s="1">
        <v>2</v>
      </c>
      <c r="E720" s="3">
        <v>40148.501388888886</v>
      </c>
      <c r="F720" s="1">
        <v>4.25</v>
      </c>
      <c r="G720" s="1">
        <v>16011</v>
      </c>
      <c r="H720" s="1" t="s">
        <v>10</v>
      </c>
      <c r="I720" s="1">
        <f t="shared" si="2"/>
        <v>8.5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x14ac:dyDescent="0.2">
      <c r="A721" s="1">
        <v>489533</v>
      </c>
      <c r="B721" s="1">
        <v>85053</v>
      </c>
      <c r="C721" s="1" t="s">
        <v>625</v>
      </c>
      <c r="D721" s="1">
        <v>2</v>
      </c>
      <c r="E721" s="3">
        <v>40148.501388888886</v>
      </c>
      <c r="F721" s="1">
        <v>2.1</v>
      </c>
      <c r="G721" s="1">
        <v>16011</v>
      </c>
      <c r="H721" s="1" t="s">
        <v>10</v>
      </c>
      <c r="I721" s="1">
        <f t="shared" si="2"/>
        <v>4.2</v>
      </c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x14ac:dyDescent="0.2">
      <c r="A722" s="1">
        <v>489533</v>
      </c>
      <c r="B722" s="1">
        <v>21754</v>
      </c>
      <c r="C722" s="1" t="s">
        <v>43</v>
      </c>
      <c r="D722" s="1">
        <v>2</v>
      </c>
      <c r="E722" s="3">
        <v>40148.501388888886</v>
      </c>
      <c r="F722" s="1">
        <v>5.95</v>
      </c>
      <c r="G722" s="1">
        <v>16011</v>
      </c>
      <c r="H722" s="1" t="s">
        <v>10</v>
      </c>
      <c r="I722" s="1">
        <f t="shared" si="2"/>
        <v>11.9</v>
      </c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x14ac:dyDescent="0.2">
      <c r="A723" s="1">
        <v>489533</v>
      </c>
      <c r="B723" s="1">
        <v>22118</v>
      </c>
      <c r="C723" s="1" t="s">
        <v>626</v>
      </c>
      <c r="D723" s="1">
        <v>2</v>
      </c>
      <c r="E723" s="3">
        <v>40148.501388888886</v>
      </c>
      <c r="F723" s="1">
        <v>4.95</v>
      </c>
      <c r="G723" s="1">
        <v>16011</v>
      </c>
      <c r="H723" s="1" t="s">
        <v>10</v>
      </c>
      <c r="I723" s="1">
        <f t="shared" si="2"/>
        <v>9.9</v>
      </c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x14ac:dyDescent="0.2">
      <c r="A724" s="1">
        <v>489533</v>
      </c>
      <c r="B724" s="1">
        <v>21755</v>
      </c>
      <c r="C724" s="1" t="s">
        <v>25</v>
      </c>
      <c r="D724" s="1">
        <v>2</v>
      </c>
      <c r="E724" s="3">
        <v>40148.501388888886</v>
      </c>
      <c r="F724" s="1">
        <v>5.95</v>
      </c>
      <c r="G724" s="1">
        <v>16011</v>
      </c>
      <c r="H724" s="1" t="s">
        <v>10</v>
      </c>
      <c r="I724" s="1">
        <f t="shared" si="2"/>
        <v>11.9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x14ac:dyDescent="0.2">
      <c r="A725" s="1">
        <v>489533</v>
      </c>
      <c r="B725" s="1">
        <v>84352</v>
      </c>
      <c r="C725" s="1" t="s">
        <v>627</v>
      </c>
      <c r="D725" s="1">
        <v>1</v>
      </c>
      <c r="E725" s="3">
        <v>40148.501388888886</v>
      </c>
      <c r="F725" s="1">
        <v>16.95</v>
      </c>
      <c r="G725" s="1">
        <v>16011</v>
      </c>
      <c r="H725" s="1" t="s">
        <v>10</v>
      </c>
      <c r="I725" s="1">
        <f t="shared" si="2"/>
        <v>16.95</v>
      </c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x14ac:dyDescent="0.2">
      <c r="A726" s="1">
        <v>489533</v>
      </c>
      <c r="B726" s="1">
        <v>79067</v>
      </c>
      <c r="C726" s="1" t="s">
        <v>628</v>
      </c>
      <c r="D726" s="1">
        <v>1</v>
      </c>
      <c r="E726" s="3">
        <v>40148.501388888886</v>
      </c>
      <c r="F726" s="1">
        <v>3.75</v>
      </c>
      <c r="G726" s="1">
        <v>16011</v>
      </c>
      <c r="H726" s="1" t="s">
        <v>10</v>
      </c>
      <c r="I726" s="1">
        <f t="shared" si="2"/>
        <v>3.75</v>
      </c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x14ac:dyDescent="0.2">
      <c r="A727" s="1">
        <v>489533</v>
      </c>
      <c r="B727" s="1">
        <v>22203</v>
      </c>
      <c r="C727" s="1" t="s">
        <v>629</v>
      </c>
      <c r="D727" s="1">
        <v>1</v>
      </c>
      <c r="E727" s="3">
        <v>40148.501388888886</v>
      </c>
      <c r="F727" s="1">
        <v>3.75</v>
      </c>
      <c r="G727" s="1">
        <v>16011</v>
      </c>
      <c r="H727" s="1" t="s">
        <v>10</v>
      </c>
      <c r="I727" s="1">
        <f t="shared" si="2"/>
        <v>3.75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x14ac:dyDescent="0.2">
      <c r="A728" s="1">
        <v>489533</v>
      </c>
      <c r="B728" s="1">
        <v>21535</v>
      </c>
      <c r="C728" s="1" t="s">
        <v>541</v>
      </c>
      <c r="D728" s="1">
        <v>1</v>
      </c>
      <c r="E728" s="3">
        <v>40148.501388888886</v>
      </c>
      <c r="F728" s="1">
        <v>2.5499999999999998</v>
      </c>
      <c r="G728" s="1">
        <v>16011</v>
      </c>
      <c r="H728" s="1" t="s">
        <v>10</v>
      </c>
      <c r="I728" s="1">
        <f t="shared" si="2"/>
        <v>2.5499999999999998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x14ac:dyDescent="0.2">
      <c r="A729" s="1">
        <v>489533</v>
      </c>
      <c r="B729" s="1">
        <v>21538</v>
      </c>
      <c r="C729" s="1" t="s">
        <v>630</v>
      </c>
      <c r="D729" s="1">
        <v>1</v>
      </c>
      <c r="E729" s="3">
        <v>40148.501388888886</v>
      </c>
      <c r="F729" s="1">
        <v>3.75</v>
      </c>
      <c r="G729" s="1">
        <v>16011</v>
      </c>
      <c r="H729" s="1" t="s">
        <v>10</v>
      </c>
      <c r="I729" s="1">
        <f t="shared" si="2"/>
        <v>3.75</v>
      </c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x14ac:dyDescent="0.2">
      <c r="A730" s="1">
        <v>489533</v>
      </c>
      <c r="B730" s="1">
        <v>22073</v>
      </c>
      <c r="C730" s="1" t="s">
        <v>549</v>
      </c>
      <c r="D730" s="1">
        <v>1</v>
      </c>
      <c r="E730" s="3">
        <v>40148.501388888886</v>
      </c>
      <c r="F730" s="1">
        <v>3.75</v>
      </c>
      <c r="G730" s="1">
        <v>16011</v>
      </c>
      <c r="H730" s="1" t="s">
        <v>10</v>
      </c>
      <c r="I730" s="1">
        <f t="shared" si="2"/>
        <v>3.75</v>
      </c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x14ac:dyDescent="0.2">
      <c r="A731" s="1">
        <v>489533</v>
      </c>
      <c r="B731" s="1">
        <v>21534</v>
      </c>
      <c r="C731" s="1" t="s">
        <v>631</v>
      </c>
      <c r="D731" s="1">
        <v>1</v>
      </c>
      <c r="E731" s="3">
        <v>40148.501388888886</v>
      </c>
      <c r="F731" s="1">
        <v>4.95</v>
      </c>
      <c r="G731" s="1">
        <v>16011</v>
      </c>
      <c r="H731" s="1" t="s">
        <v>10</v>
      </c>
      <c r="I731" s="1">
        <f t="shared" si="2"/>
        <v>4.95</v>
      </c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x14ac:dyDescent="0.2">
      <c r="A732" s="1">
        <v>489533</v>
      </c>
      <c r="B732" s="1">
        <v>22073</v>
      </c>
      <c r="C732" s="1" t="s">
        <v>549</v>
      </c>
      <c r="D732" s="1">
        <v>1</v>
      </c>
      <c r="E732" s="3">
        <v>40148.501388888886</v>
      </c>
      <c r="F732" s="1">
        <v>3.75</v>
      </c>
      <c r="G732" s="1">
        <v>16011</v>
      </c>
      <c r="H732" s="1" t="s">
        <v>10</v>
      </c>
      <c r="I732" s="1">
        <f t="shared" si="2"/>
        <v>3.75</v>
      </c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x14ac:dyDescent="0.2">
      <c r="A733" s="1">
        <v>489533</v>
      </c>
      <c r="B733" s="1">
        <v>21533</v>
      </c>
      <c r="C733" s="1" t="s">
        <v>315</v>
      </c>
      <c r="D733" s="1">
        <v>1</v>
      </c>
      <c r="E733" s="3">
        <v>40148.501388888886</v>
      </c>
      <c r="F733" s="1">
        <v>4.95</v>
      </c>
      <c r="G733" s="1">
        <v>16011</v>
      </c>
      <c r="H733" s="1" t="s">
        <v>10</v>
      </c>
      <c r="I733" s="1">
        <f t="shared" si="2"/>
        <v>4.95</v>
      </c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x14ac:dyDescent="0.2">
      <c r="A734" s="1">
        <v>489533</v>
      </c>
      <c r="B734" s="1">
        <v>21756</v>
      </c>
      <c r="C734" s="1" t="s">
        <v>45</v>
      </c>
      <c r="D734" s="1">
        <v>1</v>
      </c>
      <c r="E734" s="3">
        <v>40148.501388888886</v>
      </c>
      <c r="F734" s="1">
        <v>5.95</v>
      </c>
      <c r="G734" s="1">
        <v>16011</v>
      </c>
      <c r="H734" s="1" t="s">
        <v>10</v>
      </c>
      <c r="I734" s="1">
        <f t="shared" si="2"/>
        <v>5.95</v>
      </c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x14ac:dyDescent="0.2">
      <c r="A735" s="1">
        <v>489533</v>
      </c>
      <c r="B735" s="1">
        <v>22118</v>
      </c>
      <c r="C735" s="1" t="s">
        <v>626</v>
      </c>
      <c r="D735" s="1">
        <v>1</v>
      </c>
      <c r="E735" s="3">
        <v>40148.501388888886</v>
      </c>
      <c r="F735" s="1">
        <v>4.95</v>
      </c>
      <c r="G735" s="1">
        <v>16011</v>
      </c>
      <c r="H735" s="1" t="s">
        <v>10</v>
      </c>
      <c r="I735" s="1">
        <f t="shared" si="2"/>
        <v>4.95</v>
      </c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x14ac:dyDescent="0.2">
      <c r="A736" s="1" t="s">
        <v>632</v>
      </c>
      <c r="B736" s="1">
        <v>35832</v>
      </c>
      <c r="C736" s="1" t="s">
        <v>633</v>
      </c>
      <c r="D736" s="1">
        <v>-1</v>
      </c>
      <c r="E736" s="3">
        <v>40148.506249999999</v>
      </c>
      <c r="F736" s="1">
        <v>5.95</v>
      </c>
      <c r="G736" s="1">
        <v>12615</v>
      </c>
      <c r="H736" s="1" t="s">
        <v>100</v>
      </c>
      <c r="I736" s="1">
        <f t="shared" si="2"/>
        <v>-5.95</v>
      </c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x14ac:dyDescent="0.2">
      <c r="A737" s="1" t="s">
        <v>634</v>
      </c>
      <c r="B737" s="1" t="s">
        <v>635</v>
      </c>
      <c r="C737" s="1" t="s">
        <v>636</v>
      </c>
      <c r="D737" s="1">
        <v>-1</v>
      </c>
      <c r="E737" s="3">
        <v>40148.507638888892</v>
      </c>
      <c r="F737" s="1">
        <v>9</v>
      </c>
      <c r="G737" s="1">
        <v>15299</v>
      </c>
      <c r="H737" s="1" t="s">
        <v>10</v>
      </c>
      <c r="I737" s="1">
        <f t="shared" si="2"/>
        <v>-9</v>
      </c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x14ac:dyDescent="0.2">
      <c r="A738" s="1" t="s">
        <v>634</v>
      </c>
      <c r="B738" s="1" t="s">
        <v>635</v>
      </c>
      <c r="C738" s="1" t="s">
        <v>636</v>
      </c>
      <c r="D738" s="1">
        <v>-1</v>
      </c>
      <c r="E738" s="3">
        <v>40148.507638888892</v>
      </c>
      <c r="F738" s="1">
        <v>19</v>
      </c>
      <c r="G738" s="1">
        <v>15299</v>
      </c>
      <c r="H738" s="1" t="s">
        <v>10</v>
      </c>
      <c r="I738" s="1">
        <f t="shared" si="2"/>
        <v>-19</v>
      </c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x14ac:dyDescent="0.2">
      <c r="A739" s="1">
        <v>489536</v>
      </c>
      <c r="B739" s="1">
        <v>22355</v>
      </c>
      <c r="C739" s="1" t="s">
        <v>637</v>
      </c>
      <c r="D739" s="1">
        <v>9</v>
      </c>
      <c r="E739" s="3">
        <v>40148.509027777778</v>
      </c>
      <c r="F739" s="1">
        <v>0.85</v>
      </c>
      <c r="G739" s="1">
        <v>16393</v>
      </c>
      <c r="H739" s="1" t="s">
        <v>10</v>
      </c>
      <c r="I739" s="1">
        <f t="shared" si="2"/>
        <v>7.6499999999999995</v>
      </c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x14ac:dyDescent="0.2">
      <c r="A740" s="1">
        <v>489536</v>
      </c>
      <c r="B740" s="1">
        <v>20975</v>
      </c>
      <c r="C740" s="1" t="s">
        <v>638</v>
      </c>
      <c r="D740" s="1">
        <v>7</v>
      </c>
      <c r="E740" s="3">
        <v>40148.509027777778</v>
      </c>
      <c r="F740" s="1">
        <v>0.65</v>
      </c>
      <c r="G740" s="1">
        <v>16393</v>
      </c>
      <c r="H740" s="1" t="s">
        <v>10</v>
      </c>
      <c r="I740" s="1">
        <f t="shared" si="2"/>
        <v>4.55</v>
      </c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x14ac:dyDescent="0.2">
      <c r="A741" s="1">
        <v>489536</v>
      </c>
      <c r="B741" s="1">
        <v>21791</v>
      </c>
      <c r="C741" s="1" t="s">
        <v>324</v>
      </c>
      <c r="D741" s="1">
        <v>6</v>
      </c>
      <c r="E741" s="3">
        <v>40148.509027777778</v>
      </c>
      <c r="F741" s="1">
        <v>1.25</v>
      </c>
      <c r="G741" s="1">
        <v>16393</v>
      </c>
      <c r="H741" s="1" t="s">
        <v>10</v>
      </c>
      <c r="I741" s="1">
        <f t="shared" si="2"/>
        <v>7.5</v>
      </c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x14ac:dyDescent="0.2">
      <c r="A742" s="1">
        <v>489536</v>
      </c>
      <c r="B742" s="1">
        <v>21677</v>
      </c>
      <c r="C742" s="1" t="s">
        <v>639</v>
      </c>
      <c r="D742" s="1">
        <v>6</v>
      </c>
      <c r="E742" s="3">
        <v>40148.509027777778</v>
      </c>
      <c r="F742" s="1">
        <v>0.85</v>
      </c>
      <c r="G742" s="1">
        <v>16393</v>
      </c>
      <c r="H742" s="1" t="s">
        <v>10</v>
      </c>
      <c r="I742" s="1">
        <f t="shared" si="2"/>
        <v>5.0999999999999996</v>
      </c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x14ac:dyDescent="0.2">
      <c r="A743" s="1">
        <v>489536</v>
      </c>
      <c r="B743" s="1">
        <v>21680</v>
      </c>
      <c r="C743" s="1" t="s">
        <v>640</v>
      </c>
      <c r="D743" s="1">
        <v>6</v>
      </c>
      <c r="E743" s="3">
        <v>40148.509027777778</v>
      </c>
      <c r="F743" s="1">
        <v>0.85</v>
      </c>
      <c r="G743" s="1">
        <v>16393</v>
      </c>
      <c r="H743" s="1" t="s">
        <v>10</v>
      </c>
      <c r="I743" s="1">
        <f t="shared" si="2"/>
        <v>5.0999999999999996</v>
      </c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x14ac:dyDescent="0.2">
      <c r="A744" s="1">
        <v>489536</v>
      </c>
      <c r="B744" s="1">
        <v>84946</v>
      </c>
      <c r="C744" s="1" t="s">
        <v>208</v>
      </c>
      <c r="D744" s="1">
        <v>6</v>
      </c>
      <c r="E744" s="3">
        <v>40148.509027777778</v>
      </c>
      <c r="F744" s="1">
        <v>1.25</v>
      </c>
      <c r="G744" s="1">
        <v>16393</v>
      </c>
      <c r="H744" s="1" t="s">
        <v>10</v>
      </c>
      <c r="I744" s="1">
        <f t="shared" si="2"/>
        <v>7.5</v>
      </c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x14ac:dyDescent="0.2">
      <c r="A745" s="1">
        <v>489536</v>
      </c>
      <c r="B745" s="1">
        <v>21931</v>
      </c>
      <c r="C745" s="1" t="s">
        <v>367</v>
      </c>
      <c r="D745" s="1">
        <v>5</v>
      </c>
      <c r="E745" s="3">
        <v>40148.509027777778</v>
      </c>
      <c r="F745" s="1">
        <v>1.95</v>
      </c>
      <c r="G745" s="1">
        <v>16393</v>
      </c>
      <c r="H745" s="1" t="s">
        <v>10</v>
      </c>
      <c r="I745" s="1">
        <f t="shared" si="2"/>
        <v>9.75</v>
      </c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x14ac:dyDescent="0.2">
      <c r="A746" s="1">
        <v>489536</v>
      </c>
      <c r="B746" s="1" t="s">
        <v>178</v>
      </c>
      <c r="C746" s="1" t="s">
        <v>179</v>
      </c>
      <c r="D746" s="1">
        <v>5</v>
      </c>
      <c r="E746" s="3">
        <v>40148.509027777778</v>
      </c>
      <c r="F746" s="1">
        <v>1.95</v>
      </c>
      <c r="G746" s="1">
        <v>16393</v>
      </c>
      <c r="H746" s="1" t="s">
        <v>10</v>
      </c>
      <c r="I746" s="1">
        <f t="shared" si="2"/>
        <v>9.75</v>
      </c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x14ac:dyDescent="0.2">
      <c r="A747" s="1">
        <v>489536</v>
      </c>
      <c r="B747" s="1">
        <v>20728</v>
      </c>
      <c r="C747" s="1" t="s">
        <v>192</v>
      </c>
      <c r="D747" s="1">
        <v>4</v>
      </c>
      <c r="E747" s="3">
        <v>40148.509027777778</v>
      </c>
      <c r="F747" s="1">
        <v>1.65</v>
      </c>
      <c r="G747" s="1">
        <v>16393</v>
      </c>
      <c r="H747" s="1" t="s">
        <v>10</v>
      </c>
      <c r="I747" s="1">
        <f t="shared" si="2"/>
        <v>6.6</v>
      </c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x14ac:dyDescent="0.2">
      <c r="A748" s="1">
        <v>489536</v>
      </c>
      <c r="B748" s="1">
        <v>22064</v>
      </c>
      <c r="C748" s="1" t="s">
        <v>12</v>
      </c>
      <c r="D748" s="1">
        <v>4</v>
      </c>
      <c r="E748" s="3">
        <v>40148.509027777778</v>
      </c>
      <c r="F748" s="1">
        <v>1.65</v>
      </c>
      <c r="G748" s="1">
        <v>16393</v>
      </c>
      <c r="H748" s="1" t="s">
        <v>10</v>
      </c>
      <c r="I748" s="1">
        <f t="shared" si="2"/>
        <v>6.6</v>
      </c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x14ac:dyDescent="0.2">
      <c r="A749" s="1">
        <v>489536</v>
      </c>
      <c r="B749" s="1">
        <v>22068</v>
      </c>
      <c r="C749" s="1" t="s">
        <v>641</v>
      </c>
      <c r="D749" s="1">
        <v>4</v>
      </c>
      <c r="E749" s="3">
        <v>40148.509027777778</v>
      </c>
      <c r="F749" s="1">
        <v>1.65</v>
      </c>
      <c r="G749" s="1">
        <v>16393</v>
      </c>
      <c r="H749" s="1" t="s">
        <v>10</v>
      </c>
      <c r="I749" s="1">
        <f t="shared" si="2"/>
        <v>6.6</v>
      </c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x14ac:dyDescent="0.2">
      <c r="A750" s="1">
        <v>489536</v>
      </c>
      <c r="B750" s="1">
        <v>21581</v>
      </c>
      <c r="C750" s="1" t="s">
        <v>642</v>
      </c>
      <c r="D750" s="1">
        <v>4</v>
      </c>
      <c r="E750" s="3">
        <v>40148.509027777778</v>
      </c>
      <c r="F750" s="1">
        <v>2.25</v>
      </c>
      <c r="G750" s="1">
        <v>16393</v>
      </c>
      <c r="H750" s="1" t="s">
        <v>10</v>
      </c>
      <c r="I750" s="1">
        <f t="shared" si="2"/>
        <v>9</v>
      </c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x14ac:dyDescent="0.2">
      <c r="A751" s="1">
        <v>489536</v>
      </c>
      <c r="B751" s="1">
        <v>85227</v>
      </c>
      <c r="C751" s="1" t="s">
        <v>524</v>
      </c>
      <c r="D751" s="1">
        <v>3</v>
      </c>
      <c r="E751" s="3">
        <v>40148.509027777778</v>
      </c>
      <c r="F751" s="1">
        <v>0.85</v>
      </c>
      <c r="G751" s="1">
        <v>16393</v>
      </c>
      <c r="H751" s="1" t="s">
        <v>10</v>
      </c>
      <c r="I751" s="1">
        <f t="shared" si="2"/>
        <v>2.5499999999999998</v>
      </c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x14ac:dyDescent="0.2">
      <c r="A752" s="1">
        <v>489536</v>
      </c>
      <c r="B752" s="1">
        <v>21232</v>
      </c>
      <c r="C752" s="1" t="s">
        <v>11</v>
      </c>
      <c r="D752" s="1">
        <v>3</v>
      </c>
      <c r="E752" s="3">
        <v>40148.509027777778</v>
      </c>
      <c r="F752" s="1">
        <v>1.25</v>
      </c>
      <c r="G752" s="1">
        <v>16393</v>
      </c>
      <c r="H752" s="1" t="s">
        <v>10</v>
      </c>
      <c r="I752" s="1">
        <f t="shared" si="2"/>
        <v>3.75</v>
      </c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x14ac:dyDescent="0.2">
      <c r="A753" s="1">
        <v>489536</v>
      </c>
      <c r="B753" s="1">
        <v>22356</v>
      </c>
      <c r="C753" s="1" t="s">
        <v>189</v>
      </c>
      <c r="D753" s="1">
        <v>3</v>
      </c>
      <c r="E753" s="3">
        <v>40148.509027777778</v>
      </c>
      <c r="F753" s="1">
        <v>0.85</v>
      </c>
      <c r="G753" s="1">
        <v>16393</v>
      </c>
      <c r="H753" s="1" t="s">
        <v>10</v>
      </c>
      <c r="I753" s="1">
        <f t="shared" si="2"/>
        <v>2.5499999999999998</v>
      </c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x14ac:dyDescent="0.2">
      <c r="A754" s="1">
        <v>489536</v>
      </c>
      <c r="B754" s="1">
        <v>20727</v>
      </c>
      <c r="C754" s="1" t="s">
        <v>643</v>
      </c>
      <c r="D754" s="1">
        <v>3</v>
      </c>
      <c r="E754" s="3">
        <v>40148.509027777778</v>
      </c>
      <c r="F754" s="1">
        <v>1.65</v>
      </c>
      <c r="G754" s="1">
        <v>16393</v>
      </c>
      <c r="H754" s="1" t="s">
        <v>10</v>
      </c>
      <c r="I754" s="1">
        <f t="shared" si="2"/>
        <v>4.9499999999999993</v>
      </c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x14ac:dyDescent="0.2">
      <c r="A755" s="1">
        <v>489536</v>
      </c>
      <c r="B755" s="1">
        <v>21375</v>
      </c>
      <c r="C755" s="1" t="s">
        <v>644</v>
      </c>
      <c r="D755" s="1">
        <v>2</v>
      </c>
      <c r="E755" s="3">
        <v>40148.509027777778</v>
      </c>
      <c r="F755" s="1">
        <v>5.45</v>
      </c>
      <c r="G755" s="1">
        <v>16393</v>
      </c>
      <c r="H755" s="1" t="s">
        <v>10</v>
      </c>
      <c r="I755" s="1">
        <f t="shared" si="2"/>
        <v>10.9</v>
      </c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x14ac:dyDescent="0.2">
      <c r="A756" s="1">
        <v>489536</v>
      </c>
      <c r="B756" s="1" t="s">
        <v>645</v>
      </c>
      <c r="C756" s="1" t="s">
        <v>646</v>
      </c>
      <c r="D756" s="1">
        <v>2</v>
      </c>
      <c r="E756" s="3">
        <v>40148.509027777778</v>
      </c>
      <c r="F756" s="1">
        <v>1.95</v>
      </c>
      <c r="G756" s="1">
        <v>16393</v>
      </c>
      <c r="H756" s="1" t="s">
        <v>10</v>
      </c>
      <c r="I756" s="1">
        <f t="shared" si="2"/>
        <v>3.9</v>
      </c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x14ac:dyDescent="0.2">
      <c r="A757" s="1">
        <v>489536</v>
      </c>
      <c r="B757" s="1" t="s">
        <v>647</v>
      </c>
      <c r="C757" s="1" t="s">
        <v>648</v>
      </c>
      <c r="D757" s="1">
        <v>2</v>
      </c>
      <c r="E757" s="3">
        <v>40148.509027777778</v>
      </c>
      <c r="F757" s="1">
        <v>1.65</v>
      </c>
      <c r="G757" s="1">
        <v>16393</v>
      </c>
      <c r="H757" s="1" t="s">
        <v>10</v>
      </c>
      <c r="I757" s="1">
        <f t="shared" si="2"/>
        <v>3.3</v>
      </c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x14ac:dyDescent="0.2">
      <c r="A758" s="1">
        <v>489536</v>
      </c>
      <c r="B758" s="1">
        <v>21186</v>
      </c>
      <c r="C758" s="1" t="s">
        <v>649</v>
      </c>
      <c r="D758" s="1">
        <v>2</v>
      </c>
      <c r="E758" s="3">
        <v>40148.509027777778</v>
      </c>
      <c r="F758" s="1">
        <v>1.65</v>
      </c>
      <c r="G758" s="1">
        <v>16393</v>
      </c>
      <c r="H758" s="1" t="s">
        <v>10</v>
      </c>
      <c r="I758" s="1">
        <f t="shared" si="2"/>
        <v>3.3</v>
      </c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x14ac:dyDescent="0.2">
      <c r="A759" s="1">
        <v>489536</v>
      </c>
      <c r="B759" s="1">
        <v>21611</v>
      </c>
      <c r="C759" s="1" t="s">
        <v>650</v>
      </c>
      <c r="D759" s="1">
        <v>2</v>
      </c>
      <c r="E759" s="3">
        <v>40148.509027777778</v>
      </c>
      <c r="F759" s="1">
        <v>2.95</v>
      </c>
      <c r="G759" s="1">
        <v>16393</v>
      </c>
      <c r="H759" s="1" t="s">
        <v>10</v>
      </c>
      <c r="I759" s="1">
        <f t="shared" si="2"/>
        <v>5.9</v>
      </c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x14ac:dyDescent="0.2">
      <c r="A760" s="1">
        <v>489536</v>
      </c>
      <c r="B760" s="1">
        <v>22113</v>
      </c>
      <c r="C760" s="1" t="s">
        <v>465</v>
      </c>
      <c r="D760" s="1">
        <v>2</v>
      </c>
      <c r="E760" s="3">
        <v>40148.509027777778</v>
      </c>
      <c r="F760" s="1">
        <v>3.45</v>
      </c>
      <c r="G760" s="1">
        <v>16393</v>
      </c>
      <c r="H760" s="1" t="s">
        <v>10</v>
      </c>
      <c r="I760" s="1">
        <f t="shared" si="2"/>
        <v>6.9</v>
      </c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x14ac:dyDescent="0.2">
      <c r="A761" s="1">
        <v>489536</v>
      </c>
      <c r="B761" s="1">
        <v>22295</v>
      </c>
      <c r="C761" s="1" t="s">
        <v>30</v>
      </c>
      <c r="D761" s="1">
        <v>2</v>
      </c>
      <c r="E761" s="3">
        <v>40148.509027777778</v>
      </c>
      <c r="F761" s="1">
        <v>1.65</v>
      </c>
      <c r="G761" s="1">
        <v>16393</v>
      </c>
      <c r="H761" s="1" t="s">
        <v>10</v>
      </c>
      <c r="I761" s="1">
        <f t="shared" si="2"/>
        <v>3.3</v>
      </c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x14ac:dyDescent="0.2">
      <c r="A762" s="1">
        <v>489536</v>
      </c>
      <c r="B762" s="1">
        <v>22185</v>
      </c>
      <c r="C762" s="1" t="s">
        <v>651</v>
      </c>
      <c r="D762" s="1">
        <v>2</v>
      </c>
      <c r="E762" s="3">
        <v>40148.509027777778</v>
      </c>
      <c r="F762" s="1">
        <v>1.65</v>
      </c>
      <c r="G762" s="1">
        <v>16393</v>
      </c>
      <c r="H762" s="1" t="s">
        <v>10</v>
      </c>
      <c r="I762" s="1">
        <f t="shared" si="2"/>
        <v>3.3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x14ac:dyDescent="0.2">
      <c r="A763" s="1">
        <v>489536</v>
      </c>
      <c r="B763" s="1">
        <v>21791</v>
      </c>
      <c r="C763" s="1" t="s">
        <v>324</v>
      </c>
      <c r="D763" s="1">
        <v>2</v>
      </c>
      <c r="E763" s="3">
        <v>40148.509027777778</v>
      </c>
      <c r="F763" s="1">
        <v>1.25</v>
      </c>
      <c r="G763" s="1">
        <v>16393</v>
      </c>
      <c r="H763" s="1" t="s">
        <v>10</v>
      </c>
      <c r="I763" s="1">
        <f t="shared" si="2"/>
        <v>2.5</v>
      </c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x14ac:dyDescent="0.2">
      <c r="A764" s="1">
        <v>489536</v>
      </c>
      <c r="B764" s="1">
        <v>21918</v>
      </c>
      <c r="C764" s="1" t="s">
        <v>652</v>
      </c>
      <c r="D764" s="1">
        <v>2</v>
      </c>
      <c r="E764" s="3">
        <v>40148.509027777778</v>
      </c>
      <c r="F764" s="1">
        <v>0.42</v>
      </c>
      <c r="G764" s="1">
        <v>16393</v>
      </c>
      <c r="H764" s="1" t="s">
        <v>10</v>
      </c>
      <c r="I764" s="1">
        <f t="shared" si="2"/>
        <v>0.84</v>
      </c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x14ac:dyDescent="0.2">
      <c r="A765" s="1">
        <v>489536</v>
      </c>
      <c r="B765" s="1">
        <v>22086</v>
      </c>
      <c r="C765" s="1" t="s">
        <v>183</v>
      </c>
      <c r="D765" s="1">
        <v>2</v>
      </c>
      <c r="E765" s="3">
        <v>40148.509027777778</v>
      </c>
      <c r="F765" s="1">
        <v>2.95</v>
      </c>
      <c r="G765" s="1">
        <v>16393</v>
      </c>
      <c r="H765" s="1" t="s">
        <v>10</v>
      </c>
      <c r="I765" s="1">
        <f t="shared" si="2"/>
        <v>5.9</v>
      </c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x14ac:dyDescent="0.2">
      <c r="A766" s="1">
        <v>489536</v>
      </c>
      <c r="B766" s="1">
        <v>21493</v>
      </c>
      <c r="C766" s="1" t="s">
        <v>107</v>
      </c>
      <c r="D766" s="1">
        <v>2</v>
      </c>
      <c r="E766" s="3">
        <v>40148.509027777778</v>
      </c>
      <c r="F766" s="1">
        <v>0.85</v>
      </c>
      <c r="G766" s="1">
        <v>16393</v>
      </c>
      <c r="H766" s="1" t="s">
        <v>10</v>
      </c>
      <c r="I766" s="1">
        <f t="shared" si="2"/>
        <v>1.7</v>
      </c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x14ac:dyDescent="0.2">
      <c r="A767" s="1">
        <v>489536</v>
      </c>
      <c r="B767" s="1">
        <v>21491</v>
      </c>
      <c r="C767" s="1" t="s">
        <v>112</v>
      </c>
      <c r="D767" s="1">
        <v>2</v>
      </c>
      <c r="E767" s="3">
        <v>40148.509027777778</v>
      </c>
      <c r="F767" s="1">
        <v>1.95</v>
      </c>
      <c r="G767" s="1">
        <v>16393</v>
      </c>
      <c r="H767" s="1" t="s">
        <v>10</v>
      </c>
      <c r="I767" s="1">
        <f t="shared" ref="I767:I1021" si="3">D767*F767</f>
        <v>3.9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x14ac:dyDescent="0.2">
      <c r="A768" s="1">
        <v>489536</v>
      </c>
      <c r="B768" s="1" t="s">
        <v>653</v>
      </c>
      <c r="C768" s="1" t="s">
        <v>654</v>
      </c>
      <c r="D768" s="1">
        <v>2</v>
      </c>
      <c r="E768" s="3">
        <v>40148.509027777778</v>
      </c>
      <c r="F768" s="1">
        <v>3.75</v>
      </c>
      <c r="G768" s="1">
        <v>16393</v>
      </c>
      <c r="H768" s="1" t="s">
        <v>10</v>
      </c>
      <c r="I768" s="1">
        <f t="shared" si="3"/>
        <v>7.5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x14ac:dyDescent="0.2">
      <c r="A769" s="1">
        <v>489536</v>
      </c>
      <c r="B769" s="1">
        <v>20676</v>
      </c>
      <c r="C769" s="1" t="s">
        <v>510</v>
      </c>
      <c r="D769" s="1">
        <v>2</v>
      </c>
      <c r="E769" s="3">
        <v>40148.509027777778</v>
      </c>
      <c r="F769" s="1">
        <v>1.25</v>
      </c>
      <c r="G769" s="1">
        <v>16393</v>
      </c>
      <c r="H769" s="1" t="s">
        <v>10</v>
      </c>
      <c r="I769" s="1">
        <f t="shared" si="3"/>
        <v>2.5</v>
      </c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x14ac:dyDescent="0.2">
      <c r="A770" s="1">
        <v>489536</v>
      </c>
      <c r="B770" s="1">
        <v>22174</v>
      </c>
      <c r="C770" s="1" t="s">
        <v>655</v>
      </c>
      <c r="D770" s="1">
        <v>2</v>
      </c>
      <c r="E770" s="3">
        <v>40148.509027777778</v>
      </c>
      <c r="F770" s="1">
        <v>1.65</v>
      </c>
      <c r="G770" s="1">
        <v>16393</v>
      </c>
      <c r="H770" s="1" t="s">
        <v>10</v>
      </c>
      <c r="I770" s="1">
        <f t="shared" si="3"/>
        <v>3.3</v>
      </c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x14ac:dyDescent="0.2">
      <c r="A771" s="1">
        <v>489536</v>
      </c>
      <c r="B771" s="1">
        <v>22150</v>
      </c>
      <c r="C771" s="1" t="s">
        <v>656</v>
      </c>
      <c r="D771" s="1">
        <v>2</v>
      </c>
      <c r="E771" s="3">
        <v>40148.509027777778</v>
      </c>
      <c r="F771" s="1">
        <v>1.95</v>
      </c>
      <c r="G771" s="1">
        <v>16393</v>
      </c>
      <c r="H771" s="1" t="s">
        <v>10</v>
      </c>
      <c r="I771" s="1">
        <f t="shared" si="3"/>
        <v>3.9</v>
      </c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x14ac:dyDescent="0.2">
      <c r="A772" s="1">
        <v>489536</v>
      </c>
      <c r="B772" s="1">
        <v>22147</v>
      </c>
      <c r="C772" s="1" t="s">
        <v>657</v>
      </c>
      <c r="D772" s="1">
        <v>2</v>
      </c>
      <c r="E772" s="3">
        <v>40148.509027777778</v>
      </c>
      <c r="F772" s="1">
        <v>1.45</v>
      </c>
      <c r="G772" s="1">
        <v>16393</v>
      </c>
      <c r="H772" s="1" t="s">
        <v>10</v>
      </c>
      <c r="I772" s="1">
        <f t="shared" si="3"/>
        <v>2.9</v>
      </c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x14ac:dyDescent="0.2">
      <c r="A773" s="1">
        <v>489536</v>
      </c>
      <c r="B773" s="1">
        <v>21791</v>
      </c>
      <c r="C773" s="1" t="s">
        <v>324</v>
      </c>
      <c r="D773" s="1">
        <v>2</v>
      </c>
      <c r="E773" s="3">
        <v>40148.509027777778</v>
      </c>
      <c r="F773" s="1">
        <v>1.25</v>
      </c>
      <c r="G773" s="1">
        <v>16393</v>
      </c>
      <c r="H773" s="1" t="s">
        <v>10</v>
      </c>
      <c r="I773" s="1">
        <f t="shared" si="3"/>
        <v>2.5</v>
      </c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x14ac:dyDescent="0.2">
      <c r="A774" s="1">
        <v>489536</v>
      </c>
      <c r="B774" s="1">
        <v>21577</v>
      </c>
      <c r="C774" s="1" t="s">
        <v>658</v>
      </c>
      <c r="D774" s="1">
        <v>2</v>
      </c>
      <c r="E774" s="3">
        <v>40148.509027777778</v>
      </c>
      <c r="F774" s="1">
        <v>2.25</v>
      </c>
      <c r="G774" s="1">
        <v>16393</v>
      </c>
      <c r="H774" s="1" t="s">
        <v>10</v>
      </c>
      <c r="I774" s="1">
        <f t="shared" si="3"/>
        <v>4.5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x14ac:dyDescent="0.2">
      <c r="A775" s="1">
        <v>489536</v>
      </c>
      <c r="B775" s="1">
        <v>22185</v>
      </c>
      <c r="C775" s="1" t="s">
        <v>651</v>
      </c>
      <c r="D775" s="1">
        <v>2</v>
      </c>
      <c r="E775" s="3">
        <v>40148.509027777778</v>
      </c>
      <c r="F775" s="1">
        <v>1.65</v>
      </c>
      <c r="G775" s="1">
        <v>16393</v>
      </c>
      <c r="H775" s="1" t="s">
        <v>10</v>
      </c>
      <c r="I775" s="1">
        <f t="shared" si="3"/>
        <v>3.3</v>
      </c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x14ac:dyDescent="0.2">
      <c r="A776" s="1">
        <v>489536</v>
      </c>
      <c r="B776" s="1">
        <v>21578</v>
      </c>
      <c r="C776" s="1" t="s">
        <v>659</v>
      </c>
      <c r="D776" s="1">
        <v>2</v>
      </c>
      <c r="E776" s="3">
        <v>40148.509027777778</v>
      </c>
      <c r="F776" s="1">
        <v>2.25</v>
      </c>
      <c r="G776" s="1">
        <v>16393</v>
      </c>
      <c r="H776" s="1" t="s">
        <v>10</v>
      </c>
      <c r="I776" s="1">
        <f t="shared" si="3"/>
        <v>4.5</v>
      </c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x14ac:dyDescent="0.2">
      <c r="A777" s="1">
        <v>489536</v>
      </c>
      <c r="B777" s="1">
        <v>21934</v>
      </c>
      <c r="C777" s="1" t="s">
        <v>660</v>
      </c>
      <c r="D777" s="1">
        <v>2</v>
      </c>
      <c r="E777" s="3">
        <v>40148.509027777778</v>
      </c>
      <c r="F777" s="1">
        <v>1.65</v>
      </c>
      <c r="G777" s="1">
        <v>16393</v>
      </c>
      <c r="H777" s="1" t="s">
        <v>10</v>
      </c>
      <c r="I777" s="1">
        <f t="shared" si="3"/>
        <v>3.3</v>
      </c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x14ac:dyDescent="0.2">
      <c r="A778" s="1">
        <v>489536</v>
      </c>
      <c r="B778" s="1">
        <v>20956</v>
      </c>
      <c r="C778" s="1" t="s">
        <v>661</v>
      </c>
      <c r="D778" s="1">
        <v>2</v>
      </c>
      <c r="E778" s="3">
        <v>40148.509027777778</v>
      </c>
      <c r="F778" s="1">
        <v>1.25</v>
      </c>
      <c r="G778" s="1">
        <v>16393</v>
      </c>
      <c r="H778" s="1" t="s">
        <v>10</v>
      </c>
      <c r="I778" s="1">
        <f t="shared" si="3"/>
        <v>2.5</v>
      </c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x14ac:dyDescent="0.2">
      <c r="A779" s="1">
        <v>489536</v>
      </c>
      <c r="B779" s="1">
        <v>22109</v>
      </c>
      <c r="C779" s="1" t="s">
        <v>27</v>
      </c>
      <c r="D779" s="1">
        <v>1</v>
      </c>
      <c r="E779" s="3">
        <v>40148.509027777778</v>
      </c>
      <c r="F779" s="1">
        <v>3.75</v>
      </c>
      <c r="G779" s="1">
        <v>16393</v>
      </c>
      <c r="H779" s="1" t="s">
        <v>10</v>
      </c>
      <c r="I779" s="1">
        <f t="shared" si="3"/>
        <v>3.75</v>
      </c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x14ac:dyDescent="0.2">
      <c r="A780" s="1">
        <v>489536</v>
      </c>
      <c r="B780" s="1">
        <v>21864</v>
      </c>
      <c r="C780" s="1" t="s">
        <v>332</v>
      </c>
      <c r="D780" s="1">
        <v>1</v>
      </c>
      <c r="E780" s="3">
        <v>40148.509027777778</v>
      </c>
      <c r="F780" s="1">
        <v>2.1</v>
      </c>
      <c r="G780" s="1">
        <v>16393</v>
      </c>
      <c r="H780" s="1" t="s">
        <v>10</v>
      </c>
      <c r="I780" s="1">
        <f t="shared" si="3"/>
        <v>2.1</v>
      </c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x14ac:dyDescent="0.2">
      <c r="A781" s="1">
        <v>489536</v>
      </c>
      <c r="B781" s="1">
        <v>48129</v>
      </c>
      <c r="C781" s="1" t="s">
        <v>577</v>
      </c>
      <c r="D781" s="1">
        <v>1</v>
      </c>
      <c r="E781" s="3">
        <v>40148.509027777778</v>
      </c>
      <c r="F781" s="1">
        <v>6.75</v>
      </c>
      <c r="G781" s="1">
        <v>16393</v>
      </c>
      <c r="H781" s="1" t="s">
        <v>10</v>
      </c>
      <c r="I781" s="1">
        <f t="shared" si="3"/>
        <v>6.75</v>
      </c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x14ac:dyDescent="0.2">
      <c r="A782" s="1">
        <v>489536</v>
      </c>
      <c r="B782" s="1">
        <v>22186</v>
      </c>
      <c r="C782" s="1" t="s">
        <v>662</v>
      </c>
      <c r="D782" s="1">
        <v>1</v>
      </c>
      <c r="E782" s="3">
        <v>40148.509027777778</v>
      </c>
      <c r="F782" s="1">
        <v>2.95</v>
      </c>
      <c r="G782" s="1">
        <v>16393</v>
      </c>
      <c r="H782" s="1" t="s">
        <v>10</v>
      </c>
      <c r="I782" s="1">
        <f t="shared" si="3"/>
        <v>2.95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x14ac:dyDescent="0.2">
      <c r="A783" s="1">
        <v>489536</v>
      </c>
      <c r="B783" s="1">
        <v>21809</v>
      </c>
      <c r="C783" s="1" t="s">
        <v>663</v>
      </c>
      <c r="D783" s="1">
        <v>1</v>
      </c>
      <c r="E783" s="3">
        <v>40148.509027777778</v>
      </c>
      <c r="F783" s="1">
        <v>1.25</v>
      </c>
      <c r="G783" s="1">
        <v>16393</v>
      </c>
      <c r="H783" s="1" t="s">
        <v>10</v>
      </c>
      <c r="I783" s="1">
        <f t="shared" si="3"/>
        <v>1.25</v>
      </c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x14ac:dyDescent="0.2">
      <c r="A784" s="1">
        <v>489536</v>
      </c>
      <c r="B784" s="1">
        <v>21809</v>
      </c>
      <c r="C784" s="1" t="s">
        <v>663</v>
      </c>
      <c r="D784" s="1">
        <v>1</v>
      </c>
      <c r="E784" s="3">
        <v>40148.509027777778</v>
      </c>
      <c r="F784" s="1">
        <v>1.25</v>
      </c>
      <c r="G784" s="1">
        <v>16393</v>
      </c>
      <c r="H784" s="1" t="s">
        <v>10</v>
      </c>
      <c r="I784" s="1">
        <f t="shared" si="3"/>
        <v>1.25</v>
      </c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x14ac:dyDescent="0.2">
      <c r="A785" s="1">
        <v>489536</v>
      </c>
      <c r="B785" s="1">
        <v>22075</v>
      </c>
      <c r="C785" s="1" t="s">
        <v>492</v>
      </c>
      <c r="D785" s="1">
        <v>1</v>
      </c>
      <c r="E785" s="3">
        <v>40148.509027777778</v>
      </c>
      <c r="F785" s="1">
        <v>1.65</v>
      </c>
      <c r="G785" s="1">
        <v>16393</v>
      </c>
      <c r="H785" s="1" t="s">
        <v>10</v>
      </c>
      <c r="I785" s="1">
        <f t="shared" si="3"/>
        <v>1.65</v>
      </c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x14ac:dyDescent="0.2">
      <c r="A786" s="1">
        <v>489536</v>
      </c>
      <c r="B786" s="1">
        <v>22086</v>
      </c>
      <c r="C786" s="1" t="s">
        <v>183</v>
      </c>
      <c r="D786" s="1">
        <v>1</v>
      </c>
      <c r="E786" s="3">
        <v>40148.509027777778</v>
      </c>
      <c r="F786" s="1">
        <v>2.95</v>
      </c>
      <c r="G786" s="1">
        <v>16393</v>
      </c>
      <c r="H786" s="1" t="s">
        <v>10</v>
      </c>
      <c r="I786" s="1">
        <f t="shared" si="3"/>
        <v>2.95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x14ac:dyDescent="0.2">
      <c r="A787" s="1">
        <v>489536</v>
      </c>
      <c r="B787" s="1">
        <v>21480</v>
      </c>
      <c r="C787" s="1" t="s">
        <v>664</v>
      </c>
      <c r="D787" s="1">
        <v>1</v>
      </c>
      <c r="E787" s="3">
        <v>40148.509027777778</v>
      </c>
      <c r="F787" s="1">
        <v>2.95</v>
      </c>
      <c r="G787" s="1">
        <v>16393</v>
      </c>
      <c r="H787" s="1" t="s">
        <v>10</v>
      </c>
      <c r="I787" s="1">
        <f t="shared" si="3"/>
        <v>2.95</v>
      </c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x14ac:dyDescent="0.2">
      <c r="A788" s="1">
        <v>489536</v>
      </c>
      <c r="B788" s="1" t="s">
        <v>665</v>
      </c>
      <c r="C788" s="1" t="s">
        <v>666</v>
      </c>
      <c r="D788" s="1">
        <v>1</v>
      </c>
      <c r="E788" s="3">
        <v>40148.509027777778</v>
      </c>
      <c r="F788" s="1">
        <v>2.1</v>
      </c>
      <c r="G788" s="1">
        <v>16393</v>
      </c>
      <c r="H788" s="1" t="s">
        <v>10</v>
      </c>
      <c r="I788" s="1">
        <f t="shared" si="3"/>
        <v>2.1</v>
      </c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x14ac:dyDescent="0.2">
      <c r="A789" s="1">
        <v>489536</v>
      </c>
      <c r="B789" s="1" t="s">
        <v>667</v>
      </c>
      <c r="C789" s="1" t="s">
        <v>668</v>
      </c>
      <c r="D789" s="1">
        <v>1</v>
      </c>
      <c r="E789" s="3">
        <v>40148.509027777778</v>
      </c>
      <c r="F789" s="1">
        <v>1.95</v>
      </c>
      <c r="G789" s="1">
        <v>16393</v>
      </c>
      <c r="H789" s="1" t="s">
        <v>10</v>
      </c>
      <c r="I789" s="1">
        <f t="shared" si="3"/>
        <v>1.95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x14ac:dyDescent="0.2">
      <c r="A790" s="1">
        <v>489536</v>
      </c>
      <c r="B790" s="1">
        <v>35991</v>
      </c>
      <c r="C790" s="1" t="s">
        <v>669</v>
      </c>
      <c r="D790" s="1">
        <v>1</v>
      </c>
      <c r="E790" s="3">
        <v>40148.509027777778</v>
      </c>
      <c r="F790" s="1">
        <v>1.69</v>
      </c>
      <c r="G790" s="1">
        <v>16393</v>
      </c>
      <c r="H790" s="1" t="s">
        <v>10</v>
      </c>
      <c r="I790" s="1">
        <f t="shared" si="3"/>
        <v>1.69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x14ac:dyDescent="0.2">
      <c r="A791" s="1">
        <v>489536</v>
      </c>
      <c r="B791" s="1">
        <v>21786</v>
      </c>
      <c r="C791" s="1" t="s">
        <v>670</v>
      </c>
      <c r="D791" s="1">
        <v>1</v>
      </c>
      <c r="E791" s="3">
        <v>40148.509027777778</v>
      </c>
      <c r="F791" s="1">
        <v>0.42</v>
      </c>
      <c r="G791" s="1">
        <v>16393</v>
      </c>
      <c r="H791" s="1" t="s">
        <v>10</v>
      </c>
      <c r="I791" s="1">
        <f t="shared" si="3"/>
        <v>0.42</v>
      </c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x14ac:dyDescent="0.2">
      <c r="A792" s="1">
        <v>489536</v>
      </c>
      <c r="B792" s="1">
        <v>20752</v>
      </c>
      <c r="C792" s="1" t="s">
        <v>277</v>
      </c>
      <c r="D792" s="1">
        <v>1</v>
      </c>
      <c r="E792" s="3">
        <v>40148.509027777778</v>
      </c>
      <c r="F792" s="1">
        <v>2.1</v>
      </c>
      <c r="G792" s="1">
        <v>16393</v>
      </c>
      <c r="H792" s="1" t="s">
        <v>10</v>
      </c>
      <c r="I792" s="1">
        <f t="shared" si="3"/>
        <v>2.1</v>
      </c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x14ac:dyDescent="0.2">
      <c r="A793" s="1">
        <v>489536</v>
      </c>
      <c r="B793" s="1">
        <v>20754</v>
      </c>
      <c r="C793" s="1" t="s">
        <v>152</v>
      </c>
      <c r="D793" s="1">
        <v>1</v>
      </c>
      <c r="E793" s="3">
        <v>40148.509027777778</v>
      </c>
      <c r="F793" s="1">
        <v>2.1</v>
      </c>
      <c r="G793" s="1">
        <v>16393</v>
      </c>
      <c r="H793" s="1" t="s">
        <v>10</v>
      </c>
      <c r="I793" s="1">
        <f t="shared" si="3"/>
        <v>2.1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x14ac:dyDescent="0.2">
      <c r="A794" s="1">
        <v>489536</v>
      </c>
      <c r="B794" s="1">
        <v>84388</v>
      </c>
      <c r="C794" s="1" t="s">
        <v>671</v>
      </c>
      <c r="D794" s="1">
        <v>1</v>
      </c>
      <c r="E794" s="3">
        <v>40148.509027777778</v>
      </c>
      <c r="F794" s="1">
        <v>1.65</v>
      </c>
      <c r="G794" s="1">
        <v>16393</v>
      </c>
      <c r="H794" s="1" t="s">
        <v>10</v>
      </c>
      <c r="I794" s="1">
        <f t="shared" si="3"/>
        <v>1.65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x14ac:dyDescent="0.2">
      <c r="A795" s="1">
        <v>489536</v>
      </c>
      <c r="B795" s="1">
        <v>21865</v>
      </c>
      <c r="C795" s="1" t="s">
        <v>333</v>
      </c>
      <c r="D795" s="1">
        <v>1</v>
      </c>
      <c r="E795" s="3">
        <v>40148.509027777778</v>
      </c>
      <c r="F795" s="1">
        <v>2.1</v>
      </c>
      <c r="G795" s="1">
        <v>16393</v>
      </c>
      <c r="H795" s="1" t="s">
        <v>10</v>
      </c>
      <c r="I795" s="1">
        <f t="shared" si="3"/>
        <v>2.1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x14ac:dyDescent="0.2">
      <c r="A796" s="1">
        <v>489536</v>
      </c>
      <c r="B796" s="1">
        <v>21832</v>
      </c>
      <c r="C796" s="1" t="s">
        <v>464</v>
      </c>
      <c r="D796" s="1">
        <v>1</v>
      </c>
      <c r="E796" s="3">
        <v>40148.509027777778</v>
      </c>
      <c r="F796" s="1">
        <v>1.65</v>
      </c>
      <c r="G796" s="1">
        <v>16393</v>
      </c>
      <c r="H796" s="1" t="s">
        <v>10</v>
      </c>
      <c r="I796" s="1">
        <f t="shared" si="3"/>
        <v>1.65</v>
      </c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x14ac:dyDescent="0.2">
      <c r="A797" s="1">
        <v>489536</v>
      </c>
      <c r="B797" s="1" t="s">
        <v>258</v>
      </c>
      <c r="C797" s="1" t="s">
        <v>259</v>
      </c>
      <c r="D797" s="1">
        <v>1</v>
      </c>
      <c r="E797" s="3">
        <v>40148.509027777778</v>
      </c>
      <c r="F797" s="1">
        <v>2.95</v>
      </c>
      <c r="G797" s="1">
        <v>16393</v>
      </c>
      <c r="H797" s="1" t="s">
        <v>10</v>
      </c>
      <c r="I797" s="1">
        <f t="shared" si="3"/>
        <v>2.95</v>
      </c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x14ac:dyDescent="0.2">
      <c r="A798" s="1">
        <v>489536</v>
      </c>
      <c r="B798" s="1" t="s">
        <v>260</v>
      </c>
      <c r="C798" s="1" t="s">
        <v>261</v>
      </c>
      <c r="D798" s="1">
        <v>1</v>
      </c>
      <c r="E798" s="3">
        <v>40148.509027777778</v>
      </c>
      <c r="F798" s="1">
        <v>2.95</v>
      </c>
      <c r="G798" s="1">
        <v>16393</v>
      </c>
      <c r="H798" s="1" t="s">
        <v>10</v>
      </c>
      <c r="I798" s="1">
        <f t="shared" si="3"/>
        <v>2.95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x14ac:dyDescent="0.2">
      <c r="A799" s="1">
        <v>489536</v>
      </c>
      <c r="B799" s="1">
        <v>21948</v>
      </c>
      <c r="C799" s="1" t="s">
        <v>460</v>
      </c>
      <c r="D799" s="1">
        <v>1</v>
      </c>
      <c r="E799" s="3">
        <v>40148.509027777778</v>
      </c>
      <c r="F799" s="1">
        <v>1.25</v>
      </c>
      <c r="G799" s="1">
        <v>16393</v>
      </c>
      <c r="H799" s="1" t="s">
        <v>10</v>
      </c>
      <c r="I799" s="1">
        <f t="shared" si="3"/>
        <v>1.25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x14ac:dyDescent="0.2">
      <c r="A800" s="1">
        <v>489536</v>
      </c>
      <c r="B800" s="1" t="s">
        <v>672</v>
      </c>
      <c r="C800" s="1" t="s">
        <v>673</v>
      </c>
      <c r="D800" s="1">
        <v>1</v>
      </c>
      <c r="E800" s="3">
        <v>40148.509027777778</v>
      </c>
      <c r="F800" s="1">
        <v>1.25</v>
      </c>
      <c r="G800" s="1">
        <v>16393</v>
      </c>
      <c r="H800" s="1" t="s">
        <v>10</v>
      </c>
      <c r="I800" s="1">
        <f t="shared" si="3"/>
        <v>1.25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x14ac:dyDescent="0.2">
      <c r="A801" s="1">
        <v>489536</v>
      </c>
      <c r="B801" s="1">
        <v>21034</v>
      </c>
      <c r="C801" s="1" t="s">
        <v>606</v>
      </c>
      <c r="D801" s="1">
        <v>1</v>
      </c>
      <c r="E801" s="3">
        <v>40148.509027777778</v>
      </c>
      <c r="F801" s="1">
        <v>0.95</v>
      </c>
      <c r="G801" s="1">
        <v>16393</v>
      </c>
      <c r="H801" s="1" t="s">
        <v>10</v>
      </c>
      <c r="I801" s="1">
        <f t="shared" si="3"/>
        <v>0.95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x14ac:dyDescent="0.2">
      <c r="A802" s="1">
        <v>489536</v>
      </c>
      <c r="B802" s="1" t="s">
        <v>674</v>
      </c>
      <c r="C802" s="1" t="s">
        <v>675</v>
      </c>
      <c r="D802" s="1">
        <v>1</v>
      </c>
      <c r="E802" s="3">
        <v>40148.509027777778</v>
      </c>
      <c r="F802" s="1">
        <v>2.5499999999999998</v>
      </c>
      <c r="G802" s="1">
        <v>16393</v>
      </c>
      <c r="H802" s="1" t="s">
        <v>10</v>
      </c>
      <c r="I802" s="1">
        <f t="shared" si="3"/>
        <v>2.5499999999999998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x14ac:dyDescent="0.2">
      <c r="A803" s="1">
        <v>489536</v>
      </c>
      <c r="B803" s="1">
        <v>21747</v>
      </c>
      <c r="C803" s="1" t="s">
        <v>676</v>
      </c>
      <c r="D803" s="1">
        <v>1</v>
      </c>
      <c r="E803" s="3">
        <v>40148.509027777778</v>
      </c>
      <c r="F803" s="1">
        <v>1.25</v>
      </c>
      <c r="G803" s="1">
        <v>16393</v>
      </c>
      <c r="H803" s="1" t="s">
        <v>10</v>
      </c>
      <c r="I803" s="1">
        <f t="shared" si="3"/>
        <v>1.25</v>
      </c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x14ac:dyDescent="0.2">
      <c r="A804" s="1">
        <v>489536</v>
      </c>
      <c r="B804" s="1">
        <v>22197</v>
      </c>
      <c r="C804" s="1" t="s">
        <v>445</v>
      </c>
      <c r="D804" s="1">
        <v>1</v>
      </c>
      <c r="E804" s="3">
        <v>40148.509027777778</v>
      </c>
      <c r="F804" s="1">
        <v>0.85</v>
      </c>
      <c r="G804" s="1">
        <v>16393</v>
      </c>
      <c r="H804" s="1" t="s">
        <v>10</v>
      </c>
      <c r="I804" s="1">
        <f t="shared" si="3"/>
        <v>0.85</v>
      </c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x14ac:dyDescent="0.2">
      <c r="A805" s="1">
        <v>489536</v>
      </c>
      <c r="B805" s="1">
        <v>22107</v>
      </c>
      <c r="C805" s="1" t="s">
        <v>42</v>
      </c>
      <c r="D805" s="1">
        <v>1</v>
      </c>
      <c r="E805" s="3">
        <v>40148.509027777778</v>
      </c>
      <c r="F805" s="1">
        <v>3.75</v>
      </c>
      <c r="G805" s="1">
        <v>16393</v>
      </c>
      <c r="H805" s="1" t="s">
        <v>10</v>
      </c>
      <c r="I805" s="1">
        <f t="shared" si="3"/>
        <v>3.75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x14ac:dyDescent="0.2">
      <c r="A806" s="1">
        <v>489536</v>
      </c>
      <c r="B806" s="1">
        <v>22330</v>
      </c>
      <c r="C806" s="1" t="s">
        <v>677</v>
      </c>
      <c r="D806" s="1">
        <v>1</v>
      </c>
      <c r="E806" s="3">
        <v>40148.509027777778</v>
      </c>
      <c r="F806" s="1">
        <v>1.45</v>
      </c>
      <c r="G806" s="1">
        <v>16393</v>
      </c>
      <c r="H806" s="1" t="s">
        <v>10</v>
      </c>
      <c r="I806" s="1">
        <f t="shared" si="3"/>
        <v>1.45</v>
      </c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x14ac:dyDescent="0.2">
      <c r="A807" s="1">
        <v>489536</v>
      </c>
      <c r="B807" s="1">
        <v>22139</v>
      </c>
      <c r="C807" s="1" t="s">
        <v>110</v>
      </c>
      <c r="D807" s="1">
        <v>1</v>
      </c>
      <c r="E807" s="3">
        <v>40148.509027777778</v>
      </c>
      <c r="F807" s="1">
        <v>4.95</v>
      </c>
      <c r="G807" s="1">
        <v>16393</v>
      </c>
      <c r="H807" s="1" t="s">
        <v>10</v>
      </c>
      <c r="I807" s="1">
        <f t="shared" si="3"/>
        <v>4.95</v>
      </c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x14ac:dyDescent="0.2">
      <c r="A808" s="1">
        <v>489536</v>
      </c>
      <c r="B808" s="1">
        <v>84375</v>
      </c>
      <c r="C808" s="1" t="s">
        <v>678</v>
      </c>
      <c r="D808" s="1">
        <v>1</v>
      </c>
      <c r="E808" s="3">
        <v>40148.509027777778</v>
      </c>
      <c r="F808" s="1">
        <v>1.95</v>
      </c>
      <c r="G808" s="1">
        <v>16393</v>
      </c>
      <c r="H808" s="1" t="s">
        <v>10</v>
      </c>
      <c r="I808" s="1">
        <f t="shared" si="3"/>
        <v>1.95</v>
      </c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x14ac:dyDescent="0.2">
      <c r="A809" s="1">
        <v>489536</v>
      </c>
      <c r="B809" s="1">
        <v>20961</v>
      </c>
      <c r="C809" s="1" t="s">
        <v>679</v>
      </c>
      <c r="D809" s="1">
        <v>1</v>
      </c>
      <c r="E809" s="3">
        <v>40148.509027777778</v>
      </c>
      <c r="F809" s="1">
        <v>1.25</v>
      </c>
      <c r="G809" s="1">
        <v>16393</v>
      </c>
      <c r="H809" s="1" t="s">
        <v>10</v>
      </c>
      <c r="I809" s="1">
        <f t="shared" si="3"/>
        <v>1.25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x14ac:dyDescent="0.2">
      <c r="A810" s="1">
        <v>489536</v>
      </c>
      <c r="B810" s="1">
        <v>20960</v>
      </c>
      <c r="C810" s="1" t="s">
        <v>680</v>
      </c>
      <c r="D810" s="1">
        <v>1</v>
      </c>
      <c r="E810" s="3">
        <v>40148.509027777778</v>
      </c>
      <c r="F810" s="1">
        <v>1.25</v>
      </c>
      <c r="G810" s="1">
        <v>16393</v>
      </c>
      <c r="H810" s="1" t="s">
        <v>10</v>
      </c>
      <c r="I810" s="1">
        <f t="shared" si="3"/>
        <v>1.25</v>
      </c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x14ac:dyDescent="0.2">
      <c r="A811" s="1">
        <v>489536</v>
      </c>
      <c r="B811" s="1">
        <v>20966</v>
      </c>
      <c r="C811" s="1" t="s">
        <v>681</v>
      </c>
      <c r="D811" s="1">
        <v>1</v>
      </c>
      <c r="E811" s="3">
        <v>40148.509027777778</v>
      </c>
      <c r="F811" s="1">
        <v>1.25</v>
      </c>
      <c r="G811" s="1">
        <v>16393</v>
      </c>
      <c r="H811" s="1" t="s">
        <v>10</v>
      </c>
      <c r="I811" s="1">
        <f t="shared" si="3"/>
        <v>1.25</v>
      </c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x14ac:dyDescent="0.2">
      <c r="A812" s="1">
        <v>489536</v>
      </c>
      <c r="B812" s="1" t="s">
        <v>682</v>
      </c>
      <c r="C812" s="1" t="s">
        <v>683</v>
      </c>
      <c r="D812" s="1">
        <v>1</v>
      </c>
      <c r="E812" s="3">
        <v>40148.509027777778</v>
      </c>
      <c r="F812" s="1">
        <v>0.42</v>
      </c>
      <c r="G812" s="1">
        <v>16393</v>
      </c>
      <c r="H812" s="1" t="s">
        <v>10</v>
      </c>
      <c r="I812" s="1">
        <f t="shared" si="3"/>
        <v>0.42</v>
      </c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x14ac:dyDescent="0.2">
      <c r="A813" s="1">
        <v>489536</v>
      </c>
      <c r="B813" s="1">
        <v>21890</v>
      </c>
      <c r="C813" s="1" t="s">
        <v>684</v>
      </c>
      <c r="D813" s="1">
        <v>1</v>
      </c>
      <c r="E813" s="3">
        <v>40148.509027777778</v>
      </c>
      <c r="F813" s="1">
        <v>2.95</v>
      </c>
      <c r="G813" s="1">
        <v>16393</v>
      </c>
      <c r="H813" s="1" t="s">
        <v>10</v>
      </c>
      <c r="I813" s="1">
        <f t="shared" si="3"/>
        <v>2.95</v>
      </c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x14ac:dyDescent="0.2">
      <c r="A814" s="1">
        <v>489536</v>
      </c>
      <c r="B814" s="1">
        <v>22353</v>
      </c>
      <c r="C814" s="1" t="s">
        <v>23</v>
      </c>
      <c r="D814" s="1">
        <v>1</v>
      </c>
      <c r="E814" s="3">
        <v>40148.509027777778</v>
      </c>
      <c r="F814" s="1">
        <v>2.5499999999999998</v>
      </c>
      <c r="G814" s="1">
        <v>16393</v>
      </c>
      <c r="H814" s="1" t="s">
        <v>10</v>
      </c>
      <c r="I814" s="1">
        <f t="shared" si="3"/>
        <v>2.5499999999999998</v>
      </c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x14ac:dyDescent="0.2">
      <c r="A815" s="1">
        <v>489536</v>
      </c>
      <c r="B815" s="1" t="s">
        <v>685</v>
      </c>
      <c r="C815" s="1" t="s">
        <v>686</v>
      </c>
      <c r="D815" s="1">
        <v>1</v>
      </c>
      <c r="E815" s="3">
        <v>40148.509027777778</v>
      </c>
      <c r="F815" s="1">
        <v>2.1</v>
      </c>
      <c r="G815" s="1">
        <v>16393</v>
      </c>
      <c r="H815" s="1" t="s">
        <v>10</v>
      </c>
      <c r="I815" s="1">
        <f t="shared" si="3"/>
        <v>2.1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x14ac:dyDescent="0.2">
      <c r="A816" s="1">
        <v>489536</v>
      </c>
      <c r="B816" s="1" t="s">
        <v>687</v>
      </c>
      <c r="C816" s="1" t="s">
        <v>688</v>
      </c>
      <c r="D816" s="1">
        <v>1</v>
      </c>
      <c r="E816" s="3">
        <v>40148.509027777778</v>
      </c>
      <c r="F816" s="1">
        <v>1.25</v>
      </c>
      <c r="G816" s="1">
        <v>16393</v>
      </c>
      <c r="H816" s="1" t="s">
        <v>10</v>
      </c>
      <c r="I816" s="1">
        <f t="shared" si="3"/>
        <v>1.25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x14ac:dyDescent="0.2">
      <c r="A817" s="1">
        <v>489536</v>
      </c>
      <c r="B817" s="1">
        <v>79067</v>
      </c>
      <c r="C817" s="1" t="s">
        <v>628</v>
      </c>
      <c r="D817" s="1">
        <v>1</v>
      </c>
      <c r="E817" s="3">
        <v>40148.509027777778</v>
      </c>
      <c r="F817" s="1">
        <v>3.75</v>
      </c>
      <c r="G817" s="1">
        <v>16393</v>
      </c>
      <c r="H817" s="1" t="s">
        <v>10</v>
      </c>
      <c r="I817" s="1">
        <f t="shared" si="3"/>
        <v>3.75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x14ac:dyDescent="0.2">
      <c r="A818" s="1">
        <v>489536</v>
      </c>
      <c r="B818" s="1">
        <v>20677</v>
      </c>
      <c r="C818" s="1" t="s">
        <v>509</v>
      </c>
      <c r="D818" s="1">
        <v>1</v>
      </c>
      <c r="E818" s="3">
        <v>40148.509027777778</v>
      </c>
      <c r="F818" s="1">
        <v>1.25</v>
      </c>
      <c r="G818" s="1">
        <v>16393</v>
      </c>
      <c r="H818" s="1" t="s">
        <v>10</v>
      </c>
      <c r="I818" s="1">
        <f t="shared" si="3"/>
        <v>1.25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x14ac:dyDescent="0.2">
      <c r="A819" s="1">
        <v>489536</v>
      </c>
      <c r="B819" s="1">
        <v>20675</v>
      </c>
      <c r="C819" s="1" t="s">
        <v>360</v>
      </c>
      <c r="D819" s="1">
        <v>1</v>
      </c>
      <c r="E819" s="3">
        <v>40148.509027777778</v>
      </c>
      <c r="F819" s="1">
        <v>1.25</v>
      </c>
      <c r="G819" s="1">
        <v>16393</v>
      </c>
      <c r="H819" s="1" t="s">
        <v>10</v>
      </c>
      <c r="I819" s="1">
        <f t="shared" si="3"/>
        <v>1.25</v>
      </c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x14ac:dyDescent="0.2">
      <c r="A820" s="1">
        <v>489536</v>
      </c>
      <c r="B820" s="1">
        <v>21440</v>
      </c>
      <c r="C820" s="1" t="s">
        <v>689</v>
      </c>
      <c r="D820" s="1">
        <v>1</v>
      </c>
      <c r="E820" s="3">
        <v>40148.509027777778</v>
      </c>
      <c r="F820" s="1">
        <v>1.25</v>
      </c>
      <c r="G820" s="1">
        <v>16393</v>
      </c>
      <c r="H820" s="1" t="s">
        <v>10</v>
      </c>
      <c r="I820" s="1">
        <f t="shared" si="3"/>
        <v>1.25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x14ac:dyDescent="0.2">
      <c r="A821" s="1">
        <v>489536</v>
      </c>
      <c r="B821" s="1">
        <v>22142</v>
      </c>
      <c r="C821" s="1" t="s">
        <v>28</v>
      </c>
      <c r="D821" s="1">
        <v>1</v>
      </c>
      <c r="E821" s="3">
        <v>40148.509027777778</v>
      </c>
      <c r="F821" s="1">
        <v>1.45</v>
      </c>
      <c r="G821" s="1">
        <v>16393</v>
      </c>
      <c r="H821" s="1" t="s">
        <v>10</v>
      </c>
      <c r="I821" s="1">
        <f t="shared" si="3"/>
        <v>1.45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x14ac:dyDescent="0.2">
      <c r="A822" s="1">
        <v>489536</v>
      </c>
      <c r="B822" s="1">
        <v>22142</v>
      </c>
      <c r="C822" s="1" t="s">
        <v>28</v>
      </c>
      <c r="D822" s="1">
        <v>1</v>
      </c>
      <c r="E822" s="3">
        <v>40148.509027777778</v>
      </c>
      <c r="F822" s="1">
        <v>1.45</v>
      </c>
      <c r="G822" s="1">
        <v>16393</v>
      </c>
      <c r="H822" s="1" t="s">
        <v>10</v>
      </c>
      <c r="I822" s="1">
        <f t="shared" si="3"/>
        <v>1.45</v>
      </c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x14ac:dyDescent="0.2">
      <c r="A823" s="1">
        <v>489536</v>
      </c>
      <c r="B823" s="1">
        <v>21356</v>
      </c>
      <c r="C823" s="1" t="s">
        <v>690</v>
      </c>
      <c r="D823" s="1">
        <v>1</v>
      </c>
      <c r="E823" s="3">
        <v>40148.509027777778</v>
      </c>
      <c r="F823" s="1">
        <v>1.25</v>
      </c>
      <c r="G823" s="1">
        <v>16393</v>
      </c>
      <c r="H823" s="1" t="s">
        <v>10</v>
      </c>
      <c r="I823" s="1">
        <f t="shared" si="3"/>
        <v>1.25</v>
      </c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x14ac:dyDescent="0.2">
      <c r="A824" s="1">
        <v>489536</v>
      </c>
      <c r="B824" s="1">
        <v>21357</v>
      </c>
      <c r="C824" s="1" t="s">
        <v>691</v>
      </c>
      <c r="D824" s="1">
        <v>1</v>
      </c>
      <c r="E824" s="3">
        <v>40148.509027777778</v>
      </c>
      <c r="F824" s="1">
        <v>1.25</v>
      </c>
      <c r="G824" s="1">
        <v>16393</v>
      </c>
      <c r="H824" s="1" t="s">
        <v>10</v>
      </c>
      <c r="I824" s="1">
        <f t="shared" si="3"/>
        <v>1.25</v>
      </c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x14ac:dyDescent="0.2">
      <c r="A825" s="1">
        <v>489536</v>
      </c>
      <c r="B825" s="1">
        <v>21166</v>
      </c>
      <c r="C825" s="1" t="s">
        <v>486</v>
      </c>
      <c r="D825" s="1">
        <v>1</v>
      </c>
      <c r="E825" s="3">
        <v>40148.509027777778</v>
      </c>
      <c r="F825" s="1">
        <v>1.95</v>
      </c>
      <c r="G825" s="1">
        <v>16393</v>
      </c>
      <c r="H825" s="1" t="s">
        <v>10</v>
      </c>
      <c r="I825" s="1">
        <f t="shared" si="3"/>
        <v>1.95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x14ac:dyDescent="0.2">
      <c r="A826" s="1">
        <v>489536</v>
      </c>
      <c r="B826" s="1">
        <v>21730</v>
      </c>
      <c r="C826" s="1" t="s">
        <v>692</v>
      </c>
      <c r="D826" s="1">
        <v>1</v>
      </c>
      <c r="E826" s="3">
        <v>40148.509027777778</v>
      </c>
      <c r="F826" s="1">
        <v>4.95</v>
      </c>
      <c r="G826" s="1">
        <v>16393</v>
      </c>
      <c r="H826" s="1" t="s">
        <v>10</v>
      </c>
      <c r="I826" s="1">
        <f t="shared" si="3"/>
        <v>4.95</v>
      </c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x14ac:dyDescent="0.2">
      <c r="A827" s="1">
        <v>489536</v>
      </c>
      <c r="B827" s="1" t="s">
        <v>682</v>
      </c>
      <c r="C827" s="1" t="s">
        <v>683</v>
      </c>
      <c r="D827" s="1">
        <v>1</v>
      </c>
      <c r="E827" s="3">
        <v>40148.509027777778</v>
      </c>
      <c r="F827" s="1">
        <v>0.42</v>
      </c>
      <c r="G827" s="1">
        <v>16393</v>
      </c>
      <c r="H827" s="1" t="s">
        <v>10</v>
      </c>
      <c r="I827" s="1">
        <f t="shared" si="3"/>
        <v>0.42</v>
      </c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x14ac:dyDescent="0.2">
      <c r="A828" s="1">
        <v>489536</v>
      </c>
      <c r="B828" s="1">
        <v>22353</v>
      </c>
      <c r="C828" s="1" t="s">
        <v>23</v>
      </c>
      <c r="D828" s="1">
        <v>1</v>
      </c>
      <c r="E828" s="3">
        <v>40148.509027777778</v>
      </c>
      <c r="F828" s="1">
        <v>2.5499999999999998</v>
      </c>
      <c r="G828" s="1">
        <v>16393</v>
      </c>
      <c r="H828" s="1" t="s">
        <v>10</v>
      </c>
      <c r="I828" s="1">
        <f t="shared" si="3"/>
        <v>2.5499999999999998</v>
      </c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x14ac:dyDescent="0.2">
      <c r="A829" s="1">
        <v>489536</v>
      </c>
      <c r="B829" s="1">
        <v>21788</v>
      </c>
      <c r="C829" s="1" t="s">
        <v>531</v>
      </c>
      <c r="D829" s="1">
        <v>1</v>
      </c>
      <c r="E829" s="3">
        <v>40148.509027777778</v>
      </c>
      <c r="F829" s="1">
        <v>0.85</v>
      </c>
      <c r="G829" s="1">
        <v>16393</v>
      </c>
      <c r="H829" s="1" t="s">
        <v>10</v>
      </c>
      <c r="I829" s="1">
        <f t="shared" si="3"/>
        <v>0.85</v>
      </c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x14ac:dyDescent="0.2">
      <c r="A830" s="1">
        <v>489536</v>
      </c>
      <c r="B830" s="1">
        <v>21789</v>
      </c>
      <c r="C830" s="1" t="s">
        <v>532</v>
      </c>
      <c r="D830" s="1">
        <v>1</v>
      </c>
      <c r="E830" s="3">
        <v>40148.509027777778</v>
      </c>
      <c r="F830" s="1">
        <v>0.85</v>
      </c>
      <c r="G830" s="1">
        <v>16393</v>
      </c>
      <c r="H830" s="1" t="s">
        <v>10</v>
      </c>
      <c r="I830" s="1">
        <f t="shared" si="3"/>
        <v>0.85</v>
      </c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x14ac:dyDescent="0.2">
      <c r="A831" s="1">
        <v>489536</v>
      </c>
      <c r="B831" s="1">
        <v>20660</v>
      </c>
      <c r="C831" s="1" t="s">
        <v>589</v>
      </c>
      <c r="D831" s="1">
        <v>1</v>
      </c>
      <c r="E831" s="3">
        <v>40148.509027777778</v>
      </c>
      <c r="F831" s="1">
        <v>1.25</v>
      </c>
      <c r="G831" s="1">
        <v>16393</v>
      </c>
      <c r="H831" s="1" t="s">
        <v>10</v>
      </c>
      <c r="I831" s="1">
        <f t="shared" si="3"/>
        <v>1.25</v>
      </c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x14ac:dyDescent="0.2">
      <c r="A832" s="1">
        <v>489536</v>
      </c>
      <c r="B832" s="1">
        <v>70007</v>
      </c>
      <c r="C832" s="1" t="s">
        <v>693</v>
      </c>
      <c r="D832" s="1">
        <v>1</v>
      </c>
      <c r="E832" s="3">
        <v>40148.509027777778</v>
      </c>
      <c r="F832" s="1">
        <v>1.65</v>
      </c>
      <c r="G832" s="1">
        <v>16393</v>
      </c>
      <c r="H832" s="1" t="s">
        <v>10</v>
      </c>
      <c r="I832" s="1">
        <f t="shared" si="3"/>
        <v>1.65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x14ac:dyDescent="0.2">
      <c r="A833" s="1">
        <v>489536</v>
      </c>
      <c r="B833" s="1">
        <v>70006</v>
      </c>
      <c r="C833" s="1" t="s">
        <v>694</v>
      </c>
      <c r="D833" s="1">
        <v>1</v>
      </c>
      <c r="E833" s="3">
        <v>40148.509027777778</v>
      </c>
      <c r="F833" s="1">
        <v>1.65</v>
      </c>
      <c r="G833" s="1">
        <v>16393</v>
      </c>
      <c r="H833" s="1" t="s">
        <v>10</v>
      </c>
      <c r="I833" s="1">
        <f t="shared" si="3"/>
        <v>1.65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x14ac:dyDescent="0.2">
      <c r="A834" s="1">
        <v>489536</v>
      </c>
      <c r="B834" s="1">
        <v>21650</v>
      </c>
      <c r="C834" s="1" t="s">
        <v>695</v>
      </c>
      <c r="D834" s="1">
        <v>1</v>
      </c>
      <c r="E834" s="3">
        <v>40148.509027777778</v>
      </c>
      <c r="F834" s="1">
        <v>0.65</v>
      </c>
      <c r="G834" s="1">
        <v>16393</v>
      </c>
      <c r="H834" s="1" t="s">
        <v>10</v>
      </c>
      <c r="I834" s="1">
        <f t="shared" si="3"/>
        <v>0.65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x14ac:dyDescent="0.2">
      <c r="A835" s="1">
        <v>489536</v>
      </c>
      <c r="B835" s="1">
        <v>22142</v>
      </c>
      <c r="C835" s="1" t="s">
        <v>28</v>
      </c>
      <c r="D835" s="1">
        <v>1</v>
      </c>
      <c r="E835" s="3">
        <v>40148.509027777778</v>
      </c>
      <c r="F835" s="1">
        <v>1.45</v>
      </c>
      <c r="G835" s="1">
        <v>16393</v>
      </c>
      <c r="H835" s="1" t="s">
        <v>10</v>
      </c>
      <c r="I835" s="1">
        <f t="shared" si="3"/>
        <v>1.45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x14ac:dyDescent="0.2">
      <c r="A836" s="1">
        <v>489536</v>
      </c>
      <c r="B836" s="1">
        <v>22147</v>
      </c>
      <c r="C836" s="1" t="s">
        <v>657</v>
      </c>
      <c r="D836" s="1">
        <v>1</v>
      </c>
      <c r="E836" s="3">
        <v>40148.509027777778</v>
      </c>
      <c r="F836" s="1">
        <v>1.45</v>
      </c>
      <c r="G836" s="1">
        <v>16393</v>
      </c>
      <c r="H836" s="1" t="s">
        <v>10</v>
      </c>
      <c r="I836" s="1">
        <f t="shared" si="3"/>
        <v>1.45</v>
      </c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x14ac:dyDescent="0.2">
      <c r="A837" s="1">
        <v>489536</v>
      </c>
      <c r="B837" s="1">
        <v>21892</v>
      </c>
      <c r="C837" s="1" t="s">
        <v>696</v>
      </c>
      <c r="D837" s="1">
        <v>1</v>
      </c>
      <c r="E837" s="3">
        <v>40148.509027777778</v>
      </c>
      <c r="F837" s="1">
        <v>1.25</v>
      </c>
      <c r="G837" s="1">
        <v>16393</v>
      </c>
      <c r="H837" s="1" t="s">
        <v>10</v>
      </c>
      <c r="I837" s="1">
        <f t="shared" si="3"/>
        <v>1.25</v>
      </c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x14ac:dyDescent="0.2">
      <c r="A838" s="1">
        <v>489536</v>
      </c>
      <c r="B838" s="1">
        <v>21650</v>
      </c>
      <c r="C838" s="1" t="s">
        <v>695</v>
      </c>
      <c r="D838" s="1">
        <v>1</v>
      </c>
      <c r="E838" s="3">
        <v>40148.509027777778</v>
      </c>
      <c r="F838" s="1">
        <v>0.65</v>
      </c>
      <c r="G838" s="1">
        <v>16393</v>
      </c>
      <c r="H838" s="1" t="s">
        <v>10</v>
      </c>
      <c r="I838" s="1">
        <f t="shared" si="3"/>
        <v>0.65</v>
      </c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x14ac:dyDescent="0.2">
      <c r="A839" s="1">
        <v>489536</v>
      </c>
      <c r="B839" s="1">
        <v>85227</v>
      </c>
      <c r="C839" s="1" t="s">
        <v>524</v>
      </c>
      <c r="D839" s="1">
        <v>1</v>
      </c>
      <c r="E839" s="3">
        <v>40148.509027777778</v>
      </c>
      <c r="F839" s="1">
        <v>0.85</v>
      </c>
      <c r="G839" s="1">
        <v>16393</v>
      </c>
      <c r="H839" s="1" t="s">
        <v>10</v>
      </c>
      <c r="I839" s="1">
        <f t="shared" si="3"/>
        <v>0.85</v>
      </c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x14ac:dyDescent="0.2">
      <c r="A840" s="1">
        <v>489536</v>
      </c>
      <c r="B840" s="1">
        <v>20655</v>
      </c>
      <c r="C840" s="1" t="s">
        <v>697</v>
      </c>
      <c r="D840" s="1">
        <v>1</v>
      </c>
      <c r="E840" s="3">
        <v>40148.509027777778</v>
      </c>
      <c r="F840" s="1">
        <v>1.25</v>
      </c>
      <c r="G840" s="1">
        <v>16393</v>
      </c>
      <c r="H840" s="1" t="s">
        <v>10</v>
      </c>
      <c r="I840" s="1">
        <f t="shared" si="3"/>
        <v>1.25</v>
      </c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x14ac:dyDescent="0.2">
      <c r="A841" s="1">
        <v>489536</v>
      </c>
      <c r="B841" s="1">
        <v>21791</v>
      </c>
      <c r="C841" s="1" t="s">
        <v>324</v>
      </c>
      <c r="D841" s="1">
        <v>1</v>
      </c>
      <c r="E841" s="3">
        <v>40148.509027777778</v>
      </c>
      <c r="F841" s="1">
        <v>1.25</v>
      </c>
      <c r="G841" s="1">
        <v>16393</v>
      </c>
      <c r="H841" s="1" t="s">
        <v>10</v>
      </c>
      <c r="I841" s="1">
        <f t="shared" si="3"/>
        <v>1.25</v>
      </c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x14ac:dyDescent="0.2">
      <c r="A842" s="1">
        <v>489536</v>
      </c>
      <c r="B842" s="1">
        <v>21990</v>
      </c>
      <c r="C842" s="1" t="s">
        <v>698</v>
      </c>
      <c r="D842" s="1">
        <v>1</v>
      </c>
      <c r="E842" s="3">
        <v>40148.509027777778</v>
      </c>
      <c r="F842" s="1">
        <v>2.95</v>
      </c>
      <c r="G842" s="1">
        <v>16393</v>
      </c>
      <c r="H842" s="1" t="s">
        <v>10</v>
      </c>
      <c r="I842" s="1">
        <f t="shared" si="3"/>
        <v>2.95</v>
      </c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x14ac:dyDescent="0.2">
      <c r="A843" s="1">
        <v>489536</v>
      </c>
      <c r="B843" s="1">
        <v>21231</v>
      </c>
      <c r="C843" s="1" t="s">
        <v>293</v>
      </c>
      <c r="D843" s="1">
        <v>1</v>
      </c>
      <c r="E843" s="3">
        <v>40148.509027777778</v>
      </c>
      <c r="F843" s="1">
        <v>1.25</v>
      </c>
      <c r="G843" s="1">
        <v>16393</v>
      </c>
      <c r="H843" s="1" t="s">
        <v>10</v>
      </c>
      <c r="I843" s="1">
        <f t="shared" si="3"/>
        <v>1.25</v>
      </c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x14ac:dyDescent="0.2">
      <c r="A844" s="1">
        <v>489536</v>
      </c>
      <c r="B844" s="1">
        <v>21934</v>
      </c>
      <c r="C844" s="1" t="s">
        <v>660</v>
      </c>
      <c r="D844" s="1">
        <v>1</v>
      </c>
      <c r="E844" s="3">
        <v>40148.509027777778</v>
      </c>
      <c r="F844" s="1">
        <v>1.65</v>
      </c>
      <c r="G844" s="1">
        <v>16393</v>
      </c>
      <c r="H844" s="1" t="s">
        <v>10</v>
      </c>
      <c r="I844" s="1">
        <f t="shared" si="3"/>
        <v>1.65</v>
      </c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x14ac:dyDescent="0.2">
      <c r="A845" s="1">
        <v>489536</v>
      </c>
      <c r="B845" s="1">
        <v>21578</v>
      </c>
      <c r="C845" s="1" t="s">
        <v>659</v>
      </c>
      <c r="D845" s="1">
        <v>1</v>
      </c>
      <c r="E845" s="3">
        <v>40148.509027777778</v>
      </c>
      <c r="F845" s="1">
        <v>2.25</v>
      </c>
      <c r="G845" s="1">
        <v>16393</v>
      </c>
      <c r="H845" s="1" t="s">
        <v>10</v>
      </c>
      <c r="I845" s="1">
        <f t="shared" si="3"/>
        <v>2.25</v>
      </c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x14ac:dyDescent="0.2">
      <c r="A846" s="1">
        <v>489536</v>
      </c>
      <c r="B846" s="1">
        <v>21579</v>
      </c>
      <c r="C846" s="1" t="s">
        <v>699</v>
      </c>
      <c r="D846" s="1">
        <v>1</v>
      </c>
      <c r="E846" s="3">
        <v>40148.509027777778</v>
      </c>
      <c r="F846" s="1">
        <v>2.25</v>
      </c>
      <c r="G846" s="1">
        <v>16393</v>
      </c>
      <c r="H846" s="1" t="s">
        <v>10</v>
      </c>
      <c r="I846" s="1">
        <f t="shared" si="3"/>
        <v>2.25</v>
      </c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x14ac:dyDescent="0.2">
      <c r="A847" s="1">
        <v>489536</v>
      </c>
      <c r="B847" s="1">
        <v>20713</v>
      </c>
      <c r="C847" s="1" t="s">
        <v>700</v>
      </c>
      <c r="D847" s="1">
        <v>1</v>
      </c>
      <c r="E847" s="3">
        <v>40148.509027777778</v>
      </c>
      <c r="F847" s="1">
        <v>1.95</v>
      </c>
      <c r="G847" s="1">
        <v>16393</v>
      </c>
      <c r="H847" s="1" t="s">
        <v>10</v>
      </c>
      <c r="I847" s="1">
        <f t="shared" si="3"/>
        <v>1.95</v>
      </c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x14ac:dyDescent="0.2">
      <c r="A848" s="1">
        <v>489536</v>
      </c>
      <c r="B848" s="1">
        <v>20712</v>
      </c>
      <c r="C848" s="1" t="s">
        <v>701</v>
      </c>
      <c r="D848" s="1">
        <v>1</v>
      </c>
      <c r="E848" s="3">
        <v>40148.509027777778</v>
      </c>
      <c r="F848" s="1">
        <v>1.95</v>
      </c>
      <c r="G848" s="1">
        <v>16393</v>
      </c>
      <c r="H848" s="1" t="s">
        <v>10</v>
      </c>
      <c r="I848" s="1">
        <f t="shared" si="3"/>
        <v>1.95</v>
      </c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x14ac:dyDescent="0.2">
      <c r="A849" s="1">
        <v>489536</v>
      </c>
      <c r="B849" s="1">
        <v>16047</v>
      </c>
      <c r="C849" s="1" t="s">
        <v>702</v>
      </c>
      <c r="D849" s="1">
        <v>1</v>
      </c>
      <c r="E849" s="3">
        <v>40148.509027777778</v>
      </c>
      <c r="F849" s="1">
        <v>0.85</v>
      </c>
      <c r="G849" s="1">
        <v>16393</v>
      </c>
      <c r="H849" s="1" t="s">
        <v>10</v>
      </c>
      <c r="I849" s="1">
        <f t="shared" si="3"/>
        <v>0.85</v>
      </c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x14ac:dyDescent="0.2">
      <c r="A850" s="1">
        <v>489536</v>
      </c>
      <c r="B850" s="1">
        <v>21561</v>
      </c>
      <c r="C850" s="1" t="s">
        <v>703</v>
      </c>
      <c r="D850" s="1">
        <v>1</v>
      </c>
      <c r="E850" s="3">
        <v>40148.509027777778</v>
      </c>
      <c r="F850" s="1">
        <v>2.5499999999999998</v>
      </c>
      <c r="G850" s="1">
        <v>16393</v>
      </c>
      <c r="H850" s="1" t="s">
        <v>10</v>
      </c>
      <c r="I850" s="1">
        <f t="shared" si="3"/>
        <v>2.5499999999999998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x14ac:dyDescent="0.2">
      <c r="A851" s="1">
        <v>489536</v>
      </c>
      <c r="B851" s="1">
        <v>20814</v>
      </c>
      <c r="C851" s="1" t="s">
        <v>704</v>
      </c>
      <c r="D851" s="1">
        <v>1</v>
      </c>
      <c r="E851" s="3">
        <v>40148.509027777778</v>
      </c>
      <c r="F851" s="1">
        <v>1.25</v>
      </c>
      <c r="G851" s="1">
        <v>16393</v>
      </c>
      <c r="H851" s="1" t="s">
        <v>10</v>
      </c>
      <c r="I851" s="1">
        <f t="shared" si="3"/>
        <v>1.25</v>
      </c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x14ac:dyDescent="0.2">
      <c r="A852" s="1">
        <v>489536</v>
      </c>
      <c r="B852" s="1">
        <v>21122</v>
      </c>
      <c r="C852" s="1" t="s">
        <v>582</v>
      </c>
      <c r="D852" s="1">
        <v>1</v>
      </c>
      <c r="E852" s="3">
        <v>40148.509027777778</v>
      </c>
      <c r="F852" s="1">
        <v>1.25</v>
      </c>
      <c r="G852" s="1">
        <v>16393</v>
      </c>
      <c r="H852" s="1" t="s">
        <v>10</v>
      </c>
      <c r="I852" s="1">
        <f t="shared" si="3"/>
        <v>1.25</v>
      </c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x14ac:dyDescent="0.2">
      <c r="A853" s="1">
        <v>489536</v>
      </c>
      <c r="B853" s="1">
        <v>21231</v>
      </c>
      <c r="C853" s="1" t="s">
        <v>293</v>
      </c>
      <c r="D853" s="1">
        <v>1</v>
      </c>
      <c r="E853" s="3">
        <v>40148.509027777778</v>
      </c>
      <c r="F853" s="1">
        <v>1.25</v>
      </c>
      <c r="G853" s="1">
        <v>16393</v>
      </c>
      <c r="H853" s="1" t="s">
        <v>10</v>
      </c>
      <c r="I853" s="1">
        <f t="shared" si="3"/>
        <v>1.25</v>
      </c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x14ac:dyDescent="0.2">
      <c r="A854" s="1">
        <v>489536</v>
      </c>
      <c r="B854" s="1">
        <v>21377</v>
      </c>
      <c r="C854" s="1" t="s">
        <v>705</v>
      </c>
      <c r="D854" s="1">
        <v>1</v>
      </c>
      <c r="E854" s="3">
        <v>40148.509027777778</v>
      </c>
      <c r="F854" s="1">
        <v>1.65</v>
      </c>
      <c r="G854" s="1">
        <v>16393</v>
      </c>
      <c r="H854" s="1" t="s">
        <v>10</v>
      </c>
      <c r="I854" s="1">
        <f t="shared" si="3"/>
        <v>1.65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x14ac:dyDescent="0.2">
      <c r="A855" s="1">
        <v>489536</v>
      </c>
      <c r="B855" s="1">
        <v>21379</v>
      </c>
      <c r="C855" s="1" t="s">
        <v>706</v>
      </c>
      <c r="D855" s="1">
        <v>1</v>
      </c>
      <c r="E855" s="3">
        <v>40148.509027777778</v>
      </c>
      <c r="F855" s="1">
        <v>1.25</v>
      </c>
      <c r="G855" s="1">
        <v>16393</v>
      </c>
      <c r="H855" s="1" t="s">
        <v>10</v>
      </c>
      <c r="I855" s="1">
        <f t="shared" si="3"/>
        <v>1.25</v>
      </c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x14ac:dyDescent="0.2">
      <c r="A856" s="1">
        <v>489536</v>
      </c>
      <c r="B856" s="1">
        <v>20956</v>
      </c>
      <c r="C856" s="1" t="s">
        <v>661</v>
      </c>
      <c r="D856" s="1">
        <v>1</v>
      </c>
      <c r="E856" s="3">
        <v>40148.509027777778</v>
      </c>
      <c r="F856" s="1">
        <v>1.25</v>
      </c>
      <c r="G856" s="1">
        <v>16393</v>
      </c>
      <c r="H856" s="1" t="s">
        <v>10</v>
      </c>
      <c r="I856" s="1">
        <f t="shared" si="3"/>
        <v>1.25</v>
      </c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x14ac:dyDescent="0.2">
      <c r="A857" s="1">
        <v>489536</v>
      </c>
      <c r="B857" s="1">
        <v>21018</v>
      </c>
      <c r="C857" s="1" t="s">
        <v>707</v>
      </c>
      <c r="D857" s="1">
        <v>1</v>
      </c>
      <c r="E857" s="3">
        <v>40148.509027777778</v>
      </c>
      <c r="F857" s="1">
        <v>0.85</v>
      </c>
      <c r="G857" s="1">
        <v>16393</v>
      </c>
      <c r="H857" s="1" t="s">
        <v>10</v>
      </c>
      <c r="I857" s="1">
        <f t="shared" si="3"/>
        <v>0.85</v>
      </c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x14ac:dyDescent="0.2">
      <c r="A858" s="1">
        <v>489536</v>
      </c>
      <c r="B858" s="1">
        <v>35995</v>
      </c>
      <c r="C858" s="1" t="s">
        <v>708</v>
      </c>
      <c r="D858" s="1">
        <v>1</v>
      </c>
      <c r="E858" s="3">
        <v>40148.509027777778</v>
      </c>
      <c r="F858" s="1">
        <v>2.1</v>
      </c>
      <c r="G858" s="1">
        <v>16393</v>
      </c>
      <c r="H858" s="1" t="s">
        <v>10</v>
      </c>
      <c r="I858" s="1">
        <f t="shared" si="3"/>
        <v>2.1</v>
      </c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x14ac:dyDescent="0.2">
      <c r="A859" s="1">
        <v>489536</v>
      </c>
      <c r="B859" s="1" t="s">
        <v>667</v>
      </c>
      <c r="C859" s="1" t="s">
        <v>668</v>
      </c>
      <c r="D859" s="1">
        <v>1</v>
      </c>
      <c r="E859" s="3">
        <v>40148.509027777778</v>
      </c>
      <c r="F859" s="1">
        <v>1.95</v>
      </c>
      <c r="G859" s="1">
        <v>16393</v>
      </c>
      <c r="H859" s="1" t="s">
        <v>10</v>
      </c>
      <c r="I859" s="1">
        <f t="shared" si="3"/>
        <v>1.95</v>
      </c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x14ac:dyDescent="0.2">
      <c r="A860" s="1">
        <v>489536</v>
      </c>
      <c r="B860" s="1">
        <v>21579</v>
      </c>
      <c r="C860" s="1" t="s">
        <v>699</v>
      </c>
      <c r="D860" s="1">
        <v>1</v>
      </c>
      <c r="E860" s="3">
        <v>40148.509027777778</v>
      </c>
      <c r="F860" s="1">
        <v>2.25</v>
      </c>
      <c r="G860" s="1">
        <v>16393</v>
      </c>
      <c r="H860" s="1" t="s">
        <v>10</v>
      </c>
      <c r="I860" s="1">
        <f t="shared" si="3"/>
        <v>2.25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x14ac:dyDescent="0.2">
      <c r="A861" s="1">
        <v>489536</v>
      </c>
      <c r="B861" s="1">
        <v>21579</v>
      </c>
      <c r="C861" s="1" t="s">
        <v>699</v>
      </c>
      <c r="D861" s="1">
        <v>1</v>
      </c>
      <c r="E861" s="3">
        <v>40148.509027777778</v>
      </c>
      <c r="F861" s="1">
        <v>2.25</v>
      </c>
      <c r="G861" s="1">
        <v>16393</v>
      </c>
      <c r="H861" s="1" t="s">
        <v>10</v>
      </c>
      <c r="I861" s="1">
        <f t="shared" si="3"/>
        <v>2.25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x14ac:dyDescent="0.2">
      <c r="A862" s="1">
        <v>489536</v>
      </c>
      <c r="B862" s="1">
        <v>21034</v>
      </c>
      <c r="C862" s="1" t="s">
        <v>606</v>
      </c>
      <c r="D862" s="1">
        <v>1</v>
      </c>
      <c r="E862" s="3">
        <v>40148.509027777778</v>
      </c>
      <c r="F862" s="1">
        <v>0.95</v>
      </c>
      <c r="G862" s="1">
        <v>16393</v>
      </c>
      <c r="H862" s="1" t="s">
        <v>10</v>
      </c>
      <c r="I862" s="1">
        <f t="shared" si="3"/>
        <v>0.95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x14ac:dyDescent="0.2">
      <c r="A863" s="1">
        <v>489536</v>
      </c>
      <c r="B863" s="1">
        <v>21071</v>
      </c>
      <c r="C863" s="1" t="s">
        <v>709</v>
      </c>
      <c r="D863" s="1">
        <v>1</v>
      </c>
      <c r="E863" s="3">
        <v>40148.509027777778</v>
      </c>
      <c r="F863" s="1">
        <v>1.25</v>
      </c>
      <c r="G863" s="1">
        <v>16393</v>
      </c>
      <c r="H863" s="1" t="s">
        <v>10</v>
      </c>
      <c r="I863" s="1">
        <f t="shared" si="3"/>
        <v>1.25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x14ac:dyDescent="0.2">
      <c r="A864" s="1">
        <v>489536</v>
      </c>
      <c r="B864" s="1">
        <v>21068</v>
      </c>
      <c r="C864" s="1" t="s">
        <v>710</v>
      </c>
      <c r="D864" s="1">
        <v>1</v>
      </c>
      <c r="E864" s="3">
        <v>40148.509027777778</v>
      </c>
      <c r="F864" s="1">
        <v>1.25</v>
      </c>
      <c r="G864" s="1">
        <v>16393</v>
      </c>
      <c r="H864" s="1" t="s">
        <v>10</v>
      </c>
      <c r="I864" s="1">
        <f t="shared" si="3"/>
        <v>1.25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x14ac:dyDescent="0.2">
      <c r="A865" s="1">
        <v>489536</v>
      </c>
      <c r="B865" s="1">
        <v>22107</v>
      </c>
      <c r="C865" s="1" t="s">
        <v>42</v>
      </c>
      <c r="D865" s="1">
        <v>1</v>
      </c>
      <c r="E865" s="3">
        <v>40148.509027777778</v>
      </c>
      <c r="F865" s="1">
        <v>3.75</v>
      </c>
      <c r="G865" s="1">
        <v>16393</v>
      </c>
      <c r="H865" s="1" t="s">
        <v>10</v>
      </c>
      <c r="I865" s="1">
        <f t="shared" si="3"/>
        <v>3.75</v>
      </c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x14ac:dyDescent="0.2">
      <c r="A866" s="1">
        <v>489536</v>
      </c>
      <c r="B866" s="1">
        <v>22189</v>
      </c>
      <c r="C866" s="1" t="s">
        <v>711</v>
      </c>
      <c r="D866" s="1">
        <v>1</v>
      </c>
      <c r="E866" s="3">
        <v>40148.509027777778</v>
      </c>
      <c r="F866" s="1">
        <v>3.95</v>
      </c>
      <c r="G866" s="1">
        <v>16393</v>
      </c>
      <c r="H866" s="1" t="s">
        <v>10</v>
      </c>
      <c r="I866" s="1">
        <f t="shared" si="3"/>
        <v>3.95</v>
      </c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x14ac:dyDescent="0.2">
      <c r="A867" s="1">
        <v>489536</v>
      </c>
      <c r="B867" s="1">
        <v>21786</v>
      </c>
      <c r="C867" s="1" t="s">
        <v>670</v>
      </c>
      <c r="D867" s="1">
        <v>1</v>
      </c>
      <c r="E867" s="3">
        <v>40148.509027777778</v>
      </c>
      <c r="F867" s="1">
        <v>0.42</v>
      </c>
      <c r="G867" s="1">
        <v>16393</v>
      </c>
      <c r="H867" s="1" t="s">
        <v>10</v>
      </c>
      <c r="I867" s="1">
        <f t="shared" si="3"/>
        <v>0.42</v>
      </c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x14ac:dyDescent="0.2">
      <c r="A868" s="1">
        <v>489536</v>
      </c>
      <c r="B868" s="1">
        <v>48179</v>
      </c>
      <c r="C868" s="1" t="s">
        <v>712</v>
      </c>
      <c r="D868" s="1">
        <v>1</v>
      </c>
      <c r="E868" s="3">
        <v>40148.509027777778</v>
      </c>
      <c r="F868" s="1">
        <v>6.75</v>
      </c>
      <c r="G868" s="1">
        <v>16393</v>
      </c>
      <c r="H868" s="1" t="s">
        <v>10</v>
      </c>
      <c r="I868" s="1">
        <f t="shared" si="3"/>
        <v>6.75</v>
      </c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x14ac:dyDescent="0.2">
      <c r="A869" s="1">
        <v>489537</v>
      </c>
      <c r="B869" s="1">
        <v>72008</v>
      </c>
      <c r="C869" s="1" t="s">
        <v>618</v>
      </c>
      <c r="D869" s="1">
        <v>24</v>
      </c>
      <c r="E869" s="3">
        <v>40148.509722222225</v>
      </c>
      <c r="F869" s="1">
        <v>0.42</v>
      </c>
      <c r="G869" s="1">
        <v>14040</v>
      </c>
      <c r="H869" s="1" t="s">
        <v>10</v>
      </c>
      <c r="I869" s="1">
        <f t="shared" si="3"/>
        <v>10.08</v>
      </c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x14ac:dyDescent="0.2">
      <c r="A870" s="1">
        <v>489537</v>
      </c>
      <c r="B870" s="1">
        <v>21231</v>
      </c>
      <c r="C870" s="1" t="s">
        <v>293</v>
      </c>
      <c r="D870" s="1">
        <v>20</v>
      </c>
      <c r="E870" s="3">
        <v>40148.509722222225</v>
      </c>
      <c r="F870" s="1">
        <v>1.25</v>
      </c>
      <c r="G870" s="1">
        <v>14040</v>
      </c>
      <c r="H870" s="1" t="s">
        <v>10</v>
      </c>
      <c r="I870" s="1">
        <f t="shared" si="3"/>
        <v>25</v>
      </c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x14ac:dyDescent="0.2">
      <c r="A871" s="1">
        <v>489537</v>
      </c>
      <c r="B871" s="1">
        <v>21232</v>
      </c>
      <c r="C871" s="1" t="s">
        <v>11</v>
      </c>
      <c r="D871" s="1">
        <v>20</v>
      </c>
      <c r="E871" s="3">
        <v>40148.509722222225</v>
      </c>
      <c r="F871" s="1">
        <v>1.25</v>
      </c>
      <c r="G871" s="1">
        <v>14040</v>
      </c>
      <c r="H871" s="1" t="s">
        <v>10</v>
      </c>
      <c r="I871" s="1">
        <f t="shared" si="3"/>
        <v>25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x14ac:dyDescent="0.2">
      <c r="A872" s="1">
        <v>489537</v>
      </c>
      <c r="B872" s="1">
        <v>21790</v>
      </c>
      <c r="C872" s="1" t="s">
        <v>139</v>
      </c>
      <c r="D872" s="1">
        <v>11</v>
      </c>
      <c r="E872" s="3">
        <v>40148.509722222225</v>
      </c>
      <c r="F872" s="1">
        <v>0.85</v>
      </c>
      <c r="G872" s="1">
        <v>14040</v>
      </c>
      <c r="H872" s="1" t="s">
        <v>10</v>
      </c>
      <c r="I872" s="1">
        <f t="shared" si="3"/>
        <v>9.35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x14ac:dyDescent="0.2">
      <c r="A873" s="1">
        <v>489537</v>
      </c>
      <c r="B873" s="1">
        <v>21733</v>
      </c>
      <c r="C873" s="1" t="s">
        <v>174</v>
      </c>
      <c r="D873" s="1">
        <v>10</v>
      </c>
      <c r="E873" s="3">
        <v>40148.509722222225</v>
      </c>
      <c r="F873" s="1">
        <v>2.95</v>
      </c>
      <c r="G873" s="1">
        <v>14040</v>
      </c>
      <c r="H873" s="1" t="s">
        <v>10</v>
      </c>
      <c r="I873" s="1">
        <f t="shared" si="3"/>
        <v>29.5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x14ac:dyDescent="0.2">
      <c r="A874" s="1">
        <v>489537</v>
      </c>
      <c r="B874" s="1">
        <v>20828</v>
      </c>
      <c r="C874" s="1" t="s">
        <v>432</v>
      </c>
      <c r="D874" s="1">
        <v>6</v>
      </c>
      <c r="E874" s="3">
        <v>40148.509722222225</v>
      </c>
      <c r="F874" s="1">
        <v>2.5499999999999998</v>
      </c>
      <c r="G874" s="1">
        <v>14040</v>
      </c>
      <c r="H874" s="1" t="s">
        <v>10</v>
      </c>
      <c r="I874" s="1">
        <f t="shared" si="3"/>
        <v>15.299999999999999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x14ac:dyDescent="0.2">
      <c r="A875" s="1">
        <v>489537</v>
      </c>
      <c r="B875" s="1">
        <v>20829</v>
      </c>
      <c r="C875" s="1" t="s">
        <v>713</v>
      </c>
      <c r="D875" s="1">
        <v>6</v>
      </c>
      <c r="E875" s="3">
        <v>40148.509722222225</v>
      </c>
      <c r="F875" s="1">
        <v>2.1</v>
      </c>
      <c r="G875" s="1">
        <v>14040</v>
      </c>
      <c r="H875" s="1" t="s">
        <v>10</v>
      </c>
      <c r="I875" s="1">
        <f t="shared" si="3"/>
        <v>12.600000000000001</v>
      </c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x14ac:dyDescent="0.2">
      <c r="A876" s="1">
        <v>489537</v>
      </c>
      <c r="B876" s="1" t="s">
        <v>714</v>
      </c>
      <c r="C876" s="1" t="s">
        <v>715</v>
      </c>
      <c r="D876" s="1">
        <v>6</v>
      </c>
      <c r="E876" s="3">
        <v>40148.509722222225</v>
      </c>
      <c r="F876" s="1">
        <v>1.25</v>
      </c>
      <c r="G876" s="1">
        <v>14040</v>
      </c>
      <c r="H876" s="1" t="s">
        <v>10</v>
      </c>
      <c r="I876" s="1">
        <f t="shared" si="3"/>
        <v>7.5</v>
      </c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x14ac:dyDescent="0.2">
      <c r="A877" s="1">
        <v>489537</v>
      </c>
      <c r="B877" s="1" t="s">
        <v>603</v>
      </c>
      <c r="C877" s="1" t="s">
        <v>604</v>
      </c>
      <c r="D877" s="1">
        <v>6</v>
      </c>
      <c r="E877" s="3">
        <v>40148.509722222225</v>
      </c>
      <c r="F877" s="1">
        <v>1.25</v>
      </c>
      <c r="G877" s="1">
        <v>14040</v>
      </c>
      <c r="H877" s="1" t="s">
        <v>10</v>
      </c>
      <c r="I877" s="1">
        <f t="shared" si="3"/>
        <v>7.5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x14ac:dyDescent="0.2">
      <c r="A878" s="1">
        <v>489537</v>
      </c>
      <c r="B878" s="1">
        <v>21791</v>
      </c>
      <c r="C878" s="1" t="s">
        <v>324</v>
      </c>
      <c r="D878" s="1">
        <v>6</v>
      </c>
      <c r="E878" s="3">
        <v>40148.509722222225</v>
      </c>
      <c r="F878" s="1">
        <v>1.25</v>
      </c>
      <c r="G878" s="1">
        <v>14040</v>
      </c>
      <c r="H878" s="1" t="s">
        <v>10</v>
      </c>
      <c r="I878" s="1">
        <f t="shared" si="3"/>
        <v>7.5</v>
      </c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x14ac:dyDescent="0.2">
      <c r="A879" s="1">
        <v>489537</v>
      </c>
      <c r="B879" s="1" t="s">
        <v>716</v>
      </c>
      <c r="C879" s="1" t="s">
        <v>717</v>
      </c>
      <c r="D879" s="1">
        <v>5</v>
      </c>
      <c r="E879" s="3">
        <v>40148.509722222225</v>
      </c>
      <c r="F879" s="1">
        <v>2.1</v>
      </c>
      <c r="G879" s="1">
        <v>14040</v>
      </c>
      <c r="H879" s="1" t="s">
        <v>10</v>
      </c>
      <c r="I879" s="1">
        <f t="shared" si="3"/>
        <v>10.5</v>
      </c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x14ac:dyDescent="0.2">
      <c r="A880" s="1">
        <v>489537</v>
      </c>
      <c r="B880" s="1">
        <v>20971</v>
      </c>
      <c r="C880" s="1" t="s">
        <v>54</v>
      </c>
      <c r="D880" s="1">
        <v>5</v>
      </c>
      <c r="E880" s="3">
        <v>40148.509722222225</v>
      </c>
      <c r="F880" s="1">
        <v>1.25</v>
      </c>
      <c r="G880" s="1">
        <v>14040</v>
      </c>
      <c r="H880" s="1" t="s">
        <v>10</v>
      </c>
      <c r="I880" s="1">
        <f t="shared" si="3"/>
        <v>6.25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x14ac:dyDescent="0.2">
      <c r="A881" s="1">
        <v>489537</v>
      </c>
      <c r="B881" s="1">
        <v>20972</v>
      </c>
      <c r="C881" s="1" t="s">
        <v>297</v>
      </c>
      <c r="D881" s="1">
        <v>5</v>
      </c>
      <c r="E881" s="3">
        <v>40148.509722222225</v>
      </c>
      <c r="F881" s="1">
        <v>1.25</v>
      </c>
      <c r="G881" s="1">
        <v>14040</v>
      </c>
      <c r="H881" s="1" t="s">
        <v>10</v>
      </c>
      <c r="I881" s="1">
        <f t="shared" si="3"/>
        <v>6.25</v>
      </c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x14ac:dyDescent="0.2">
      <c r="A882" s="1">
        <v>489537</v>
      </c>
      <c r="B882" s="1" t="s">
        <v>612</v>
      </c>
      <c r="C882" s="1" t="s">
        <v>613</v>
      </c>
      <c r="D882" s="1">
        <v>5</v>
      </c>
      <c r="E882" s="3">
        <v>40148.509722222225</v>
      </c>
      <c r="F882" s="1">
        <v>0.85</v>
      </c>
      <c r="G882" s="1">
        <v>14040</v>
      </c>
      <c r="H882" s="1" t="s">
        <v>10</v>
      </c>
      <c r="I882" s="1">
        <f t="shared" si="3"/>
        <v>4.25</v>
      </c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x14ac:dyDescent="0.2">
      <c r="A883" s="1">
        <v>489537</v>
      </c>
      <c r="B883" s="1" t="s">
        <v>718</v>
      </c>
      <c r="C883" s="1" t="s">
        <v>719</v>
      </c>
      <c r="D883" s="1">
        <v>5</v>
      </c>
      <c r="E883" s="3">
        <v>40148.509722222225</v>
      </c>
      <c r="F883" s="1">
        <v>0.85</v>
      </c>
      <c r="G883" s="1">
        <v>14040</v>
      </c>
      <c r="H883" s="1" t="s">
        <v>10</v>
      </c>
      <c r="I883" s="1">
        <f t="shared" si="3"/>
        <v>4.25</v>
      </c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x14ac:dyDescent="0.2">
      <c r="A884" s="1">
        <v>489537</v>
      </c>
      <c r="B884" s="1">
        <v>21480</v>
      </c>
      <c r="C884" s="1" t="s">
        <v>664</v>
      </c>
      <c r="D884" s="1">
        <v>5</v>
      </c>
      <c r="E884" s="3">
        <v>40148.509722222225</v>
      </c>
      <c r="F884" s="1">
        <v>2.95</v>
      </c>
      <c r="G884" s="1">
        <v>14040</v>
      </c>
      <c r="H884" s="1" t="s">
        <v>10</v>
      </c>
      <c r="I884" s="1">
        <f t="shared" si="3"/>
        <v>14.75</v>
      </c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x14ac:dyDescent="0.2">
      <c r="A885" s="1">
        <v>489537</v>
      </c>
      <c r="B885" s="1">
        <v>21777</v>
      </c>
      <c r="C885" s="1" t="s">
        <v>720</v>
      </c>
      <c r="D885" s="1">
        <v>4</v>
      </c>
      <c r="E885" s="3">
        <v>40148.509722222225</v>
      </c>
      <c r="F885" s="1">
        <v>7.95</v>
      </c>
      <c r="G885" s="1">
        <v>14040</v>
      </c>
      <c r="H885" s="1" t="s">
        <v>10</v>
      </c>
      <c r="I885" s="1">
        <f t="shared" si="3"/>
        <v>31.8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x14ac:dyDescent="0.2">
      <c r="A886" s="1">
        <v>489537</v>
      </c>
      <c r="B886" s="1">
        <v>20969</v>
      </c>
      <c r="C886" s="1" t="s">
        <v>721</v>
      </c>
      <c r="D886" s="1">
        <v>4</v>
      </c>
      <c r="E886" s="3">
        <v>40148.509722222225</v>
      </c>
      <c r="F886" s="1">
        <v>3.75</v>
      </c>
      <c r="G886" s="1">
        <v>14040</v>
      </c>
      <c r="H886" s="1" t="s">
        <v>10</v>
      </c>
      <c r="I886" s="1">
        <f t="shared" si="3"/>
        <v>15</v>
      </c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x14ac:dyDescent="0.2">
      <c r="A887" s="1">
        <v>489537</v>
      </c>
      <c r="B887" s="1">
        <v>20970</v>
      </c>
      <c r="C887" s="1" t="s">
        <v>302</v>
      </c>
      <c r="D887" s="1">
        <v>4</v>
      </c>
      <c r="E887" s="3">
        <v>40148.509722222225</v>
      </c>
      <c r="F887" s="1">
        <v>3.75</v>
      </c>
      <c r="G887" s="1">
        <v>14040</v>
      </c>
      <c r="H887" s="1" t="s">
        <v>10</v>
      </c>
      <c r="I887" s="1">
        <f t="shared" si="3"/>
        <v>15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x14ac:dyDescent="0.2">
      <c r="A888" s="1">
        <v>489537</v>
      </c>
      <c r="B888" s="1">
        <v>20968</v>
      </c>
      <c r="C888" s="1" t="s">
        <v>722</v>
      </c>
      <c r="D888" s="1">
        <v>4</v>
      </c>
      <c r="E888" s="3">
        <v>40148.509722222225</v>
      </c>
      <c r="F888" s="1">
        <v>3.75</v>
      </c>
      <c r="G888" s="1">
        <v>14040</v>
      </c>
      <c r="H888" s="1" t="s">
        <v>10</v>
      </c>
      <c r="I888" s="1">
        <f t="shared" si="3"/>
        <v>15</v>
      </c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x14ac:dyDescent="0.2">
      <c r="A889" s="1">
        <v>489537</v>
      </c>
      <c r="B889" s="1">
        <v>21411</v>
      </c>
      <c r="C889" s="1" t="s">
        <v>93</v>
      </c>
      <c r="D889" s="1">
        <v>4</v>
      </c>
      <c r="E889" s="3">
        <v>40148.509722222225</v>
      </c>
      <c r="F889" s="1">
        <v>4.25</v>
      </c>
      <c r="G889" s="1">
        <v>14040</v>
      </c>
      <c r="H889" s="1" t="s">
        <v>10</v>
      </c>
      <c r="I889" s="1">
        <f t="shared" si="3"/>
        <v>17</v>
      </c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x14ac:dyDescent="0.2">
      <c r="A890" s="1">
        <v>489537</v>
      </c>
      <c r="B890" s="1" t="s">
        <v>88</v>
      </c>
      <c r="C890" s="1" t="s">
        <v>89</v>
      </c>
      <c r="D890" s="1">
        <v>4</v>
      </c>
      <c r="E890" s="3">
        <v>40148.509722222225</v>
      </c>
      <c r="F890" s="1">
        <v>2.95</v>
      </c>
      <c r="G890" s="1">
        <v>14040</v>
      </c>
      <c r="H890" s="1" t="s">
        <v>10</v>
      </c>
      <c r="I890" s="1">
        <f t="shared" si="3"/>
        <v>11.8</v>
      </c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x14ac:dyDescent="0.2">
      <c r="A891" s="1">
        <v>489537</v>
      </c>
      <c r="B891" s="1" t="s">
        <v>72</v>
      </c>
      <c r="C891" s="1" t="s">
        <v>73</v>
      </c>
      <c r="D891" s="1">
        <v>4</v>
      </c>
      <c r="E891" s="3">
        <v>40148.509722222225</v>
      </c>
      <c r="F891" s="1">
        <v>2.95</v>
      </c>
      <c r="G891" s="1">
        <v>14040</v>
      </c>
      <c r="H891" s="1" t="s">
        <v>10</v>
      </c>
      <c r="I891" s="1">
        <f t="shared" si="3"/>
        <v>11.8</v>
      </c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x14ac:dyDescent="0.2">
      <c r="A892" s="1">
        <v>489537</v>
      </c>
      <c r="B892" s="1">
        <v>21812</v>
      </c>
      <c r="C892" s="1" t="s">
        <v>723</v>
      </c>
      <c r="D892" s="1">
        <v>4</v>
      </c>
      <c r="E892" s="3">
        <v>40148.509722222225</v>
      </c>
      <c r="F892" s="1">
        <v>4.95</v>
      </c>
      <c r="G892" s="1">
        <v>14040</v>
      </c>
      <c r="H892" s="1" t="s">
        <v>10</v>
      </c>
      <c r="I892" s="1">
        <f t="shared" si="3"/>
        <v>19.8</v>
      </c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x14ac:dyDescent="0.2">
      <c r="A893" s="1">
        <v>489537</v>
      </c>
      <c r="B893" s="1" t="s">
        <v>724</v>
      </c>
      <c r="C893" s="1" t="s">
        <v>725</v>
      </c>
      <c r="D893" s="1">
        <v>4</v>
      </c>
      <c r="E893" s="3">
        <v>40148.509722222225</v>
      </c>
      <c r="F893" s="1">
        <v>2.5499999999999998</v>
      </c>
      <c r="G893" s="1">
        <v>14040</v>
      </c>
      <c r="H893" s="1" t="s">
        <v>10</v>
      </c>
      <c r="I893" s="1">
        <f t="shared" si="3"/>
        <v>10.199999999999999</v>
      </c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x14ac:dyDescent="0.2">
      <c r="A894" s="1">
        <v>489537</v>
      </c>
      <c r="B894" s="1" t="s">
        <v>726</v>
      </c>
      <c r="C894" s="1" t="s">
        <v>727</v>
      </c>
      <c r="D894" s="1">
        <v>3</v>
      </c>
      <c r="E894" s="3">
        <v>40148.509722222225</v>
      </c>
      <c r="F894" s="1">
        <v>1.25</v>
      </c>
      <c r="G894" s="1">
        <v>14040</v>
      </c>
      <c r="H894" s="1" t="s">
        <v>10</v>
      </c>
      <c r="I894" s="1">
        <f t="shared" si="3"/>
        <v>3.75</v>
      </c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x14ac:dyDescent="0.2">
      <c r="A895" s="1">
        <v>489537</v>
      </c>
      <c r="B895" s="1">
        <v>21993</v>
      </c>
      <c r="C895" s="1" t="s">
        <v>728</v>
      </c>
      <c r="D895" s="1">
        <v>3</v>
      </c>
      <c r="E895" s="3">
        <v>40148.509722222225</v>
      </c>
      <c r="F895" s="1">
        <v>2.95</v>
      </c>
      <c r="G895" s="1">
        <v>14040</v>
      </c>
      <c r="H895" s="1" t="s">
        <v>10</v>
      </c>
      <c r="I895" s="1">
        <f t="shared" si="3"/>
        <v>8.8500000000000014</v>
      </c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x14ac:dyDescent="0.2">
      <c r="A896" s="1">
        <v>489537</v>
      </c>
      <c r="B896" s="1">
        <v>22125</v>
      </c>
      <c r="C896" s="1" t="s">
        <v>181</v>
      </c>
      <c r="D896" s="1">
        <v>3</v>
      </c>
      <c r="E896" s="3">
        <v>40148.509722222225</v>
      </c>
      <c r="F896" s="1">
        <v>5.95</v>
      </c>
      <c r="G896" s="1">
        <v>14040</v>
      </c>
      <c r="H896" s="1" t="s">
        <v>10</v>
      </c>
      <c r="I896" s="1">
        <f t="shared" si="3"/>
        <v>17.850000000000001</v>
      </c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x14ac:dyDescent="0.2">
      <c r="A897" s="1">
        <v>489537</v>
      </c>
      <c r="B897" s="1">
        <v>21482</v>
      </c>
      <c r="C897" s="1" t="s">
        <v>301</v>
      </c>
      <c r="D897" s="1">
        <v>3</v>
      </c>
      <c r="E897" s="3">
        <v>40148.509722222225</v>
      </c>
      <c r="F897" s="1">
        <v>2.95</v>
      </c>
      <c r="G897" s="1">
        <v>14040</v>
      </c>
      <c r="H897" s="1" t="s">
        <v>10</v>
      </c>
      <c r="I897" s="1">
        <f t="shared" si="3"/>
        <v>8.8500000000000014</v>
      </c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x14ac:dyDescent="0.2">
      <c r="A898" s="1">
        <v>489537</v>
      </c>
      <c r="B898" s="1">
        <v>21481</v>
      </c>
      <c r="C898" s="1" t="s">
        <v>279</v>
      </c>
      <c r="D898" s="1">
        <v>3</v>
      </c>
      <c r="E898" s="3">
        <v>40148.509722222225</v>
      </c>
      <c r="F898" s="1">
        <v>2.95</v>
      </c>
      <c r="G898" s="1">
        <v>14040</v>
      </c>
      <c r="H898" s="1" t="s">
        <v>10</v>
      </c>
      <c r="I898" s="1">
        <f t="shared" si="3"/>
        <v>8.8500000000000014</v>
      </c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x14ac:dyDescent="0.2">
      <c r="A899" s="1">
        <v>489537</v>
      </c>
      <c r="B899" s="1">
        <v>21489</v>
      </c>
      <c r="C899" s="1" t="s">
        <v>499</v>
      </c>
      <c r="D899" s="1">
        <v>3</v>
      </c>
      <c r="E899" s="3">
        <v>40148.509722222225</v>
      </c>
      <c r="F899" s="1">
        <v>3.95</v>
      </c>
      <c r="G899" s="1">
        <v>14040</v>
      </c>
      <c r="H899" s="1" t="s">
        <v>10</v>
      </c>
      <c r="I899" s="1">
        <f t="shared" si="3"/>
        <v>11.850000000000001</v>
      </c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x14ac:dyDescent="0.2">
      <c r="A900" s="1">
        <v>489537</v>
      </c>
      <c r="B900" s="1">
        <v>21488</v>
      </c>
      <c r="C900" s="1" t="s">
        <v>729</v>
      </c>
      <c r="D900" s="1">
        <v>3</v>
      </c>
      <c r="E900" s="3">
        <v>40148.509722222225</v>
      </c>
      <c r="F900" s="1">
        <v>3.95</v>
      </c>
      <c r="G900" s="1">
        <v>14040</v>
      </c>
      <c r="H900" s="1" t="s">
        <v>10</v>
      </c>
      <c r="I900" s="1">
        <f t="shared" si="3"/>
        <v>11.850000000000001</v>
      </c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x14ac:dyDescent="0.2">
      <c r="A901" s="1">
        <v>489537</v>
      </c>
      <c r="B901" s="1" t="s">
        <v>730</v>
      </c>
      <c r="C901" s="1" t="s">
        <v>731</v>
      </c>
      <c r="D901" s="1">
        <v>3</v>
      </c>
      <c r="E901" s="3">
        <v>40148.509722222225</v>
      </c>
      <c r="F901" s="1">
        <v>1.65</v>
      </c>
      <c r="G901" s="1">
        <v>14040</v>
      </c>
      <c r="H901" s="1" t="s">
        <v>10</v>
      </c>
      <c r="I901" s="1">
        <f t="shared" si="3"/>
        <v>4.9499999999999993</v>
      </c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x14ac:dyDescent="0.2">
      <c r="A902" s="1">
        <v>489537</v>
      </c>
      <c r="B902" s="1" t="s">
        <v>732</v>
      </c>
      <c r="C902" s="1" t="s">
        <v>733</v>
      </c>
      <c r="D902" s="1">
        <v>3</v>
      </c>
      <c r="E902" s="3">
        <v>40148.509722222225</v>
      </c>
      <c r="F902" s="1">
        <v>2.5499999999999998</v>
      </c>
      <c r="G902" s="1">
        <v>14040</v>
      </c>
      <c r="H902" s="1" t="s">
        <v>10</v>
      </c>
      <c r="I902" s="1">
        <f t="shared" si="3"/>
        <v>7.6499999999999995</v>
      </c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x14ac:dyDescent="0.2">
      <c r="A903" s="1">
        <v>489537</v>
      </c>
      <c r="B903" s="1" t="s">
        <v>734</v>
      </c>
      <c r="C903" s="1" t="s">
        <v>735</v>
      </c>
      <c r="D903" s="1">
        <v>3</v>
      </c>
      <c r="E903" s="3">
        <v>40148.509722222225</v>
      </c>
      <c r="F903" s="1">
        <v>1.25</v>
      </c>
      <c r="G903" s="1">
        <v>14040</v>
      </c>
      <c r="H903" s="1" t="s">
        <v>10</v>
      </c>
      <c r="I903" s="1">
        <f t="shared" si="3"/>
        <v>3.75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x14ac:dyDescent="0.2">
      <c r="A904" s="1">
        <v>489537</v>
      </c>
      <c r="B904" s="1">
        <v>21888</v>
      </c>
      <c r="C904" s="1" t="s">
        <v>141</v>
      </c>
      <c r="D904" s="1">
        <v>3</v>
      </c>
      <c r="E904" s="3">
        <v>40148.509722222225</v>
      </c>
      <c r="F904" s="1">
        <v>3.75</v>
      </c>
      <c r="G904" s="1">
        <v>14040</v>
      </c>
      <c r="H904" s="1" t="s">
        <v>10</v>
      </c>
      <c r="I904" s="1">
        <f t="shared" si="3"/>
        <v>11.25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x14ac:dyDescent="0.2">
      <c r="A905" s="1">
        <v>489537</v>
      </c>
      <c r="B905" s="1">
        <v>48188</v>
      </c>
      <c r="C905" s="1" t="s">
        <v>736</v>
      </c>
      <c r="D905" s="1">
        <v>2</v>
      </c>
      <c r="E905" s="3">
        <v>40148.509722222225</v>
      </c>
      <c r="F905" s="1">
        <v>6.75</v>
      </c>
      <c r="G905" s="1">
        <v>14040</v>
      </c>
      <c r="H905" s="1" t="s">
        <v>10</v>
      </c>
      <c r="I905" s="1">
        <f t="shared" si="3"/>
        <v>13.5</v>
      </c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x14ac:dyDescent="0.2">
      <c r="A906" s="1">
        <v>489537</v>
      </c>
      <c r="B906" s="1">
        <v>48111</v>
      </c>
      <c r="C906" s="1" t="s">
        <v>504</v>
      </c>
      <c r="D906" s="1">
        <v>2</v>
      </c>
      <c r="E906" s="3">
        <v>40148.509722222225</v>
      </c>
      <c r="F906" s="1">
        <v>6.75</v>
      </c>
      <c r="G906" s="1">
        <v>14040</v>
      </c>
      <c r="H906" s="1" t="s">
        <v>10</v>
      </c>
      <c r="I906" s="1">
        <f t="shared" si="3"/>
        <v>13.5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x14ac:dyDescent="0.2">
      <c r="A907" s="1">
        <v>489537</v>
      </c>
      <c r="B907" s="1">
        <v>48194</v>
      </c>
      <c r="C907" s="1" t="s">
        <v>506</v>
      </c>
      <c r="D907" s="1">
        <v>2</v>
      </c>
      <c r="E907" s="3">
        <v>40148.509722222225</v>
      </c>
      <c r="F907" s="1">
        <v>6.75</v>
      </c>
      <c r="G907" s="1">
        <v>14040</v>
      </c>
      <c r="H907" s="1" t="s">
        <v>10</v>
      </c>
      <c r="I907" s="1">
        <f t="shared" si="3"/>
        <v>13.5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x14ac:dyDescent="0.2">
      <c r="A908" s="1">
        <v>489537</v>
      </c>
      <c r="B908" s="1">
        <v>20685</v>
      </c>
      <c r="C908" s="1" t="s">
        <v>505</v>
      </c>
      <c r="D908" s="1">
        <v>2</v>
      </c>
      <c r="E908" s="3">
        <v>40148.509722222225</v>
      </c>
      <c r="F908" s="1">
        <v>6.75</v>
      </c>
      <c r="G908" s="1">
        <v>14040</v>
      </c>
      <c r="H908" s="1" t="s">
        <v>10</v>
      </c>
      <c r="I908" s="1">
        <f t="shared" si="3"/>
        <v>13.5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x14ac:dyDescent="0.2">
      <c r="A909" s="1">
        <v>489537</v>
      </c>
      <c r="B909" s="1">
        <v>48195</v>
      </c>
      <c r="C909" s="1" t="s">
        <v>440</v>
      </c>
      <c r="D909" s="1">
        <v>2</v>
      </c>
      <c r="E909" s="3">
        <v>40148.509722222225</v>
      </c>
      <c r="F909" s="1">
        <v>6.75</v>
      </c>
      <c r="G909" s="1">
        <v>14040</v>
      </c>
      <c r="H909" s="1" t="s">
        <v>10</v>
      </c>
      <c r="I909" s="1">
        <f t="shared" si="3"/>
        <v>13.5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x14ac:dyDescent="0.2">
      <c r="A910" s="1">
        <v>489537</v>
      </c>
      <c r="B910" s="1">
        <v>48184</v>
      </c>
      <c r="C910" s="1" t="s">
        <v>737</v>
      </c>
      <c r="D910" s="1">
        <v>2</v>
      </c>
      <c r="E910" s="3">
        <v>40148.509722222225</v>
      </c>
      <c r="F910" s="1">
        <v>6.75</v>
      </c>
      <c r="G910" s="1">
        <v>14040</v>
      </c>
      <c r="H910" s="1" t="s">
        <v>10</v>
      </c>
      <c r="I910" s="1">
        <f t="shared" si="3"/>
        <v>13.5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x14ac:dyDescent="0.2">
      <c r="A911" s="1">
        <v>489537</v>
      </c>
      <c r="B911" s="1">
        <v>20967</v>
      </c>
      <c r="C911" s="1" t="s">
        <v>313</v>
      </c>
      <c r="D911" s="1">
        <v>2</v>
      </c>
      <c r="E911" s="3">
        <v>40148.509722222225</v>
      </c>
      <c r="F911" s="1">
        <v>3.75</v>
      </c>
      <c r="G911" s="1">
        <v>14040</v>
      </c>
      <c r="H911" s="1" t="s">
        <v>10</v>
      </c>
      <c r="I911" s="1">
        <f t="shared" si="3"/>
        <v>7.5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x14ac:dyDescent="0.2">
      <c r="A912" s="1">
        <v>489537</v>
      </c>
      <c r="B912" s="1" t="s">
        <v>128</v>
      </c>
      <c r="C912" s="1" t="s">
        <v>129</v>
      </c>
      <c r="D912" s="1">
        <v>2</v>
      </c>
      <c r="E912" s="3">
        <v>40148.509722222225</v>
      </c>
      <c r="F912" s="1">
        <v>1.25</v>
      </c>
      <c r="G912" s="1">
        <v>14040</v>
      </c>
      <c r="H912" s="1" t="s">
        <v>10</v>
      </c>
      <c r="I912" s="1">
        <f t="shared" si="3"/>
        <v>2.5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x14ac:dyDescent="0.2">
      <c r="A913" s="1">
        <v>489537</v>
      </c>
      <c r="B913" s="1">
        <v>22273</v>
      </c>
      <c r="C913" s="1" t="s">
        <v>242</v>
      </c>
      <c r="D913" s="1">
        <v>2</v>
      </c>
      <c r="E913" s="3">
        <v>40148.509722222225</v>
      </c>
      <c r="F913" s="1">
        <v>2.95</v>
      </c>
      <c r="G913" s="1">
        <v>14040</v>
      </c>
      <c r="H913" s="1" t="s">
        <v>10</v>
      </c>
      <c r="I913" s="1">
        <f t="shared" si="3"/>
        <v>5.9</v>
      </c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x14ac:dyDescent="0.2">
      <c r="A914" s="1">
        <v>489537</v>
      </c>
      <c r="B914" s="1">
        <v>21410</v>
      </c>
      <c r="C914" s="1" t="s">
        <v>92</v>
      </c>
      <c r="D914" s="1">
        <v>2</v>
      </c>
      <c r="E914" s="3">
        <v>40148.509722222225</v>
      </c>
      <c r="F914" s="1">
        <v>4.25</v>
      </c>
      <c r="G914" s="1">
        <v>14040</v>
      </c>
      <c r="H914" s="1" t="s">
        <v>10</v>
      </c>
      <c r="I914" s="1">
        <f t="shared" si="3"/>
        <v>8.5</v>
      </c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x14ac:dyDescent="0.2">
      <c r="A915" s="1">
        <v>489537</v>
      </c>
      <c r="B915" s="1">
        <v>21479</v>
      </c>
      <c r="C915" s="1" t="s">
        <v>323</v>
      </c>
      <c r="D915" s="1">
        <v>2</v>
      </c>
      <c r="E915" s="3">
        <v>40148.509722222225</v>
      </c>
      <c r="F915" s="1">
        <v>3.75</v>
      </c>
      <c r="G915" s="1">
        <v>14040</v>
      </c>
      <c r="H915" s="1" t="s">
        <v>10</v>
      </c>
      <c r="I915" s="1">
        <f t="shared" si="3"/>
        <v>7.5</v>
      </c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x14ac:dyDescent="0.2">
      <c r="A916" s="1">
        <v>489537</v>
      </c>
      <c r="B916" s="1">
        <v>21486</v>
      </c>
      <c r="C916" s="1" t="s">
        <v>738</v>
      </c>
      <c r="D916" s="1">
        <v>2</v>
      </c>
      <c r="E916" s="3">
        <v>40148.509722222225</v>
      </c>
      <c r="F916" s="1">
        <v>3.75</v>
      </c>
      <c r="G916" s="1">
        <v>14040</v>
      </c>
      <c r="H916" s="1" t="s">
        <v>10</v>
      </c>
      <c r="I916" s="1">
        <f t="shared" si="3"/>
        <v>7.5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x14ac:dyDescent="0.2">
      <c r="A917" s="1">
        <v>489537</v>
      </c>
      <c r="B917" s="1">
        <v>21351</v>
      </c>
      <c r="C917" s="1" t="s">
        <v>67</v>
      </c>
      <c r="D917" s="1">
        <v>2</v>
      </c>
      <c r="E917" s="3">
        <v>40148.509722222225</v>
      </c>
      <c r="F917" s="1">
        <v>6.75</v>
      </c>
      <c r="G917" s="1">
        <v>14040</v>
      </c>
      <c r="H917" s="1" t="s">
        <v>10</v>
      </c>
      <c r="I917" s="1">
        <f t="shared" si="3"/>
        <v>13.5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x14ac:dyDescent="0.2">
      <c r="A918" s="1">
        <v>489537</v>
      </c>
      <c r="B918" s="1">
        <v>48129</v>
      </c>
      <c r="C918" s="1" t="s">
        <v>577</v>
      </c>
      <c r="D918" s="1">
        <v>1</v>
      </c>
      <c r="E918" s="3">
        <v>40148.509722222225</v>
      </c>
      <c r="F918" s="1">
        <v>6.75</v>
      </c>
      <c r="G918" s="1">
        <v>14040</v>
      </c>
      <c r="H918" s="1" t="s">
        <v>10</v>
      </c>
      <c r="I918" s="1">
        <f t="shared" si="3"/>
        <v>6.75</v>
      </c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x14ac:dyDescent="0.2">
      <c r="A919" s="1">
        <v>489537</v>
      </c>
      <c r="B919" s="1">
        <v>21523</v>
      </c>
      <c r="C919" s="1" t="s">
        <v>19</v>
      </c>
      <c r="D919" s="1">
        <v>1</v>
      </c>
      <c r="E919" s="3">
        <v>40148.509722222225</v>
      </c>
      <c r="F919" s="1">
        <v>6.75</v>
      </c>
      <c r="G919" s="1">
        <v>14040</v>
      </c>
      <c r="H919" s="1" t="s">
        <v>10</v>
      </c>
      <c r="I919" s="1">
        <f t="shared" si="3"/>
        <v>6.75</v>
      </c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x14ac:dyDescent="0.2">
      <c r="A920" s="1">
        <v>489537</v>
      </c>
      <c r="B920" s="1">
        <v>21737</v>
      </c>
      <c r="C920" s="1" t="s">
        <v>739</v>
      </c>
      <c r="D920" s="1">
        <v>1</v>
      </c>
      <c r="E920" s="3">
        <v>40148.509722222225</v>
      </c>
      <c r="F920" s="1">
        <v>19.95</v>
      </c>
      <c r="G920" s="1">
        <v>14040</v>
      </c>
      <c r="H920" s="1" t="s">
        <v>10</v>
      </c>
      <c r="I920" s="1">
        <f t="shared" si="3"/>
        <v>19.95</v>
      </c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x14ac:dyDescent="0.2">
      <c r="A921" s="1">
        <v>489537</v>
      </c>
      <c r="B921" s="1">
        <v>22207</v>
      </c>
      <c r="C921" s="1" t="s">
        <v>740</v>
      </c>
      <c r="D921" s="1">
        <v>1</v>
      </c>
      <c r="E921" s="3">
        <v>40148.509722222225</v>
      </c>
      <c r="F921" s="1">
        <v>4.25</v>
      </c>
      <c r="G921" s="1">
        <v>14040</v>
      </c>
      <c r="H921" s="1" t="s">
        <v>10</v>
      </c>
      <c r="I921" s="1">
        <f t="shared" si="3"/>
        <v>4.25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x14ac:dyDescent="0.2">
      <c r="A922" s="1">
        <v>489537</v>
      </c>
      <c r="B922" s="1">
        <v>21016</v>
      </c>
      <c r="C922" s="1" t="s">
        <v>741</v>
      </c>
      <c r="D922" s="1">
        <v>1</v>
      </c>
      <c r="E922" s="3">
        <v>40148.509722222225</v>
      </c>
      <c r="F922" s="1">
        <v>0.85</v>
      </c>
      <c r="G922" s="1">
        <v>14040</v>
      </c>
      <c r="H922" s="1" t="s">
        <v>10</v>
      </c>
      <c r="I922" s="1">
        <f t="shared" si="3"/>
        <v>0.85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x14ac:dyDescent="0.2">
      <c r="A923" s="1">
        <v>489537</v>
      </c>
      <c r="B923" s="1">
        <v>22115</v>
      </c>
      <c r="C923" s="1" t="s">
        <v>513</v>
      </c>
      <c r="D923" s="1">
        <v>1</v>
      </c>
      <c r="E923" s="3">
        <v>40148.509722222225</v>
      </c>
      <c r="F923" s="1">
        <v>2.95</v>
      </c>
      <c r="G923" s="1">
        <v>14040</v>
      </c>
      <c r="H923" s="1" t="s">
        <v>10</v>
      </c>
      <c r="I923" s="1">
        <f t="shared" si="3"/>
        <v>2.95</v>
      </c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x14ac:dyDescent="0.2">
      <c r="A924" s="1">
        <v>489537</v>
      </c>
      <c r="B924" s="1">
        <v>21407</v>
      </c>
      <c r="C924" s="1" t="s">
        <v>742</v>
      </c>
      <c r="D924" s="1">
        <v>1</v>
      </c>
      <c r="E924" s="3">
        <v>40148.509722222225</v>
      </c>
      <c r="F924" s="1">
        <v>4.25</v>
      </c>
      <c r="G924" s="1">
        <v>14040</v>
      </c>
      <c r="H924" s="1" t="s">
        <v>10</v>
      </c>
      <c r="I924" s="1">
        <f t="shared" si="3"/>
        <v>4.25</v>
      </c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x14ac:dyDescent="0.2">
      <c r="A925" s="1">
        <v>489537</v>
      </c>
      <c r="B925" s="1" t="s">
        <v>732</v>
      </c>
      <c r="C925" s="1" t="s">
        <v>733</v>
      </c>
      <c r="D925" s="1">
        <v>1</v>
      </c>
      <c r="E925" s="3">
        <v>40148.509722222225</v>
      </c>
      <c r="F925" s="1">
        <v>2.5499999999999998</v>
      </c>
      <c r="G925" s="1">
        <v>14040</v>
      </c>
      <c r="H925" s="1" t="s">
        <v>10</v>
      </c>
      <c r="I925" s="1">
        <f t="shared" si="3"/>
        <v>2.5499999999999998</v>
      </c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x14ac:dyDescent="0.2">
      <c r="A926" s="1">
        <v>489537</v>
      </c>
      <c r="B926" s="1">
        <v>21813</v>
      </c>
      <c r="C926" s="1" t="s">
        <v>743</v>
      </c>
      <c r="D926" s="1">
        <v>1</v>
      </c>
      <c r="E926" s="3">
        <v>40148.509722222225</v>
      </c>
      <c r="F926" s="1">
        <v>4.95</v>
      </c>
      <c r="G926" s="1">
        <v>14040</v>
      </c>
      <c r="H926" s="1" t="s">
        <v>10</v>
      </c>
      <c r="I926" s="1">
        <f t="shared" si="3"/>
        <v>4.95</v>
      </c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x14ac:dyDescent="0.2">
      <c r="A927" s="1">
        <v>489537</v>
      </c>
      <c r="B927" s="1" t="s">
        <v>122</v>
      </c>
      <c r="C927" s="1" t="s">
        <v>123</v>
      </c>
      <c r="D927" s="1">
        <v>1</v>
      </c>
      <c r="E927" s="3">
        <v>40148.509722222225</v>
      </c>
      <c r="F927" s="1">
        <v>3.75</v>
      </c>
      <c r="G927" s="1">
        <v>14040</v>
      </c>
      <c r="H927" s="1" t="s">
        <v>10</v>
      </c>
      <c r="I927" s="1">
        <f t="shared" si="3"/>
        <v>3.75</v>
      </c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x14ac:dyDescent="0.2">
      <c r="A928" s="1">
        <v>489539</v>
      </c>
      <c r="B928" s="1" t="s">
        <v>744</v>
      </c>
      <c r="C928" s="1" t="s">
        <v>745</v>
      </c>
      <c r="D928" s="1">
        <v>192</v>
      </c>
      <c r="E928" s="3">
        <v>40148.512499999997</v>
      </c>
      <c r="F928" s="1">
        <v>1.45</v>
      </c>
      <c r="G928" s="1">
        <v>15061</v>
      </c>
      <c r="H928" s="1" t="s">
        <v>10</v>
      </c>
      <c r="I928" s="1">
        <f t="shared" si="3"/>
        <v>278.39999999999998</v>
      </c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x14ac:dyDescent="0.2">
      <c r="A929" s="1">
        <v>489539</v>
      </c>
      <c r="B929" s="1">
        <v>16237</v>
      </c>
      <c r="C929" s="1" t="s">
        <v>746</v>
      </c>
      <c r="D929" s="1">
        <v>180</v>
      </c>
      <c r="E929" s="3">
        <v>40148.512499999997</v>
      </c>
      <c r="F929" s="1">
        <v>0.21</v>
      </c>
      <c r="G929" s="1">
        <v>15061</v>
      </c>
      <c r="H929" s="1" t="s">
        <v>10</v>
      </c>
      <c r="I929" s="1">
        <f t="shared" si="3"/>
        <v>37.799999999999997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x14ac:dyDescent="0.2">
      <c r="A930" s="1">
        <v>489539</v>
      </c>
      <c r="B930" s="1">
        <v>22086</v>
      </c>
      <c r="C930" s="1" t="s">
        <v>183</v>
      </c>
      <c r="D930" s="1">
        <v>160</v>
      </c>
      <c r="E930" s="3">
        <v>40148.512499999997</v>
      </c>
      <c r="F930" s="1">
        <v>2.5499999999999998</v>
      </c>
      <c r="G930" s="1">
        <v>15061</v>
      </c>
      <c r="H930" s="1" t="s">
        <v>10</v>
      </c>
      <c r="I930" s="1">
        <f t="shared" si="3"/>
        <v>408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x14ac:dyDescent="0.2">
      <c r="A931" s="1">
        <v>489539</v>
      </c>
      <c r="B931" s="1">
        <v>22083</v>
      </c>
      <c r="C931" s="1" t="s">
        <v>176</v>
      </c>
      <c r="D931" s="1">
        <v>160</v>
      </c>
      <c r="E931" s="3">
        <v>40148.512499999997</v>
      </c>
      <c r="F931" s="1">
        <v>2.5499999999999998</v>
      </c>
      <c r="G931" s="1">
        <v>15061</v>
      </c>
      <c r="H931" s="1" t="s">
        <v>10</v>
      </c>
      <c r="I931" s="1">
        <f t="shared" si="3"/>
        <v>408</v>
      </c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x14ac:dyDescent="0.2">
      <c r="A932" s="1">
        <v>489539</v>
      </c>
      <c r="B932" s="1">
        <v>21700</v>
      </c>
      <c r="C932" s="1" t="s">
        <v>747</v>
      </c>
      <c r="D932" s="1">
        <v>144</v>
      </c>
      <c r="E932" s="3">
        <v>40148.512499999997</v>
      </c>
      <c r="F932" s="1">
        <v>0.85</v>
      </c>
      <c r="G932" s="1">
        <v>15061</v>
      </c>
      <c r="H932" s="1" t="s">
        <v>10</v>
      </c>
      <c r="I932" s="1">
        <f t="shared" si="3"/>
        <v>122.39999999999999</v>
      </c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x14ac:dyDescent="0.2">
      <c r="A933" s="1">
        <v>489539</v>
      </c>
      <c r="B933" s="1">
        <v>21500</v>
      </c>
      <c r="C933" s="1" t="s">
        <v>563</v>
      </c>
      <c r="D933" s="1">
        <v>100</v>
      </c>
      <c r="E933" s="3">
        <v>40148.512499999997</v>
      </c>
      <c r="F933" s="1">
        <v>0.34</v>
      </c>
      <c r="G933" s="1">
        <v>15061</v>
      </c>
      <c r="H933" s="1" t="s">
        <v>10</v>
      </c>
      <c r="I933" s="1">
        <f t="shared" si="3"/>
        <v>34</v>
      </c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x14ac:dyDescent="0.2">
      <c r="A934" s="1">
        <v>489539</v>
      </c>
      <c r="B934" s="1">
        <v>84879</v>
      </c>
      <c r="C934" s="1" t="s">
        <v>26</v>
      </c>
      <c r="D934" s="1">
        <v>96</v>
      </c>
      <c r="E934" s="3">
        <v>40148.512499999997</v>
      </c>
      <c r="F934" s="1">
        <v>1.69</v>
      </c>
      <c r="G934" s="1">
        <v>15061</v>
      </c>
      <c r="H934" s="1" t="s">
        <v>10</v>
      </c>
      <c r="I934" s="1">
        <f t="shared" si="3"/>
        <v>162.24</v>
      </c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x14ac:dyDescent="0.2">
      <c r="A935" s="1">
        <v>489539</v>
      </c>
      <c r="B935" s="1">
        <v>37461</v>
      </c>
      <c r="C935" s="1" t="s">
        <v>748</v>
      </c>
      <c r="D935" s="1">
        <v>96</v>
      </c>
      <c r="E935" s="3">
        <v>40148.512499999997</v>
      </c>
      <c r="F935" s="1">
        <v>0.85</v>
      </c>
      <c r="G935" s="1">
        <v>15061</v>
      </c>
      <c r="H935" s="1" t="s">
        <v>10</v>
      </c>
      <c r="I935" s="1">
        <f t="shared" si="3"/>
        <v>81.599999999999994</v>
      </c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x14ac:dyDescent="0.2">
      <c r="A936" s="1">
        <v>489539</v>
      </c>
      <c r="B936" s="1">
        <v>20692</v>
      </c>
      <c r="C936" s="1" t="s">
        <v>749</v>
      </c>
      <c r="D936" s="1">
        <v>96</v>
      </c>
      <c r="E936" s="3">
        <v>40148.512499999997</v>
      </c>
      <c r="F936" s="1">
        <v>3.75</v>
      </c>
      <c r="G936" s="1">
        <v>15061</v>
      </c>
      <c r="H936" s="1" t="s">
        <v>10</v>
      </c>
      <c r="I936" s="1">
        <f t="shared" si="3"/>
        <v>360</v>
      </c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x14ac:dyDescent="0.2">
      <c r="A937" s="1">
        <v>489539</v>
      </c>
      <c r="B937" s="1">
        <v>22139</v>
      </c>
      <c r="C937" s="1" t="s">
        <v>110</v>
      </c>
      <c r="D937" s="1">
        <v>72</v>
      </c>
      <c r="E937" s="3">
        <v>40148.512499999997</v>
      </c>
      <c r="F937" s="1">
        <v>4.25</v>
      </c>
      <c r="G937" s="1">
        <v>15061</v>
      </c>
      <c r="H937" s="1" t="s">
        <v>10</v>
      </c>
      <c r="I937" s="1">
        <f t="shared" si="3"/>
        <v>306</v>
      </c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x14ac:dyDescent="0.2">
      <c r="A938" s="1">
        <v>489539</v>
      </c>
      <c r="B938" s="1">
        <v>21673</v>
      </c>
      <c r="C938" s="1" t="s">
        <v>252</v>
      </c>
      <c r="D938" s="1">
        <v>60</v>
      </c>
      <c r="E938" s="3">
        <v>40148.512499999997</v>
      </c>
      <c r="F938" s="1">
        <v>1.06</v>
      </c>
      <c r="G938" s="1">
        <v>15061</v>
      </c>
      <c r="H938" s="1" t="s">
        <v>10</v>
      </c>
      <c r="I938" s="1">
        <f t="shared" si="3"/>
        <v>63.6</v>
      </c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x14ac:dyDescent="0.2">
      <c r="A939" s="1">
        <v>489539</v>
      </c>
      <c r="B939" s="1">
        <v>21671</v>
      </c>
      <c r="C939" s="1" t="s">
        <v>182</v>
      </c>
      <c r="D939" s="1">
        <v>60</v>
      </c>
      <c r="E939" s="3">
        <v>40148.512499999997</v>
      </c>
      <c r="F939" s="1">
        <v>1.06</v>
      </c>
      <c r="G939" s="1">
        <v>15061</v>
      </c>
      <c r="H939" s="1" t="s">
        <v>10</v>
      </c>
      <c r="I939" s="1">
        <f t="shared" si="3"/>
        <v>63.6</v>
      </c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x14ac:dyDescent="0.2">
      <c r="A940" s="1">
        <v>489539</v>
      </c>
      <c r="B940" s="1">
        <v>21669</v>
      </c>
      <c r="C940" s="1" t="s">
        <v>249</v>
      </c>
      <c r="D940" s="1">
        <v>60</v>
      </c>
      <c r="E940" s="3">
        <v>40148.512499999997</v>
      </c>
      <c r="F940" s="1">
        <v>1.06</v>
      </c>
      <c r="G940" s="1">
        <v>15061</v>
      </c>
      <c r="H940" s="1" t="s">
        <v>10</v>
      </c>
      <c r="I940" s="1">
        <f t="shared" si="3"/>
        <v>63.6</v>
      </c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x14ac:dyDescent="0.2">
      <c r="A941" s="1">
        <v>489539</v>
      </c>
      <c r="B941" s="1">
        <v>85041</v>
      </c>
      <c r="C941" s="1" t="s">
        <v>750</v>
      </c>
      <c r="D941" s="1">
        <v>48</v>
      </c>
      <c r="E941" s="3">
        <v>40148.512499999997</v>
      </c>
      <c r="F941" s="1">
        <v>1.45</v>
      </c>
      <c r="G941" s="1">
        <v>15061</v>
      </c>
      <c r="H941" s="1" t="s">
        <v>10</v>
      </c>
      <c r="I941" s="1">
        <f t="shared" si="3"/>
        <v>69.599999999999994</v>
      </c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x14ac:dyDescent="0.2">
      <c r="A942" s="1">
        <v>489539</v>
      </c>
      <c r="B942" s="1">
        <v>20685</v>
      </c>
      <c r="C942" s="1" t="s">
        <v>505</v>
      </c>
      <c r="D942" s="1">
        <v>30</v>
      </c>
      <c r="E942" s="3">
        <v>40148.512499999997</v>
      </c>
      <c r="F942" s="1">
        <v>5.95</v>
      </c>
      <c r="G942" s="1">
        <v>15061</v>
      </c>
      <c r="H942" s="1" t="s">
        <v>10</v>
      </c>
      <c r="I942" s="1">
        <f t="shared" si="3"/>
        <v>178.5</v>
      </c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x14ac:dyDescent="0.2">
      <c r="A943" s="1">
        <v>489539</v>
      </c>
      <c r="B943" s="1" t="s">
        <v>15</v>
      </c>
      <c r="C943" s="1" t="s">
        <v>16</v>
      </c>
      <c r="D943" s="1">
        <v>24</v>
      </c>
      <c r="E943" s="3">
        <v>40148.512499999997</v>
      </c>
      <c r="F943" s="1">
        <v>5.45</v>
      </c>
      <c r="G943" s="1">
        <v>15061</v>
      </c>
      <c r="H943" s="1" t="s">
        <v>10</v>
      </c>
      <c r="I943" s="1">
        <f t="shared" si="3"/>
        <v>130.80000000000001</v>
      </c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x14ac:dyDescent="0.2">
      <c r="A944" s="1">
        <v>489539</v>
      </c>
      <c r="B944" s="1">
        <v>48184</v>
      </c>
      <c r="C944" s="1" t="s">
        <v>737</v>
      </c>
      <c r="D944" s="1">
        <v>20</v>
      </c>
      <c r="E944" s="3">
        <v>40148.512499999997</v>
      </c>
      <c r="F944" s="1">
        <v>5.95</v>
      </c>
      <c r="G944" s="1">
        <v>15061</v>
      </c>
      <c r="H944" s="1" t="s">
        <v>10</v>
      </c>
      <c r="I944" s="1">
        <f t="shared" si="3"/>
        <v>119</v>
      </c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x14ac:dyDescent="0.2">
      <c r="A945" s="1">
        <v>489540</v>
      </c>
      <c r="B945" s="1">
        <v>22083</v>
      </c>
      <c r="C945" s="1" t="s">
        <v>176</v>
      </c>
      <c r="D945" s="1">
        <v>58</v>
      </c>
      <c r="E945" s="3">
        <v>40148.512499999997</v>
      </c>
      <c r="F945" s="1">
        <v>2.5499999999999998</v>
      </c>
      <c r="G945" s="1">
        <v>12913</v>
      </c>
      <c r="H945" s="1" t="s">
        <v>10</v>
      </c>
      <c r="I945" s="1">
        <f t="shared" si="3"/>
        <v>147.89999999999998</v>
      </c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x14ac:dyDescent="0.2">
      <c r="A946" s="1">
        <v>489540</v>
      </c>
      <c r="B946" s="1">
        <v>22086</v>
      </c>
      <c r="C946" s="1" t="s">
        <v>183</v>
      </c>
      <c r="D946" s="1">
        <v>58</v>
      </c>
      <c r="E946" s="3">
        <v>40148.512499999997</v>
      </c>
      <c r="F946" s="1">
        <v>2.5499999999999998</v>
      </c>
      <c r="G946" s="1">
        <v>12913</v>
      </c>
      <c r="H946" s="1" t="s">
        <v>10</v>
      </c>
      <c r="I946" s="1">
        <f t="shared" si="3"/>
        <v>147.89999999999998</v>
      </c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x14ac:dyDescent="0.2">
      <c r="A947" s="1">
        <v>489540</v>
      </c>
      <c r="B947" s="1">
        <v>21732</v>
      </c>
      <c r="C947" s="1" t="s">
        <v>751</v>
      </c>
      <c r="D947" s="1">
        <v>24</v>
      </c>
      <c r="E947" s="3">
        <v>40148.512499999997</v>
      </c>
      <c r="F947" s="1">
        <v>3.39</v>
      </c>
      <c r="G947" s="1">
        <v>12913</v>
      </c>
      <c r="H947" s="1" t="s">
        <v>10</v>
      </c>
      <c r="I947" s="1">
        <f t="shared" si="3"/>
        <v>81.36</v>
      </c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x14ac:dyDescent="0.2">
      <c r="A948" s="1">
        <v>489540</v>
      </c>
      <c r="B948" s="1">
        <v>21754</v>
      </c>
      <c r="C948" s="1" t="s">
        <v>43</v>
      </c>
      <c r="D948" s="1">
        <v>24</v>
      </c>
      <c r="E948" s="3">
        <v>40148.512499999997</v>
      </c>
      <c r="F948" s="1">
        <v>5.45</v>
      </c>
      <c r="G948" s="1">
        <v>12913</v>
      </c>
      <c r="H948" s="1" t="s">
        <v>10</v>
      </c>
      <c r="I948" s="1">
        <f t="shared" si="3"/>
        <v>130.80000000000001</v>
      </c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x14ac:dyDescent="0.2">
      <c r="A949" s="1">
        <v>489540</v>
      </c>
      <c r="B949" s="1">
        <v>84946</v>
      </c>
      <c r="C949" s="1" t="s">
        <v>208</v>
      </c>
      <c r="D949" s="1">
        <v>24</v>
      </c>
      <c r="E949" s="3">
        <v>40148.512499999997</v>
      </c>
      <c r="F949" s="1">
        <v>1.25</v>
      </c>
      <c r="G949" s="1">
        <v>12913</v>
      </c>
      <c r="H949" s="1" t="s">
        <v>10</v>
      </c>
      <c r="I949" s="1">
        <f t="shared" si="3"/>
        <v>30</v>
      </c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x14ac:dyDescent="0.2">
      <c r="A950" s="1" t="s">
        <v>752</v>
      </c>
      <c r="B950" s="1" t="s">
        <v>119</v>
      </c>
      <c r="C950" s="1" t="s">
        <v>120</v>
      </c>
      <c r="D950" s="1">
        <v>-1</v>
      </c>
      <c r="E950" s="3">
        <v>40148.512499999997</v>
      </c>
      <c r="F950" s="1">
        <v>9.58</v>
      </c>
      <c r="G950" s="1">
        <v>15796</v>
      </c>
      <c r="H950" s="1" t="s">
        <v>10</v>
      </c>
      <c r="I950" s="1">
        <f t="shared" si="3"/>
        <v>-9.58</v>
      </c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x14ac:dyDescent="0.2">
      <c r="A951" s="1" t="s">
        <v>752</v>
      </c>
      <c r="B951" s="1">
        <v>22183</v>
      </c>
      <c r="C951" s="1" t="s">
        <v>753</v>
      </c>
      <c r="D951" s="1">
        <v>-4</v>
      </c>
      <c r="E951" s="3">
        <v>40148.512499999997</v>
      </c>
      <c r="F951" s="1">
        <v>6.75</v>
      </c>
      <c r="G951" s="1">
        <v>15796</v>
      </c>
      <c r="H951" s="1" t="s">
        <v>10</v>
      </c>
      <c r="I951" s="1">
        <f t="shared" si="3"/>
        <v>-27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x14ac:dyDescent="0.2">
      <c r="A952" s="1" t="s">
        <v>754</v>
      </c>
      <c r="B952" s="1">
        <v>21254</v>
      </c>
      <c r="C952" s="1" t="s">
        <v>755</v>
      </c>
      <c r="D952" s="1">
        <v>-4</v>
      </c>
      <c r="E952" s="3">
        <v>40148.512499999997</v>
      </c>
      <c r="F952" s="1">
        <v>2.95</v>
      </c>
      <c r="G952" s="1">
        <v>15091</v>
      </c>
      <c r="H952" s="1" t="s">
        <v>10</v>
      </c>
      <c r="I952" s="1">
        <f t="shared" si="3"/>
        <v>-11.8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x14ac:dyDescent="0.2">
      <c r="A953" s="1">
        <v>489542</v>
      </c>
      <c r="B953" s="1">
        <v>37410</v>
      </c>
      <c r="C953" s="1" t="s">
        <v>756</v>
      </c>
      <c r="D953" s="1">
        <v>216</v>
      </c>
      <c r="E953" s="3">
        <v>40148.513194444444</v>
      </c>
      <c r="F953" s="1">
        <v>0.85</v>
      </c>
      <c r="G953" s="1">
        <v>15061</v>
      </c>
      <c r="H953" s="1" t="s">
        <v>10</v>
      </c>
      <c r="I953" s="1">
        <f t="shared" si="3"/>
        <v>183.6</v>
      </c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x14ac:dyDescent="0.2">
      <c r="A954" s="1">
        <v>489542</v>
      </c>
      <c r="B954" s="1">
        <v>22139</v>
      </c>
      <c r="C954" s="1" t="s">
        <v>110</v>
      </c>
      <c r="D954" s="1">
        <v>48</v>
      </c>
      <c r="E954" s="3">
        <v>40148.513194444444</v>
      </c>
      <c r="F954" s="1">
        <v>4.25</v>
      </c>
      <c r="G954" s="1">
        <v>15061</v>
      </c>
      <c r="H954" s="1" t="s">
        <v>10</v>
      </c>
      <c r="I954" s="1">
        <f t="shared" si="3"/>
        <v>204</v>
      </c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x14ac:dyDescent="0.2">
      <c r="A955" s="1" t="s">
        <v>757</v>
      </c>
      <c r="B955" s="1">
        <v>35400</v>
      </c>
      <c r="C955" s="1" t="s">
        <v>69</v>
      </c>
      <c r="D955" s="1">
        <v>-2</v>
      </c>
      <c r="E955" s="3">
        <v>40148.513194444444</v>
      </c>
      <c r="F955" s="1">
        <v>8.9499999999999993</v>
      </c>
      <c r="G955" s="1">
        <v>14292</v>
      </c>
      <c r="H955" s="1" t="s">
        <v>10</v>
      </c>
      <c r="I955" s="1">
        <f t="shared" si="3"/>
        <v>-17.899999999999999</v>
      </c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x14ac:dyDescent="0.2">
      <c r="A956" s="1">
        <v>489544</v>
      </c>
      <c r="B956" s="1">
        <v>21980</v>
      </c>
      <c r="C956" s="1" t="s">
        <v>609</v>
      </c>
      <c r="D956" s="1">
        <v>48</v>
      </c>
      <c r="E956" s="3">
        <v>40148.513888888891</v>
      </c>
      <c r="F956" s="1">
        <v>0.28999999999999998</v>
      </c>
      <c r="G956" s="1">
        <v>14341</v>
      </c>
      <c r="H956" s="1" t="s">
        <v>10</v>
      </c>
      <c r="I956" s="1">
        <f t="shared" si="3"/>
        <v>13.919999999999998</v>
      </c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x14ac:dyDescent="0.2">
      <c r="A957" s="1">
        <v>489544</v>
      </c>
      <c r="B957" s="1">
        <v>21967</v>
      </c>
      <c r="C957" s="1" t="s">
        <v>758</v>
      </c>
      <c r="D957" s="1">
        <v>48</v>
      </c>
      <c r="E957" s="3">
        <v>40148.513888888891</v>
      </c>
      <c r="F957" s="1">
        <v>0.28999999999999998</v>
      </c>
      <c r="G957" s="1">
        <v>14341</v>
      </c>
      <c r="H957" s="1" t="s">
        <v>10</v>
      </c>
      <c r="I957" s="1">
        <f t="shared" si="3"/>
        <v>13.919999999999998</v>
      </c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x14ac:dyDescent="0.2">
      <c r="A958" s="1">
        <v>489544</v>
      </c>
      <c r="B958" s="1">
        <v>20975</v>
      </c>
      <c r="C958" s="1" t="s">
        <v>638</v>
      </c>
      <c r="D958" s="1">
        <v>24</v>
      </c>
      <c r="E958" s="3">
        <v>40148.513888888891</v>
      </c>
      <c r="F958" s="1">
        <v>0.65</v>
      </c>
      <c r="G958" s="1">
        <v>14341</v>
      </c>
      <c r="H958" s="1" t="s">
        <v>10</v>
      </c>
      <c r="I958" s="1">
        <f t="shared" si="3"/>
        <v>15.600000000000001</v>
      </c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x14ac:dyDescent="0.2">
      <c r="A959" s="1">
        <v>489544</v>
      </c>
      <c r="B959" s="1">
        <v>22086</v>
      </c>
      <c r="C959" s="1" t="s">
        <v>183</v>
      </c>
      <c r="D959" s="1">
        <v>18</v>
      </c>
      <c r="E959" s="3">
        <v>40148.513888888891</v>
      </c>
      <c r="F959" s="1">
        <v>2.95</v>
      </c>
      <c r="G959" s="1">
        <v>14341</v>
      </c>
      <c r="H959" s="1" t="s">
        <v>10</v>
      </c>
      <c r="I959" s="1">
        <f t="shared" si="3"/>
        <v>53.1</v>
      </c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x14ac:dyDescent="0.2">
      <c r="A960" s="1">
        <v>489544</v>
      </c>
      <c r="B960" s="1">
        <v>84347</v>
      </c>
      <c r="C960" s="1" t="s">
        <v>621</v>
      </c>
      <c r="D960" s="1">
        <v>18</v>
      </c>
      <c r="E960" s="3">
        <v>40148.513888888891</v>
      </c>
      <c r="F960" s="1">
        <v>2.5499999999999998</v>
      </c>
      <c r="G960" s="1">
        <v>14341</v>
      </c>
      <c r="H960" s="1" t="s">
        <v>10</v>
      </c>
      <c r="I960" s="1">
        <f t="shared" si="3"/>
        <v>45.9</v>
      </c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x14ac:dyDescent="0.2">
      <c r="A961" s="1">
        <v>489544</v>
      </c>
      <c r="B961" s="1">
        <v>22065</v>
      </c>
      <c r="C961" s="1" t="s">
        <v>104</v>
      </c>
      <c r="D961" s="1">
        <v>12</v>
      </c>
      <c r="E961" s="3">
        <v>40148.513888888891</v>
      </c>
      <c r="F961" s="1">
        <v>1.45</v>
      </c>
      <c r="G961" s="1">
        <v>14341</v>
      </c>
      <c r="H961" s="1" t="s">
        <v>10</v>
      </c>
      <c r="I961" s="1">
        <f t="shared" si="3"/>
        <v>17.399999999999999</v>
      </c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x14ac:dyDescent="0.2">
      <c r="A962" s="1">
        <v>489544</v>
      </c>
      <c r="B962" s="1" t="s">
        <v>759</v>
      </c>
      <c r="C962" s="1" t="s">
        <v>760</v>
      </c>
      <c r="D962" s="1">
        <v>12</v>
      </c>
      <c r="E962" s="3">
        <v>40148.513888888891</v>
      </c>
      <c r="F962" s="1">
        <v>0.19</v>
      </c>
      <c r="G962" s="1">
        <v>14341</v>
      </c>
      <c r="H962" s="1" t="s">
        <v>10</v>
      </c>
      <c r="I962" s="1">
        <f t="shared" si="3"/>
        <v>2.2800000000000002</v>
      </c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x14ac:dyDescent="0.2">
      <c r="A963" s="1">
        <v>489544</v>
      </c>
      <c r="B963" s="1">
        <v>21080</v>
      </c>
      <c r="C963" s="1" t="s">
        <v>761</v>
      </c>
      <c r="D963" s="1">
        <v>12</v>
      </c>
      <c r="E963" s="3">
        <v>40148.513888888891</v>
      </c>
      <c r="F963" s="1">
        <v>0.85</v>
      </c>
      <c r="G963" s="1">
        <v>14341</v>
      </c>
      <c r="H963" s="1" t="s">
        <v>10</v>
      </c>
      <c r="I963" s="1">
        <f t="shared" si="3"/>
        <v>10.199999999999999</v>
      </c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x14ac:dyDescent="0.2">
      <c r="A964" s="1">
        <v>489544</v>
      </c>
      <c r="B964" s="1">
        <v>21809</v>
      </c>
      <c r="C964" s="1" t="s">
        <v>663</v>
      </c>
      <c r="D964" s="1">
        <v>12</v>
      </c>
      <c r="E964" s="3">
        <v>40148.513888888891</v>
      </c>
      <c r="F964" s="1">
        <v>1.25</v>
      </c>
      <c r="G964" s="1">
        <v>14341</v>
      </c>
      <c r="H964" s="1" t="s">
        <v>10</v>
      </c>
      <c r="I964" s="1">
        <f t="shared" si="3"/>
        <v>15</v>
      </c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x14ac:dyDescent="0.2">
      <c r="A965" s="1">
        <v>489544</v>
      </c>
      <c r="B965" s="1">
        <v>21813</v>
      </c>
      <c r="C965" s="1" t="s">
        <v>743</v>
      </c>
      <c r="D965" s="1">
        <v>6</v>
      </c>
      <c r="E965" s="3">
        <v>40148.513888888891</v>
      </c>
      <c r="F965" s="1">
        <v>4.95</v>
      </c>
      <c r="G965" s="1">
        <v>14341</v>
      </c>
      <c r="H965" s="1" t="s">
        <v>10</v>
      </c>
      <c r="I965" s="1">
        <f t="shared" si="3"/>
        <v>29.700000000000003</v>
      </c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x14ac:dyDescent="0.2">
      <c r="A966" s="1">
        <v>489544</v>
      </c>
      <c r="B966" s="1">
        <v>21844</v>
      </c>
      <c r="C966" s="1" t="s">
        <v>542</v>
      </c>
      <c r="D966" s="1">
        <v>6</v>
      </c>
      <c r="E966" s="3">
        <v>40148.513888888891</v>
      </c>
      <c r="F966" s="1">
        <v>2.95</v>
      </c>
      <c r="G966" s="1">
        <v>14341</v>
      </c>
      <c r="H966" s="1" t="s">
        <v>10</v>
      </c>
      <c r="I966" s="1">
        <f t="shared" si="3"/>
        <v>17.700000000000003</v>
      </c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x14ac:dyDescent="0.2">
      <c r="A967" s="1">
        <v>489544</v>
      </c>
      <c r="B967" s="1">
        <v>22070</v>
      </c>
      <c r="C967" s="1" t="s">
        <v>623</v>
      </c>
      <c r="D967" s="1">
        <v>6</v>
      </c>
      <c r="E967" s="3">
        <v>40148.513888888891</v>
      </c>
      <c r="F967" s="1">
        <v>3.75</v>
      </c>
      <c r="G967" s="1">
        <v>14341</v>
      </c>
      <c r="H967" s="1" t="s">
        <v>10</v>
      </c>
      <c r="I967" s="1">
        <f t="shared" si="3"/>
        <v>22.5</v>
      </c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x14ac:dyDescent="0.2">
      <c r="A968" s="1">
        <v>489544</v>
      </c>
      <c r="B968" s="1">
        <v>22125</v>
      </c>
      <c r="C968" s="1" t="s">
        <v>181</v>
      </c>
      <c r="D968" s="1">
        <v>3</v>
      </c>
      <c r="E968" s="3">
        <v>40148.513888888891</v>
      </c>
      <c r="F968" s="1">
        <v>5.95</v>
      </c>
      <c r="G968" s="1">
        <v>14341</v>
      </c>
      <c r="H968" s="1" t="s">
        <v>10</v>
      </c>
      <c r="I968" s="1">
        <f t="shared" si="3"/>
        <v>17.850000000000001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x14ac:dyDescent="0.2">
      <c r="A969" s="1">
        <v>489544</v>
      </c>
      <c r="B969" s="1">
        <v>21364</v>
      </c>
      <c r="C969" s="1" t="s">
        <v>66</v>
      </c>
      <c r="D969" s="1">
        <v>1</v>
      </c>
      <c r="E969" s="3">
        <v>40148.513888888891</v>
      </c>
      <c r="F969" s="1">
        <v>6.75</v>
      </c>
      <c r="G969" s="1">
        <v>14341</v>
      </c>
      <c r="H969" s="1" t="s">
        <v>10</v>
      </c>
      <c r="I969" s="1">
        <f t="shared" si="3"/>
        <v>6.75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x14ac:dyDescent="0.2">
      <c r="A970" s="1">
        <v>489545</v>
      </c>
      <c r="B970" s="1">
        <v>22152</v>
      </c>
      <c r="C970" s="1" t="s">
        <v>762</v>
      </c>
      <c r="D970" s="1">
        <v>15</v>
      </c>
      <c r="E970" s="3">
        <v>40148.515277777777</v>
      </c>
      <c r="F970" s="1">
        <v>0.42</v>
      </c>
      <c r="G970" s="1">
        <v>17804</v>
      </c>
      <c r="H970" s="1" t="s">
        <v>10</v>
      </c>
      <c r="I970" s="1">
        <f t="shared" si="3"/>
        <v>6.3</v>
      </c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x14ac:dyDescent="0.2">
      <c r="A971" s="1">
        <v>489545</v>
      </c>
      <c r="B971" s="1">
        <v>22154</v>
      </c>
      <c r="C971" s="1" t="s">
        <v>454</v>
      </c>
      <c r="D971" s="1">
        <v>8</v>
      </c>
      <c r="E971" s="3">
        <v>40148.515277777777</v>
      </c>
      <c r="F971" s="1">
        <v>0.42</v>
      </c>
      <c r="G971" s="1">
        <v>17804</v>
      </c>
      <c r="H971" s="1" t="s">
        <v>10</v>
      </c>
      <c r="I971" s="1">
        <f t="shared" si="3"/>
        <v>3.36</v>
      </c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x14ac:dyDescent="0.2">
      <c r="A972" s="1">
        <v>489545</v>
      </c>
      <c r="B972" s="1">
        <v>84977</v>
      </c>
      <c r="C972" s="1" t="s">
        <v>763</v>
      </c>
      <c r="D972" s="1">
        <v>6</v>
      </c>
      <c r="E972" s="3">
        <v>40148.515277777777</v>
      </c>
      <c r="F972" s="1">
        <v>1.25</v>
      </c>
      <c r="G972" s="1">
        <v>17804</v>
      </c>
      <c r="H972" s="1" t="s">
        <v>10</v>
      </c>
      <c r="I972" s="1">
        <f t="shared" si="3"/>
        <v>7.5</v>
      </c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x14ac:dyDescent="0.2">
      <c r="A973" s="1">
        <v>489545</v>
      </c>
      <c r="B973" s="1">
        <v>18010</v>
      </c>
      <c r="C973" s="1" t="s">
        <v>764</v>
      </c>
      <c r="D973" s="1">
        <v>6</v>
      </c>
      <c r="E973" s="3">
        <v>40148.515277777777</v>
      </c>
      <c r="F973" s="1">
        <v>0.42</v>
      </c>
      <c r="G973" s="1">
        <v>17804</v>
      </c>
      <c r="H973" s="1" t="s">
        <v>10</v>
      </c>
      <c r="I973" s="1">
        <f t="shared" si="3"/>
        <v>2.52</v>
      </c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x14ac:dyDescent="0.2">
      <c r="A974" s="1">
        <v>489545</v>
      </c>
      <c r="B974" s="1">
        <v>35954</v>
      </c>
      <c r="C974" s="1" t="s">
        <v>765</v>
      </c>
      <c r="D974" s="1">
        <v>6</v>
      </c>
      <c r="E974" s="3">
        <v>40148.515277777777</v>
      </c>
      <c r="F974" s="1">
        <v>0.42</v>
      </c>
      <c r="G974" s="1">
        <v>17804</v>
      </c>
      <c r="H974" s="1" t="s">
        <v>10</v>
      </c>
      <c r="I974" s="1">
        <f t="shared" si="3"/>
        <v>2.52</v>
      </c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x14ac:dyDescent="0.2">
      <c r="A975" s="1">
        <v>489545</v>
      </c>
      <c r="B975" s="1">
        <v>35957</v>
      </c>
      <c r="C975" s="1" t="s">
        <v>766</v>
      </c>
      <c r="D975" s="1">
        <v>6</v>
      </c>
      <c r="E975" s="3">
        <v>40148.515277777777</v>
      </c>
      <c r="F975" s="1">
        <v>0.42</v>
      </c>
      <c r="G975" s="1">
        <v>17804</v>
      </c>
      <c r="H975" s="1" t="s">
        <v>10</v>
      </c>
      <c r="I975" s="1">
        <f t="shared" si="3"/>
        <v>2.52</v>
      </c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x14ac:dyDescent="0.2">
      <c r="A976" s="1">
        <v>489545</v>
      </c>
      <c r="B976" s="1">
        <v>22139</v>
      </c>
      <c r="C976" s="1" t="s">
        <v>110</v>
      </c>
      <c r="D976" s="1">
        <v>4</v>
      </c>
      <c r="E976" s="3">
        <v>40148.515277777777</v>
      </c>
      <c r="F976" s="1">
        <v>4.95</v>
      </c>
      <c r="G976" s="1">
        <v>17804</v>
      </c>
      <c r="H976" s="1" t="s">
        <v>10</v>
      </c>
      <c r="I976" s="1">
        <f t="shared" si="3"/>
        <v>19.8</v>
      </c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x14ac:dyDescent="0.2">
      <c r="A977" s="1">
        <v>489545</v>
      </c>
      <c r="B977" s="1">
        <v>35955</v>
      </c>
      <c r="C977" s="1" t="s">
        <v>767</v>
      </c>
      <c r="D977" s="1">
        <v>4</v>
      </c>
      <c r="E977" s="3">
        <v>40148.515277777777</v>
      </c>
      <c r="F977" s="1">
        <v>0.42</v>
      </c>
      <c r="G977" s="1">
        <v>17804</v>
      </c>
      <c r="H977" s="1" t="s">
        <v>10</v>
      </c>
      <c r="I977" s="1">
        <f t="shared" si="3"/>
        <v>1.68</v>
      </c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x14ac:dyDescent="0.2">
      <c r="A978" s="1">
        <v>489545</v>
      </c>
      <c r="B978" s="1">
        <v>72267</v>
      </c>
      <c r="C978" s="1" t="s">
        <v>768</v>
      </c>
      <c r="D978" s="1">
        <v>3</v>
      </c>
      <c r="E978" s="3">
        <v>40148.515277777777</v>
      </c>
      <c r="F978" s="1">
        <v>2.1</v>
      </c>
      <c r="G978" s="1">
        <v>17804</v>
      </c>
      <c r="H978" s="1" t="s">
        <v>10</v>
      </c>
      <c r="I978" s="1">
        <f t="shared" si="3"/>
        <v>6.3000000000000007</v>
      </c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x14ac:dyDescent="0.2">
      <c r="A979" s="1">
        <v>489545</v>
      </c>
      <c r="B979" s="1">
        <v>22197</v>
      </c>
      <c r="C979" s="1" t="s">
        <v>445</v>
      </c>
      <c r="D979" s="1">
        <v>3</v>
      </c>
      <c r="E979" s="3">
        <v>40148.515277777777</v>
      </c>
      <c r="F979" s="1">
        <v>0.85</v>
      </c>
      <c r="G979" s="1">
        <v>17804</v>
      </c>
      <c r="H979" s="1" t="s">
        <v>10</v>
      </c>
      <c r="I979" s="1">
        <f t="shared" si="3"/>
        <v>2.5499999999999998</v>
      </c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x14ac:dyDescent="0.2">
      <c r="A980" s="1">
        <v>489545</v>
      </c>
      <c r="B980" s="1">
        <v>20758</v>
      </c>
      <c r="C980" s="1" t="s">
        <v>769</v>
      </c>
      <c r="D980" s="1">
        <v>3</v>
      </c>
      <c r="E980" s="3">
        <v>40148.515277777777</v>
      </c>
      <c r="F980" s="1">
        <v>0.85</v>
      </c>
      <c r="G980" s="1">
        <v>17804</v>
      </c>
      <c r="H980" s="1" t="s">
        <v>10</v>
      </c>
      <c r="I980" s="1">
        <f t="shared" si="3"/>
        <v>2.5499999999999998</v>
      </c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x14ac:dyDescent="0.2">
      <c r="A981" s="1">
        <v>489545</v>
      </c>
      <c r="B981" s="1">
        <v>20756</v>
      </c>
      <c r="C981" s="1" t="s">
        <v>770</v>
      </c>
      <c r="D981" s="1">
        <v>3</v>
      </c>
      <c r="E981" s="3">
        <v>40148.515277777777</v>
      </c>
      <c r="F981" s="1">
        <v>0.85</v>
      </c>
      <c r="G981" s="1">
        <v>17804</v>
      </c>
      <c r="H981" s="1" t="s">
        <v>10</v>
      </c>
      <c r="I981" s="1">
        <f t="shared" si="3"/>
        <v>2.5499999999999998</v>
      </c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x14ac:dyDescent="0.2">
      <c r="A982" s="1">
        <v>489545</v>
      </c>
      <c r="B982" s="1">
        <v>22102</v>
      </c>
      <c r="C982" s="1" t="s">
        <v>771</v>
      </c>
      <c r="D982" s="1">
        <v>3</v>
      </c>
      <c r="E982" s="3">
        <v>40148.515277777777</v>
      </c>
      <c r="F982" s="1">
        <v>1.65</v>
      </c>
      <c r="G982" s="1">
        <v>17804</v>
      </c>
      <c r="H982" s="1" t="s">
        <v>10</v>
      </c>
      <c r="I982" s="1">
        <f t="shared" si="3"/>
        <v>4.9499999999999993</v>
      </c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x14ac:dyDescent="0.2">
      <c r="A983" s="1">
        <v>489545</v>
      </c>
      <c r="B983" s="1">
        <v>21480</v>
      </c>
      <c r="C983" s="1" t="s">
        <v>664</v>
      </c>
      <c r="D983" s="1">
        <v>2</v>
      </c>
      <c r="E983" s="3">
        <v>40148.515277777777</v>
      </c>
      <c r="F983" s="1">
        <v>2.95</v>
      </c>
      <c r="G983" s="1">
        <v>17804</v>
      </c>
      <c r="H983" s="1" t="s">
        <v>10</v>
      </c>
      <c r="I983" s="1">
        <f t="shared" si="3"/>
        <v>5.9</v>
      </c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x14ac:dyDescent="0.2">
      <c r="A984" s="1">
        <v>489545</v>
      </c>
      <c r="B984" s="1">
        <v>21484</v>
      </c>
      <c r="C984" s="1" t="s">
        <v>296</v>
      </c>
      <c r="D984" s="1">
        <v>2</v>
      </c>
      <c r="E984" s="3">
        <v>40148.515277777777</v>
      </c>
      <c r="F984" s="1">
        <v>3.45</v>
      </c>
      <c r="G984" s="1">
        <v>17804</v>
      </c>
      <c r="H984" s="1" t="s">
        <v>10</v>
      </c>
      <c r="I984" s="1">
        <f t="shared" si="3"/>
        <v>6.9</v>
      </c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x14ac:dyDescent="0.2">
      <c r="A985" s="1">
        <v>489545</v>
      </c>
      <c r="B985" s="1">
        <v>37370</v>
      </c>
      <c r="C985" s="1" t="s">
        <v>48</v>
      </c>
      <c r="D985" s="1">
        <v>2</v>
      </c>
      <c r="E985" s="3">
        <v>40148.515277777777</v>
      </c>
      <c r="F985" s="1">
        <v>1.25</v>
      </c>
      <c r="G985" s="1">
        <v>17804</v>
      </c>
      <c r="H985" s="1" t="s">
        <v>10</v>
      </c>
      <c r="I985" s="1">
        <f t="shared" si="3"/>
        <v>2.5</v>
      </c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x14ac:dyDescent="0.2">
      <c r="A986" s="1">
        <v>489545</v>
      </c>
      <c r="B986" s="1">
        <v>90062</v>
      </c>
      <c r="C986" s="1" t="s">
        <v>311</v>
      </c>
      <c r="D986" s="1">
        <v>1</v>
      </c>
      <c r="E986" s="3">
        <v>40148.515277777777</v>
      </c>
      <c r="F986" s="1">
        <v>12.75</v>
      </c>
      <c r="G986" s="1">
        <v>17804</v>
      </c>
      <c r="H986" s="1" t="s">
        <v>10</v>
      </c>
      <c r="I986" s="1">
        <f t="shared" si="3"/>
        <v>12.75</v>
      </c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x14ac:dyDescent="0.2">
      <c r="A987" s="1">
        <v>489545</v>
      </c>
      <c r="B987" s="1">
        <v>22110</v>
      </c>
      <c r="C987" s="1" t="s">
        <v>772</v>
      </c>
      <c r="D987" s="1">
        <v>1</v>
      </c>
      <c r="E987" s="3">
        <v>40148.515277777777</v>
      </c>
      <c r="F987" s="1">
        <v>3.45</v>
      </c>
      <c r="G987" s="1">
        <v>17804</v>
      </c>
      <c r="H987" s="1" t="s">
        <v>10</v>
      </c>
      <c r="I987" s="1">
        <f t="shared" si="3"/>
        <v>3.45</v>
      </c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x14ac:dyDescent="0.2">
      <c r="A988" s="1">
        <v>489545</v>
      </c>
      <c r="B988" s="1">
        <v>22113</v>
      </c>
      <c r="C988" s="1" t="s">
        <v>465</v>
      </c>
      <c r="D988" s="1">
        <v>1</v>
      </c>
      <c r="E988" s="3">
        <v>40148.515277777777</v>
      </c>
      <c r="F988" s="1">
        <v>3.45</v>
      </c>
      <c r="G988" s="1">
        <v>17804</v>
      </c>
      <c r="H988" s="1" t="s">
        <v>10</v>
      </c>
      <c r="I988" s="1">
        <f t="shared" si="3"/>
        <v>3.45</v>
      </c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x14ac:dyDescent="0.2">
      <c r="A989" s="1">
        <v>489545</v>
      </c>
      <c r="B989" s="1">
        <v>20914</v>
      </c>
      <c r="C989" s="1" t="s">
        <v>534</v>
      </c>
      <c r="D989" s="1">
        <v>1</v>
      </c>
      <c r="E989" s="3">
        <v>40148.515277777777</v>
      </c>
      <c r="F989" s="1">
        <v>2.95</v>
      </c>
      <c r="G989" s="1">
        <v>17804</v>
      </c>
      <c r="H989" s="1" t="s">
        <v>10</v>
      </c>
      <c r="I989" s="1">
        <f t="shared" si="3"/>
        <v>2.95</v>
      </c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x14ac:dyDescent="0.2">
      <c r="A990" s="1">
        <v>489545</v>
      </c>
      <c r="B990" s="1">
        <v>21868</v>
      </c>
      <c r="C990" s="1" t="s">
        <v>500</v>
      </c>
      <c r="D990" s="1">
        <v>1</v>
      </c>
      <c r="E990" s="3">
        <v>40148.515277777777</v>
      </c>
      <c r="F990" s="1">
        <v>1.25</v>
      </c>
      <c r="G990" s="1">
        <v>17804</v>
      </c>
      <c r="H990" s="1" t="s">
        <v>10</v>
      </c>
      <c r="I990" s="1">
        <f t="shared" si="3"/>
        <v>1.25</v>
      </c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x14ac:dyDescent="0.2">
      <c r="A991" s="1">
        <v>489545</v>
      </c>
      <c r="B991" s="1">
        <v>21162</v>
      </c>
      <c r="C991" s="1" t="s">
        <v>255</v>
      </c>
      <c r="D991" s="1">
        <v>1</v>
      </c>
      <c r="E991" s="3">
        <v>40148.515277777777</v>
      </c>
      <c r="F991" s="1">
        <v>1.45</v>
      </c>
      <c r="G991" s="1">
        <v>17804</v>
      </c>
      <c r="H991" s="1" t="s">
        <v>10</v>
      </c>
      <c r="I991" s="1">
        <f t="shared" si="3"/>
        <v>1.45</v>
      </c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x14ac:dyDescent="0.2">
      <c r="A992" s="1">
        <v>489545</v>
      </c>
      <c r="B992" s="1">
        <v>22143</v>
      </c>
      <c r="C992" s="1" t="s">
        <v>55</v>
      </c>
      <c r="D992" s="1">
        <v>1</v>
      </c>
      <c r="E992" s="3">
        <v>40148.515277777777</v>
      </c>
      <c r="F992" s="1">
        <v>2.1</v>
      </c>
      <c r="G992" s="1">
        <v>17804</v>
      </c>
      <c r="H992" s="1" t="s">
        <v>10</v>
      </c>
      <c r="I992" s="1">
        <f t="shared" si="3"/>
        <v>2.1</v>
      </c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x14ac:dyDescent="0.2">
      <c r="A993" s="1">
        <v>489545</v>
      </c>
      <c r="B993" s="1">
        <v>22081</v>
      </c>
      <c r="C993" s="1" t="s">
        <v>773</v>
      </c>
      <c r="D993" s="1">
        <v>1</v>
      </c>
      <c r="E993" s="3">
        <v>40148.515277777777</v>
      </c>
      <c r="F993" s="1">
        <v>1.65</v>
      </c>
      <c r="G993" s="1">
        <v>17804</v>
      </c>
      <c r="H993" s="1" t="s">
        <v>10</v>
      </c>
      <c r="I993" s="1">
        <f t="shared" si="3"/>
        <v>1.65</v>
      </c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x14ac:dyDescent="0.2">
      <c r="A994" s="1">
        <v>489545</v>
      </c>
      <c r="B994" s="1">
        <v>22079</v>
      </c>
      <c r="C994" s="1" t="s">
        <v>774</v>
      </c>
      <c r="D994" s="1">
        <v>1</v>
      </c>
      <c r="E994" s="3">
        <v>40148.515277777777</v>
      </c>
      <c r="F994" s="1">
        <v>1.65</v>
      </c>
      <c r="G994" s="1">
        <v>17804</v>
      </c>
      <c r="H994" s="1" t="s">
        <v>10</v>
      </c>
      <c r="I994" s="1">
        <f t="shared" si="3"/>
        <v>1.65</v>
      </c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x14ac:dyDescent="0.2">
      <c r="A995" s="1">
        <v>489545</v>
      </c>
      <c r="B995" s="1">
        <v>22273</v>
      </c>
      <c r="C995" s="1" t="s">
        <v>242</v>
      </c>
      <c r="D995" s="1">
        <v>1</v>
      </c>
      <c r="E995" s="3">
        <v>40148.515277777777</v>
      </c>
      <c r="F995" s="1">
        <v>2.95</v>
      </c>
      <c r="G995" s="1">
        <v>17804</v>
      </c>
      <c r="H995" s="1" t="s">
        <v>10</v>
      </c>
      <c r="I995" s="1">
        <f t="shared" si="3"/>
        <v>2.95</v>
      </c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x14ac:dyDescent="0.2">
      <c r="A996" s="1">
        <v>489545</v>
      </c>
      <c r="B996" s="1">
        <v>22272</v>
      </c>
      <c r="C996" s="1" t="s">
        <v>60</v>
      </c>
      <c r="D996" s="1">
        <v>1</v>
      </c>
      <c r="E996" s="3">
        <v>40148.515277777777</v>
      </c>
      <c r="F996" s="1">
        <v>2.95</v>
      </c>
      <c r="G996" s="1">
        <v>17804</v>
      </c>
      <c r="H996" s="1" t="s">
        <v>10</v>
      </c>
      <c r="I996" s="1">
        <f t="shared" si="3"/>
        <v>2.95</v>
      </c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x14ac:dyDescent="0.2">
      <c r="A997" s="1">
        <v>489545</v>
      </c>
      <c r="B997" s="1">
        <v>22274</v>
      </c>
      <c r="C997" s="1" t="s">
        <v>61</v>
      </c>
      <c r="D997" s="1">
        <v>1</v>
      </c>
      <c r="E997" s="3">
        <v>40148.515277777777</v>
      </c>
      <c r="F997" s="1">
        <v>2.95</v>
      </c>
      <c r="G997" s="1">
        <v>17804</v>
      </c>
      <c r="H997" s="1" t="s">
        <v>10</v>
      </c>
      <c r="I997" s="1">
        <f t="shared" si="3"/>
        <v>2.95</v>
      </c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x14ac:dyDescent="0.2">
      <c r="A998" s="1">
        <v>489545</v>
      </c>
      <c r="B998" s="1">
        <v>21124</v>
      </c>
      <c r="C998" s="1" t="s">
        <v>583</v>
      </c>
      <c r="D998" s="1">
        <v>1</v>
      </c>
      <c r="E998" s="3">
        <v>40148.515277777777</v>
      </c>
      <c r="F998" s="1">
        <v>1.25</v>
      </c>
      <c r="G998" s="1">
        <v>17804</v>
      </c>
      <c r="H998" s="1" t="s">
        <v>10</v>
      </c>
      <c r="I998" s="1">
        <f t="shared" si="3"/>
        <v>1.25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x14ac:dyDescent="0.2">
      <c r="A999" s="1">
        <v>489545</v>
      </c>
      <c r="B999" s="1">
        <v>21122</v>
      </c>
      <c r="C999" s="1" t="s">
        <v>582</v>
      </c>
      <c r="D999" s="1">
        <v>1</v>
      </c>
      <c r="E999" s="3">
        <v>40148.515277777777</v>
      </c>
      <c r="F999" s="1">
        <v>1.25</v>
      </c>
      <c r="G999" s="1">
        <v>17804</v>
      </c>
      <c r="H999" s="1" t="s">
        <v>10</v>
      </c>
      <c r="I999" s="1">
        <f t="shared" si="3"/>
        <v>1.25</v>
      </c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x14ac:dyDescent="0.2">
      <c r="A1000" s="1">
        <v>489545</v>
      </c>
      <c r="B1000" s="1">
        <v>21126</v>
      </c>
      <c r="C1000" s="1" t="s">
        <v>775</v>
      </c>
      <c r="D1000" s="1">
        <v>1</v>
      </c>
      <c r="E1000" s="3">
        <v>40148.515277777777</v>
      </c>
      <c r="F1000" s="1">
        <v>1.25</v>
      </c>
      <c r="G1000" s="1">
        <v>17804</v>
      </c>
      <c r="H1000" s="1" t="s">
        <v>10</v>
      </c>
      <c r="I1000" s="1">
        <f t="shared" si="3"/>
        <v>1.25</v>
      </c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 x14ac:dyDescent="0.2">
      <c r="A1001" s="1">
        <v>489545</v>
      </c>
      <c r="B1001" s="1">
        <v>21125</v>
      </c>
      <c r="C1001" s="1" t="s">
        <v>776</v>
      </c>
      <c r="D1001" s="1">
        <v>1</v>
      </c>
      <c r="E1001" s="3">
        <v>40148.515277777777</v>
      </c>
      <c r="F1001" s="1">
        <v>1.25</v>
      </c>
      <c r="G1001" s="1">
        <v>17804</v>
      </c>
      <c r="H1001" s="1" t="s">
        <v>10</v>
      </c>
      <c r="I1001" s="1">
        <f t="shared" si="3"/>
        <v>1.25</v>
      </c>
      <c r="J1001" s="2"/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 x14ac:dyDescent="0.2">
      <c r="A1002" s="1">
        <v>489546</v>
      </c>
      <c r="B1002" s="1">
        <v>21212</v>
      </c>
      <c r="C1002" s="1" t="s">
        <v>253</v>
      </c>
      <c r="D1002" s="1">
        <v>24</v>
      </c>
      <c r="E1002" s="3">
        <v>40148.520833333336</v>
      </c>
      <c r="F1002" s="1">
        <v>0.55000000000000004</v>
      </c>
      <c r="G1002" s="1">
        <v>14156</v>
      </c>
      <c r="H1002" s="1" t="s">
        <v>418</v>
      </c>
      <c r="I1002" s="1">
        <f t="shared" si="3"/>
        <v>13.200000000000001</v>
      </c>
      <c r="J1002" s="2"/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 x14ac:dyDescent="0.2">
      <c r="A1003" s="1">
        <v>489546</v>
      </c>
      <c r="B1003" s="1">
        <v>21232</v>
      </c>
      <c r="C1003" s="1" t="s">
        <v>11</v>
      </c>
      <c r="D1003" s="1">
        <v>12</v>
      </c>
      <c r="E1003" s="3">
        <v>40148.520833333336</v>
      </c>
      <c r="F1003" s="1">
        <v>1.25</v>
      </c>
      <c r="G1003" s="1">
        <v>14156</v>
      </c>
      <c r="H1003" s="1" t="s">
        <v>418</v>
      </c>
      <c r="I1003" s="1">
        <f t="shared" si="3"/>
        <v>15</v>
      </c>
      <c r="J1003" s="2"/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 x14ac:dyDescent="0.2">
      <c r="A1004" s="1">
        <v>489546</v>
      </c>
      <c r="B1004" s="1">
        <v>21231</v>
      </c>
      <c r="C1004" s="1" t="s">
        <v>293</v>
      </c>
      <c r="D1004" s="1">
        <v>12</v>
      </c>
      <c r="E1004" s="3">
        <v>40148.520833333336</v>
      </c>
      <c r="F1004" s="1">
        <v>1.25</v>
      </c>
      <c r="G1004" s="1">
        <v>14156</v>
      </c>
      <c r="H1004" s="1" t="s">
        <v>418</v>
      </c>
      <c r="I1004" s="1">
        <f t="shared" si="3"/>
        <v>15</v>
      </c>
      <c r="J1004" s="2"/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 x14ac:dyDescent="0.2">
      <c r="A1005" s="1">
        <v>489546</v>
      </c>
      <c r="B1005" s="1">
        <v>21082</v>
      </c>
      <c r="C1005" s="1" t="s">
        <v>777</v>
      </c>
      <c r="D1005" s="1">
        <v>12</v>
      </c>
      <c r="E1005" s="3">
        <v>40148.520833333336</v>
      </c>
      <c r="F1005" s="1">
        <v>0.85</v>
      </c>
      <c r="G1005" s="1">
        <v>14156</v>
      </c>
      <c r="H1005" s="1" t="s">
        <v>418</v>
      </c>
      <c r="I1005" s="1">
        <f t="shared" si="3"/>
        <v>10.199999999999999</v>
      </c>
      <c r="J1005" s="2"/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 x14ac:dyDescent="0.2">
      <c r="A1006" s="1">
        <v>489546</v>
      </c>
      <c r="B1006" s="1">
        <v>20751</v>
      </c>
      <c r="C1006" s="1" t="s">
        <v>276</v>
      </c>
      <c r="D1006" s="1">
        <v>12</v>
      </c>
      <c r="E1006" s="3">
        <v>40148.520833333336</v>
      </c>
      <c r="F1006" s="1">
        <v>2.1</v>
      </c>
      <c r="G1006" s="1">
        <v>14156</v>
      </c>
      <c r="H1006" s="1" t="s">
        <v>418</v>
      </c>
      <c r="I1006" s="1">
        <f t="shared" si="3"/>
        <v>25.200000000000003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 x14ac:dyDescent="0.2">
      <c r="A1007" s="1">
        <v>489546</v>
      </c>
      <c r="B1007" s="1">
        <v>22195</v>
      </c>
      <c r="C1007" s="1" t="s">
        <v>187</v>
      </c>
      <c r="D1007" s="1">
        <v>12</v>
      </c>
      <c r="E1007" s="3">
        <v>40148.520833333336</v>
      </c>
      <c r="F1007" s="1">
        <v>1.65</v>
      </c>
      <c r="G1007" s="1">
        <v>14156</v>
      </c>
      <c r="H1007" s="1" t="s">
        <v>418</v>
      </c>
      <c r="I1007" s="1">
        <f t="shared" si="3"/>
        <v>19.799999999999997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 x14ac:dyDescent="0.2">
      <c r="A1008" s="1">
        <v>489546</v>
      </c>
      <c r="B1008" s="1">
        <v>22196</v>
      </c>
      <c r="C1008" s="1" t="s">
        <v>778</v>
      </c>
      <c r="D1008" s="1">
        <v>12</v>
      </c>
      <c r="E1008" s="3">
        <v>40148.520833333336</v>
      </c>
      <c r="F1008" s="1">
        <v>0.85</v>
      </c>
      <c r="G1008" s="1">
        <v>14156</v>
      </c>
      <c r="H1008" s="1" t="s">
        <v>418</v>
      </c>
      <c r="I1008" s="1">
        <f t="shared" si="3"/>
        <v>10.199999999999999</v>
      </c>
      <c r="J1008" s="2"/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 x14ac:dyDescent="0.2">
      <c r="A1009" s="1">
        <v>489546</v>
      </c>
      <c r="B1009" s="1">
        <v>20692</v>
      </c>
      <c r="C1009" s="1" t="s">
        <v>749</v>
      </c>
      <c r="D1009" s="1">
        <v>9</v>
      </c>
      <c r="E1009" s="3">
        <v>40148.520833333336</v>
      </c>
      <c r="F1009" s="1">
        <v>4.25</v>
      </c>
      <c r="G1009" s="1">
        <v>14156</v>
      </c>
      <c r="H1009" s="1" t="s">
        <v>418</v>
      </c>
      <c r="I1009" s="1">
        <f t="shared" si="3"/>
        <v>38.25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 x14ac:dyDescent="0.2">
      <c r="A1010" s="1">
        <v>489546</v>
      </c>
      <c r="B1010" s="1" t="s">
        <v>325</v>
      </c>
      <c r="C1010" s="1" t="s">
        <v>326</v>
      </c>
      <c r="D1010" s="1">
        <v>8</v>
      </c>
      <c r="E1010" s="3">
        <v>40148.520833333336</v>
      </c>
      <c r="F1010" s="1">
        <v>1.95</v>
      </c>
      <c r="G1010" s="1">
        <v>14156</v>
      </c>
      <c r="H1010" s="1" t="s">
        <v>418</v>
      </c>
      <c r="I1010" s="1">
        <f t="shared" si="3"/>
        <v>15.6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 x14ac:dyDescent="0.2">
      <c r="A1011" s="1">
        <v>489546</v>
      </c>
      <c r="B1011" s="1" t="s">
        <v>779</v>
      </c>
      <c r="C1011" s="1" t="s">
        <v>780</v>
      </c>
      <c r="D1011" s="1">
        <v>8</v>
      </c>
      <c r="E1011" s="3">
        <v>40148.520833333336</v>
      </c>
      <c r="F1011" s="1">
        <v>1.65</v>
      </c>
      <c r="G1011" s="1">
        <v>14156</v>
      </c>
      <c r="H1011" s="1" t="s">
        <v>418</v>
      </c>
      <c r="I1011" s="1">
        <f t="shared" si="3"/>
        <v>13.2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 x14ac:dyDescent="0.2">
      <c r="A1012" s="1">
        <v>489546</v>
      </c>
      <c r="B1012" s="1">
        <v>84050</v>
      </c>
      <c r="C1012" s="1" t="s">
        <v>781</v>
      </c>
      <c r="D1012" s="1">
        <v>6</v>
      </c>
      <c r="E1012" s="3">
        <v>40148.520833333336</v>
      </c>
      <c r="F1012" s="1">
        <v>1.65</v>
      </c>
      <c r="G1012" s="1">
        <v>14156</v>
      </c>
      <c r="H1012" s="1" t="s">
        <v>418</v>
      </c>
      <c r="I1012" s="1">
        <f t="shared" si="3"/>
        <v>9.8999999999999986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 x14ac:dyDescent="0.2">
      <c r="A1013" s="1">
        <v>489546</v>
      </c>
      <c r="B1013" s="1">
        <v>47568</v>
      </c>
      <c r="C1013" s="1" t="s">
        <v>782</v>
      </c>
      <c r="D1013" s="1">
        <v>6</v>
      </c>
      <c r="E1013" s="3">
        <v>40148.520833333336</v>
      </c>
      <c r="F1013" s="1">
        <v>2.1</v>
      </c>
      <c r="G1013" s="1">
        <v>14156</v>
      </c>
      <c r="H1013" s="1" t="s">
        <v>418</v>
      </c>
      <c r="I1013" s="1">
        <f t="shared" si="3"/>
        <v>12.600000000000001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 x14ac:dyDescent="0.2">
      <c r="A1014" s="1">
        <v>489546</v>
      </c>
      <c r="B1014" s="1">
        <v>22186</v>
      </c>
      <c r="C1014" s="1" t="s">
        <v>662</v>
      </c>
      <c r="D1014" s="1">
        <v>6</v>
      </c>
      <c r="E1014" s="3">
        <v>40148.520833333336</v>
      </c>
      <c r="F1014" s="1">
        <v>2.95</v>
      </c>
      <c r="G1014" s="1">
        <v>14156</v>
      </c>
      <c r="H1014" s="1" t="s">
        <v>418</v>
      </c>
      <c r="I1014" s="1">
        <f t="shared" si="3"/>
        <v>17.700000000000003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 x14ac:dyDescent="0.2">
      <c r="A1015" s="1">
        <v>489546</v>
      </c>
      <c r="B1015" s="1" t="s">
        <v>262</v>
      </c>
      <c r="C1015" s="1" t="s">
        <v>263</v>
      </c>
      <c r="D1015" s="1">
        <v>6</v>
      </c>
      <c r="E1015" s="3">
        <v>40148.520833333336</v>
      </c>
      <c r="F1015" s="1">
        <v>2.95</v>
      </c>
      <c r="G1015" s="1">
        <v>14156</v>
      </c>
      <c r="H1015" s="1" t="s">
        <v>418</v>
      </c>
      <c r="I1015" s="1">
        <f t="shared" si="3"/>
        <v>17.700000000000003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 x14ac:dyDescent="0.2">
      <c r="A1016" s="1">
        <v>489546</v>
      </c>
      <c r="B1016" s="1" t="s">
        <v>783</v>
      </c>
      <c r="C1016" s="1" t="s">
        <v>784</v>
      </c>
      <c r="D1016" s="1">
        <v>6</v>
      </c>
      <c r="E1016" s="3">
        <v>40148.520833333336</v>
      </c>
      <c r="F1016" s="1">
        <v>2.1</v>
      </c>
      <c r="G1016" s="1">
        <v>14156</v>
      </c>
      <c r="H1016" s="1" t="s">
        <v>418</v>
      </c>
      <c r="I1016" s="1">
        <f t="shared" si="3"/>
        <v>12.600000000000001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 x14ac:dyDescent="0.2">
      <c r="A1017" s="1">
        <v>489546</v>
      </c>
      <c r="B1017" s="1" t="s">
        <v>785</v>
      </c>
      <c r="C1017" s="1" t="s">
        <v>786</v>
      </c>
      <c r="D1017" s="1">
        <v>6</v>
      </c>
      <c r="E1017" s="3">
        <v>40148.520833333336</v>
      </c>
      <c r="F1017" s="1">
        <v>2.1</v>
      </c>
      <c r="G1017" s="1">
        <v>14156</v>
      </c>
      <c r="H1017" s="1" t="s">
        <v>418</v>
      </c>
      <c r="I1017" s="1">
        <f t="shared" si="3"/>
        <v>12.600000000000001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 x14ac:dyDescent="0.2">
      <c r="A1018" s="1">
        <v>489546</v>
      </c>
      <c r="B1018" s="1" t="s">
        <v>289</v>
      </c>
      <c r="C1018" s="1" t="s">
        <v>290</v>
      </c>
      <c r="D1018" s="1">
        <v>6</v>
      </c>
      <c r="E1018" s="3">
        <v>40148.520833333336</v>
      </c>
      <c r="F1018" s="1">
        <v>3.75</v>
      </c>
      <c r="G1018" s="1">
        <v>14156</v>
      </c>
      <c r="H1018" s="1" t="s">
        <v>418</v>
      </c>
      <c r="I1018" s="1">
        <f t="shared" si="3"/>
        <v>22.5</v>
      </c>
      <c r="J1018" s="2"/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 x14ac:dyDescent="0.2">
      <c r="A1019" s="1">
        <v>489546</v>
      </c>
      <c r="B1019" s="1">
        <v>20768</v>
      </c>
      <c r="C1019" s="1" t="s">
        <v>787</v>
      </c>
      <c r="D1019" s="1">
        <v>6</v>
      </c>
      <c r="E1019" s="3">
        <v>40148.520833333336</v>
      </c>
      <c r="F1019" s="1">
        <v>2.5499999999999998</v>
      </c>
      <c r="G1019" s="1">
        <v>14156</v>
      </c>
      <c r="H1019" s="1" t="s">
        <v>418</v>
      </c>
      <c r="I1019" s="1">
        <f t="shared" si="3"/>
        <v>15.299999999999999</v>
      </c>
      <c r="J1019" s="2"/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 x14ac:dyDescent="0.2">
      <c r="A1020" s="1">
        <v>489546</v>
      </c>
      <c r="B1020" s="1">
        <v>22169</v>
      </c>
      <c r="C1020" s="1" t="s">
        <v>788</v>
      </c>
      <c r="D1020" s="1">
        <v>4</v>
      </c>
      <c r="E1020" s="3">
        <v>40148.520833333336</v>
      </c>
      <c r="F1020" s="1">
        <v>8.5</v>
      </c>
      <c r="G1020" s="1">
        <v>14156</v>
      </c>
      <c r="H1020" s="1" t="s">
        <v>418</v>
      </c>
      <c r="I1020" s="1">
        <f t="shared" si="3"/>
        <v>34</v>
      </c>
      <c r="J1020" s="2"/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 x14ac:dyDescent="0.2">
      <c r="A1021" s="1">
        <v>489546</v>
      </c>
      <c r="B1021" s="1">
        <v>22201</v>
      </c>
      <c r="C1021" s="1" t="s">
        <v>789</v>
      </c>
      <c r="D1021" s="1">
        <v>4</v>
      </c>
      <c r="E1021" s="3">
        <v>40148.520833333336</v>
      </c>
      <c r="F1021" s="1">
        <v>4.25</v>
      </c>
      <c r="G1021" s="1">
        <v>14156</v>
      </c>
      <c r="H1021" s="1" t="s">
        <v>418</v>
      </c>
      <c r="I1021" s="1">
        <f t="shared" si="3"/>
        <v>17</v>
      </c>
      <c r="J1021" s="2"/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 x14ac:dyDescent="0.2">
      <c r="A1022" s="1">
        <v>489546</v>
      </c>
      <c r="B1022" s="1">
        <v>37503</v>
      </c>
      <c r="C1022" s="1" t="s">
        <v>790</v>
      </c>
      <c r="D1022" s="1">
        <v>4</v>
      </c>
      <c r="E1022" s="3">
        <v>40148.520833333336</v>
      </c>
      <c r="F1022" s="1">
        <v>10.75</v>
      </c>
      <c r="G1022" s="1">
        <v>14156</v>
      </c>
      <c r="H1022" s="1" t="s">
        <v>418</v>
      </c>
      <c r="I1022" s="1">
        <f t="shared" ref="I1022:I1276" si="4">D1022*F1022</f>
        <v>43</v>
      </c>
      <c r="J1022" s="2"/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 x14ac:dyDescent="0.2">
      <c r="A1023" s="1">
        <v>489546</v>
      </c>
      <c r="B1023" s="1">
        <v>48185</v>
      </c>
      <c r="C1023" s="1" t="s">
        <v>281</v>
      </c>
      <c r="D1023" s="1">
        <v>4</v>
      </c>
      <c r="E1023" s="3">
        <v>40148.520833333336</v>
      </c>
      <c r="F1023" s="1">
        <v>6.75</v>
      </c>
      <c r="G1023" s="1">
        <v>14156</v>
      </c>
      <c r="H1023" s="1" t="s">
        <v>418</v>
      </c>
      <c r="I1023" s="1">
        <f t="shared" si="4"/>
        <v>27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 x14ac:dyDescent="0.2">
      <c r="A1024" s="1">
        <v>489546</v>
      </c>
      <c r="B1024" s="1">
        <v>21484</v>
      </c>
      <c r="C1024" s="1" t="s">
        <v>296</v>
      </c>
      <c r="D1024" s="1">
        <v>4</v>
      </c>
      <c r="E1024" s="3">
        <v>40148.520833333336</v>
      </c>
      <c r="F1024" s="1">
        <v>3.45</v>
      </c>
      <c r="G1024" s="1">
        <v>14156</v>
      </c>
      <c r="H1024" s="1" t="s">
        <v>418</v>
      </c>
      <c r="I1024" s="1">
        <f t="shared" si="4"/>
        <v>13.8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 x14ac:dyDescent="0.2">
      <c r="A1025" s="1">
        <v>489546</v>
      </c>
      <c r="B1025" s="1">
        <v>22199</v>
      </c>
      <c r="C1025" s="1" t="s">
        <v>194</v>
      </c>
      <c r="D1025" s="1">
        <v>4</v>
      </c>
      <c r="E1025" s="3">
        <v>40148.520833333336</v>
      </c>
      <c r="F1025" s="1">
        <v>4.25</v>
      </c>
      <c r="G1025" s="1">
        <v>14156</v>
      </c>
      <c r="H1025" s="1" t="s">
        <v>418</v>
      </c>
      <c r="I1025" s="1">
        <f t="shared" si="4"/>
        <v>17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 x14ac:dyDescent="0.2">
      <c r="A1026" s="1">
        <v>489546</v>
      </c>
      <c r="B1026" s="1">
        <v>22111</v>
      </c>
      <c r="C1026" s="1" t="s">
        <v>24</v>
      </c>
      <c r="D1026" s="1">
        <v>3</v>
      </c>
      <c r="E1026" s="3">
        <v>40148.520833333336</v>
      </c>
      <c r="F1026" s="1">
        <v>4.95</v>
      </c>
      <c r="G1026" s="1">
        <v>14156</v>
      </c>
      <c r="H1026" s="1" t="s">
        <v>418</v>
      </c>
      <c r="I1026" s="1">
        <f t="shared" si="4"/>
        <v>14.850000000000001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 x14ac:dyDescent="0.2">
      <c r="A1027" s="1">
        <v>489546</v>
      </c>
      <c r="B1027" s="1">
        <v>21485</v>
      </c>
      <c r="C1027" s="1" t="s">
        <v>185</v>
      </c>
      <c r="D1027" s="1">
        <v>3</v>
      </c>
      <c r="E1027" s="3">
        <v>40148.520833333336</v>
      </c>
      <c r="F1027" s="1">
        <v>4.95</v>
      </c>
      <c r="G1027" s="1">
        <v>14156</v>
      </c>
      <c r="H1027" s="1" t="s">
        <v>418</v>
      </c>
      <c r="I1027" s="1">
        <f t="shared" si="4"/>
        <v>14.850000000000001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 x14ac:dyDescent="0.2">
      <c r="A1028" s="1">
        <v>489546</v>
      </c>
      <c r="B1028" s="1">
        <v>21004</v>
      </c>
      <c r="C1028" s="1" t="s">
        <v>591</v>
      </c>
      <c r="D1028" s="1">
        <v>3</v>
      </c>
      <c r="E1028" s="3">
        <v>40148.520833333336</v>
      </c>
      <c r="F1028" s="1">
        <v>4.25</v>
      </c>
      <c r="G1028" s="1">
        <v>14156</v>
      </c>
      <c r="H1028" s="1" t="s">
        <v>418</v>
      </c>
      <c r="I1028" s="1">
        <f t="shared" si="4"/>
        <v>12.75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 x14ac:dyDescent="0.2">
      <c r="A1029" s="1">
        <v>489546</v>
      </c>
      <c r="B1029" s="1" t="s">
        <v>791</v>
      </c>
      <c r="C1029" s="1" t="s">
        <v>792</v>
      </c>
      <c r="D1029" s="1">
        <v>2</v>
      </c>
      <c r="E1029" s="3">
        <v>40148.520833333336</v>
      </c>
      <c r="F1029" s="1">
        <v>12.75</v>
      </c>
      <c r="G1029" s="1">
        <v>14156</v>
      </c>
      <c r="H1029" s="1" t="s">
        <v>418</v>
      </c>
      <c r="I1029" s="1">
        <f t="shared" si="4"/>
        <v>25.5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 x14ac:dyDescent="0.2">
      <c r="A1030" s="1">
        <v>489546</v>
      </c>
      <c r="B1030" s="1">
        <v>48188</v>
      </c>
      <c r="C1030" s="1" t="s">
        <v>736</v>
      </c>
      <c r="D1030" s="1">
        <v>2</v>
      </c>
      <c r="E1030" s="3">
        <v>40148.520833333336</v>
      </c>
      <c r="F1030" s="1">
        <v>6.75</v>
      </c>
      <c r="G1030" s="1">
        <v>14156</v>
      </c>
      <c r="H1030" s="1" t="s">
        <v>418</v>
      </c>
      <c r="I1030" s="1">
        <f t="shared" si="4"/>
        <v>13.5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 x14ac:dyDescent="0.2">
      <c r="A1031" s="1">
        <v>489546</v>
      </c>
      <c r="B1031" s="1">
        <v>48194</v>
      </c>
      <c r="C1031" s="1" t="s">
        <v>506</v>
      </c>
      <c r="D1031" s="1">
        <v>2</v>
      </c>
      <c r="E1031" s="3">
        <v>40148.520833333336</v>
      </c>
      <c r="F1031" s="1">
        <v>6.75</v>
      </c>
      <c r="G1031" s="1">
        <v>14156</v>
      </c>
      <c r="H1031" s="1" t="s">
        <v>418</v>
      </c>
      <c r="I1031" s="1">
        <f t="shared" si="4"/>
        <v>13.5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 x14ac:dyDescent="0.2">
      <c r="A1032" s="1">
        <v>489546</v>
      </c>
      <c r="B1032" s="1">
        <v>48129</v>
      </c>
      <c r="C1032" s="1" t="s">
        <v>577</v>
      </c>
      <c r="D1032" s="1">
        <v>2</v>
      </c>
      <c r="E1032" s="3">
        <v>40148.520833333336</v>
      </c>
      <c r="F1032" s="1">
        <v>6.75</v>
      </c>
      <c r="G1032" s="1">
        <v>14156</v>
      </c>
      <c r="H1032" s="1" t="s">
        <v>418</v>
      </c>
      <c r="I1032" s="1">
        <f t="shared" si="4"/>
        <v>13.5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 x14ac:dyDescent="0.2">
      <c r="A1033" s="1">
        <v>489546</v>
      </c>
      <c r="B1033" s="1" t="s">
        <v>793</v>
      </c>
      <c r="C1033" s="1" t="s">
        <v>794</v>
      </c>
      <c r="D1033" s="1">
        <v>1</v>
      </c>
      <c r="E1033" s="3">
        <v>40148.520833333336</v>
      </c>
      <c r="F1033" s="1">
        <v>12.75</v>
      </c>
      <c r="G1033" s="1">
        <v>14156</v>
      </c>
      <c r="H1033" s="1" t="s">
        <v>418</v>
      </c>
      <c r="I1033" s="1">
        <f t="shared" si="4"/>
        <v>12.75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 x14ac:dyDescent="0.2">
      <c r="A1034" s="1">
        <v>489546</v>
      </c>
      <c r="B1034" s="1">
        <v>21781</v>
      </c>
      <c r="C1034" s="1" t="s">
        <v>795</v>
      </c>
      <c r="D1034" s="1">
        <v>1</v>
      </c>
      <c r="E1034" s="3">
        <v>40148.520833333336</v>
      </c>
      <c r="F1034" s="1">
        <v>14.95</v>
      </c>
      <c r="G1034" s="1">
        <v>14156</v>
      </c>
      <c r="H1034" s="1" t="s">
        <v>418</v>
      </c>
      <c r="I1034" s="1">
        <f t="shared" si="4"/>
        <v>14.95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 x14ac:dyDescent="0.2">
      <c r="A1035" s="1">
        <v>489547</v>
      </c>
      <c r="B1035" s="1" t="s">
        <v>796</v>
      </c>
      <c r="C1035" s="1" t="s">
        <v>797</v>
      </c>
      <c r="D1035" s="1">
        <v>240</v>
      </c>
      <c r="E1035" s="3">
        <v>40148.520833333336</v>
      </c>
      <c r="F1035" s="1">
        <v>0.64</v>
      </c>
      <c r="G1035" s="1">
        <v>13599</v>
      </c>
      <c r="H1035" s="1" t="s">
        <v>10</v>
      </c>
      <c r="I1035" s="1">
        <f t="shared" si="4"/>
        <v>153.6</v>
      </c>
      <c r="J1035" s="2"/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 x14ac:dyDescent="0.2">
      <c r="A1036" s="1">
        <v>489547</v>
      </c>
      <c r="B1036" s="1">
        <v>22356</v>
      </c>
      <c r="C1036" s="1" t="s">
        <v>189</v>
      </c>
      <c r="D1036" s="1">
        <v>100</v>
      </c>
      <c r="E1036" s="3">
        <v>40148.520833333336</v>
      </c>
      <c r="F1036" s="1">
        <v>0.72</v>
      </c>
      <c r="G1036" s="1">
        <v>13599</v>
      </c>
      <c r="H1036" s="1" t="s">
        <v>10</v>
      </c>
      <c r="I1036" s="1">
        <f t="shared" si="4"/>
        <v>72</v>
      </c>
      <c r="J1036" s="2"/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 x14ac:dyDescent="0.2">
      <c r="A1037" s="1">
        <v>489547</v>
      </c>
      <c r="B1037" s="1">
        <v>21593</v>
      </c>
      <c r="C1037" s="1" t="s">
        <v>798</v>
      </c>
      <c r="D1037" s="1">
        <v>24</v>
      </c>
      <c r="E1037" s="3">
        <v>40148.520833333336</v>
      </c>
      <c r="F1037" s="1">
        <v>1.25</v>
      </c>
      <c r="G1037" s="1">
        <v>13599</v>
      </c>
      <c r="H1037" s="1" t="s">
        <v>10</v>
      </c>
      <c r="I1037" s="1">
        <f t="shared" si="4"/>
        <v>30</v>
      </c>
      <c r="J1037" s="2"/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 x14ac:dyDescent="0.2">
      <c r="A1038" s="1">
        <v>489547</v>
      </c>
      <c r="B1038" s="1">
        <v>21591</v>
      </c>
      <c r="C1038" s="1" t="s">
        <v>602</v>
      </c>
      <c r="D1038" s="1">
        <v>24</v>
      </c>
      <c r="E1038" s="3">
        <v>40148.520833333336</v>
      </c>
      <c r="F1038" s="1">
        <v>1.25</v>
      </c>
      <c r="G1038" s="1">
        <v>13599</v>
      </c>
      <c r="H1038" s="1" t="s">
        <v>10</v>
      </c>
      <c r="I1038" s="1">
        <f t="shared" si="4"/>
        <v>30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 x14ac:dyDescent="0.2">
      <c r="A1039" s="1">
        <v>489547</v>
      </c>
      <c r="B1039" s="1">
        <v>21590</v>
      </c>
      <c r="C1039" s="1" t="s">
        <v>125</v>
      </c>
      <c r="D1039" s="1">
        <v>24</v>
      </c>
      <c r="E1039" s="3">
        <v>40148.520833333336</v>
      </c>
      <c r="F1039" s="1">
        <v>1.25</v>
      </c>
      <c r="G1039" s="1">
        <v>13599</v>
      </c>
      <c r="H1039" s="1" t="s">
        <v>10</v>
      </c>
      <c r="I1039" s="1">
        <f t="shared" si="4"/>
        <v>30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 x14ac:dyDescent="0.2">
      <c r="A1040" s="1">
        <v>489547</v>
      </c>
      <c r="B1040" s="1">
        <v>20725</v>
      </c>
      <c r="C1040" s="1" t="s">
        <v>191</v>
      </c>
      <c r="D1040" s="1">
        <v>20</v>
      </c>
      <c r="E1040" s="3">
        <v>40148.520833333336</v>
      </c>
      <c r="F1040" s="1">
        <v>1.65</v>
      </c>
      <c r="G1040" s="1">
        <v>13599</v>
      </c>
      <c r="H1040" s="1" t="s">
        <v>10</v>
      </c>
      <c r="I1040" s="1">
        <f t="shared" si="4"/>
        <v>33</v>
      </c>
      <c r="J1040" s="2"/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 x14ac:dyDescent="0.2">
      <c r="A1041" s="1">
        <v>489547</v>
      </c>
      <c r="B1041" s="1">
        <v>22086</v>
      </c>
      <c r="C1041" s="1" t="s">
        <v>183</v>
      </c>
      <c r="D1041" s="1">
        <v>18</v>
      </c>
      <c r="E1041" s="3">
        <v>40148.520833333336</v>
      </c>
      <c r="F1041" s="1">
        <v>2.95</v>
      </c>
      <c r="G1041" s="1">
        <v>13599</v>
      </c>
      <c r="H1041" s="1" t="s">
        <v>10</v>
      </c>
      <c r="I1041" s="1">
        <f t="shared" si="4"/>
        <v>53.1</v>
      </c>
      <c r="J1041" s="2"/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 x14ac:dyDescent="0.2">
      <c r="A1042" s="1">
        <v>489547</v>
      </c>
      <c r="B1042" s="1">
        <v>21871</v>
      </c>
      <c r="C1042" s="1" t="s">
        <v>13</v>
      </c>
      <c r="D1042" s="1">
        <v>12</v>
      </c>
      <c r="E1042" s="3">
        <v>40148.520833333336</v>
      </c>
      <c r="F1042" s="1">
        <v>1.25</v>
      </c>
      <c r="G1042" s="1">
        <v>13599</v>
      </c>
      <c r="H1042" s="1" t="s">
        <v>10</v>
      </c>
      <c r="I1042" s="1">
        <f t="shared" si="4"/>
        <v>15</v>
      </c>
      <c r="J1042" s="2"/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 x14ac:dyDescent="0.2">
      <c r="A1043" s="1">
        <v>489547</v>
      </c>
      <c r="B1043" s="1">
        <v>21875</v>
      </c>
      <c r="C1043" s="1" t="s">
        <v>501</v>
      </c>
      <c r="D1043" s="1">
        <v>12</v>
      </c>
      <c r="E1043" s="3">
        <v>40148.520833333336</v>
      </c>
      <c r="F1043" s="1">
        <v>1.25</v>
      </c>
      <c r="G1043" s="1">
        <v>13599</v>
      </c>
      <c r="H1043" s="1" t="s">
        <v>10</v>
      </c>
      <c r="I1043" s="1">
        <f t="shared" si="4"/>
        <v>15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 x14ac:dyDescent="0.2">
      <c r="A1044" s="1">
        <v>489547</v>
      </c>
      <c r="B1044" s="1">
        <v>21587</v>
      </c>
      <c r="C1044" s="1" t="s">
        <v>456</v>
      </c>
      <c r="D1044" s="1">
        <v>12</v>
      </c>
      <c r="E1044" s="3">
        <v>40148.520833333336</v>
      </c>
      <c r="F1044" s="1">
        <v>2.5499999999999998</v>
      </c>
      <c r="G1044" s="1">
        <v>13599</v>
      </c>
      <c r="H1044" s="1" t="s">
        <v>10</v>
      </c>
      <c r="I1044" s="1">
        <f t="shared" si="4"/>
        <v>30.599999999999998</v>
      </c>
      <c r="J1044" s="2"/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 x14ac:dyDescent="0.2">
      <c r="A1045" s="1">
        <v>489547</v>
      </c>
      <c r="B1045" s="1">
        <v>21493</v>
      </c>
      <c r="C1045" s="1" t="s">
        <v>107</v>
      </c>
      <c r="D1045" s="1">
        <v>12</v>
      </c>
      <c r="E1045" s="3">
        <v>40148.520833333336</v>
      </c>
      <c r="F1045" s="1">
        <v>0.85</v>
      </c>
      <c r="G1045" s="1">
        <v>13599</v>
      </c>
      <c r="H1045" s="1" t="s">
        <v>10</v>
      </c>
      <c r="I1045" s="1">
        <f t="shared" si="4"/>
        <v>10.199999999999999</v>
      </c>
      <c r="J1045" s="2"/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 x14ac:dyDescent="0.2">
      <c r="A1046" s="1">
        <v>489547</v>
      </c>
      <c r="B1046" s="1">
        <v>22348</v>
      </c>
      <c r="C1046" s="1" t="s">
        <v>799</v>
      </c>
      <c r="D1046" s="1">
        <v>12</v>
      </c>
      <c r="E1046" s="3">
        <v>40148.520833333336</v>
      </c>
      <c r="F1046" s="1">
        <v>0.85</v>
      </c>
      <c r="G1046" s="1">
        <v>13599</v>
      </c>
      <c r="H1046" s="1" t="s">
        <v>10</v>
      </c>
      <c r="I1046" s="1">
        <f t="shared" si="4"/>
        <v>10.199999999999999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 x14ac:dyDescent="0.2">
      <c r="A1047" s="1">
        <v>489547</v>
      </c>
      <c r="B1047" s="1">
        <v>21930</v>
      </c>
      <c r="C1047" s="1" t="s">
        <v>312</v>
      </c>
      <c r="D1047" s="1">
        <v>10</v>
      </c>
      <c r="E1047" s="3">
        <v>40148.520833333336</v>
      </c>
      <c r="F1047" s="1">
        <v>1.95</v>
      </c>
      <c r="G1047" s="1">
        <v>13599</v>
      </c>
      <c r="H1047" s="1" t="s">
        <v>10</v>
      </c>
      <c r="I1047" s="1">
        <f t="shared" si="4"/>
        <v>19.5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 x14ac:dyDescent="0.2">
      <c r="A1048" s="1">
        <v>489547</v>
      </c>
      <c r="B1048" s="1" t="s">
        <v>178</v>
      </c>
      <c r="C1048" s="1" t="s">
        <v>179</v>
      </c>
      <c r="D1048" s="1">
        <v>10</v>
      </c>
      <c r="E1048" s="3">
        <v>40148.520833333336</v>
      </c>
      <c r="F1048" s="1">
        <v>1.95</v>
      </c>
      <c r="G1048" s="1">
        <v>13599</v>
      </c>
      <c r="H1048" s="1" t="s">
        <v>10</v>
      </c>
      <c r="I1048" s="1">
        <f t="shared" si="4"/>
        <v>19.5</v>
      </c>
      <c r="J1048" s="2"/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 x14ac:dyDescent="0.2">
      <c r="A1049" s="1">
        <v>489547</v>
      </c>
      <c r="B1049" s="1" t="s">
        <v>800</v>
      </c>
      <c r="C1049" s="1" t="s">
        <v>801</v>
      </c>
      <c r="D1049" s="1">
        <v>10</v>
      </c>
      <c r="E1049" s="3">
        <v>40148.520833333336</v>
      </c>
      <c r="F1049" s="1">
        <v>1.95</v>
      </c>
      <c r="G1049" s="1">
        <v>13599</v>
      </c>
      <c r="H1049" s="1" t="s">
        <v>10</v>
      </c>
      <c r="I1049" s="1">
        <f t="shared" si="4"/>
        <v>19.5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 x14ac:dyDescent="0.2">
      <c r="A1050" s="1">
        <v>489547</v>
      </c>
      <c r="B1050" s="1">
        <v>20719</v>
      </c>
      <c r="C1050" s="1" t="s">
        <v>334</v>
      </c>
      <c r="D1050" s="1">
        <v>10</v>
      </c>
      <c r="E1050" s="3">
        <v>40148.520833333336</v>
      </c>
      <c r="F1050" s="1">
        <v>0.85</v>
      </c>
      <c r="G1050" s="1">
        <v>13599</v>
      </c>
      <c r="H1050" s="1" t="s">
        <v>10</v>
      </c>
      <c r="I1050" s="1">
        <f t="shared" si="4"/>
        <v>8.5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 x14ac:dyDescent="0.2">
      <c r="A1051" s="1">
        <v>489547</v>
      </c>
      <c r="B1051" s="1">
        <v>20724</v>
      </c>
      <c r="C1051" s="1" t="s">
        <v>190</v>
      </c>
      <c r="D1051" s="1">
        <v>10</v>
      </c>
      <c r="E1051" s="3">
        <v>40148.520833333336</v>
      </c>
      <c r="F1051" s="1">
        <v>0.85</v>
      </c>
      <c r="G1051" s="1">
        <v>13599</v>
      </c>
      <c r="H1051" s="1" t="s">
        <v>10</v>
      </c>
      <c r="I1051" s="1">
        <f t="shared" si="4"/>
        <v>8.5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 x14ac:dyDescent="0.2">
      <c r="A1052" s="1">
        <v>489547</v>
      </c>
      <c r="B1052" s="1">
        <v>20727</v>
      </c>
      <c r="C1052" s="1" t="s">
        <v>643</v>
      </c>
      <c r="D1052" s="1">
        <v>10</v>
      </c>
      <c r="E1052" s="3">
        <v>40148.520833333336</v>
      </c>
      <c r="F1052" s="1">
        <v>1.65</v>
      </c>
      <c r="G1052" s="1">
        <v>13599</v>
      </c>
      <c r="H1052" s="1" t="s">
        <v>10</v>
      </c>
      <c r="I1052" s="1">
        <f t="shared" si="4"/>
        <v>16.5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 x14ac:dyDescent="0.2">
      <c r="A1053" s="1">
        <v>489547</v>
      </c>
      <c r="B1053" s="1">
        <v>20726</v>
      </c>
      <c r="C1053" s="1" t="s">
        <v>193</v>
      </c>
      <c r="D1053" s="1">
        <v>10</v>
      </c>
      <c r="E1053" s="3">
        <v>40148.520833333336</v>
      </c>
      <c r="F1053" s="1">
        <v>1.65</v>
      </c>
      <c r="G1053" s="1">
        <v>13599</v>
      </c>
      <c r="H1053" s="1" t="s">
        <v>10</v>
      </c>
      <c r="I1053" s="1">
        <f t="shared" si="4"/>
        <v>16.5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 x14ac:dyDescent="0.2">
      <c r="A1054" s="1">
        <v>489547</v>
      </c>
      <c r="B1054" s="1">
        <v>22083</v>
      </c>
      <c r="C1054" s="1" t="s">
        <v>176</v>
      </c>
      <c r="D1054" s="1">
        <v>6</v>
      </c>
      <c r="E1054" s="3">
        <v>40148.520833333336</v>
      </c>
      <c r="F1054" s="1">
        <v>2.95</v>
      </c>
      <c r="G1054" s="1">
        <v>13599</v>
      </c>
      <c r="H1054" s="1" t="s">
        <v>10</v>
      </c>
      <c r="I1054" s="1">
        <f t="shared" si="4"/>
        <v>17.700000000000003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 x14ac:dyDescent="0.2">
      <c r="A1055" s="1">
        <v>489547</v>
      </c>
      <c r="B1055" s="1">
        <v>22085</v>
      </c>
      <c r="C1055" s="1" t="s">
        <v>802</v>
      </c>
      <c r="D1055" s="1">
        <v>6</v>
      </c>
      <c r="E1055" s="3">
        <v>40148.520833333336</v>
      </c>
      <c r="F1055" s="1">
        <v>2.95</v>
      </c>
      <c r="G1055" s="1">
        <v>13599</v>
      </c>
      <c r="H1055" s="1" t="s">
        <v>10</v>
      </c>
      <c r="I1055" s="1">
        <f t="shared" si="4"/>
        <v>17.700000000000003</v>
      </c>
      <c r="J1055" s="2"/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 x14ac:dyDescent="0.2">
      <c r="A1056" s="1">
        <v>489547</v>
      </c>
      <c r="B1056" s="1">
        <v>22138</v>
      </c>
      <c r="C1056" s="1" t="s">
        <v>109</v>
      </c>
      <c r="D1056" s="1">
        <v>3</v>
      </c>
      <c r="E1056" s="3">
        <v>40148.520833333336</v>
      </c>
      <c r="F1056" s="1">
        <v>4.95</v>
      </c>
      <c r="G1056" s="1">
        <v>13599</v>
      </c>
      <c r="H1056" s="1" t="s">
        <v>10</v>
      </c>
      <c r="I1056" s="1">
        <f t="shared" si="4"/>
        <v>14.850000000000001</v>
      </c>
      <c r="J1056" s="2"/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 x14ac:dyDescent="0.2">
      <c r="A1057" s="1">
        <v>489548</v>
      </c>
      <c r="B1057" s="1">
        <v>21086</v>
      </c>
      <c r="C1057" s="1" t="s">
        <v>446</v>
      </c>
      <c r="D1057" s="1">
        <v>25</v>
      </c>
      <c r="E1057" s="3">
        <v>40148.522222222222</v>
      </c>
      <c r="F1057" s="1">
        <v>0.65</v>
      </c>
      <c r="H1057" s="1" t="s">
        <v>10</v>
      </c>
      <c r="I1057" s="1">
        <f t="shared" si="4"/>
        <v>16.25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 x14ac:dyDescent="0.2">
      <c r="A1058" s="1">
        <v>489548</v>
      </c>
      <c r="B1058" s="1">
        <v>21094</v>
      </c>
      <c r="C1058" s="1" t="s">
        <v>467</v>
      </c>
      <c r="D1058" s="1">
        <v>22</v>
      </c>
      <c r="E1058" s="3">
        <v>40148.522222222222</v>
      </c>
      <c r="F1058" s="1">
        <v>0.85</v>
      </c>
      <c r="H1058" s="1" t="s">
        <v>10</v>
      </c>
      <c r="I1058" s="1">
        <f t="shared" si="4"/>
        <v>18.7</v>
      </c>
      <c r="J1058" s="2"/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 x14ac:dyDescent="0.2">
      <c r="A1059" s="1">
        <v>489548</v>
      </c>
      <c r="B1059" s="1">
        <v>22254</v>
      </c>
      <c r="C1059" s="1" t="s">
        <v>535</v>
      </c>
      <c r="D1059" s="1">
        <v>12</v>
      </c>
      <c r="E1059" s="3">
        <v>40148.522222222222</v>
      </c>
      <c r="F1059" s="1">
        <v>1.25</v>
      </c>
      <c r="H1059" s="1" t="s">
        <v>10</v>
      </c>
      <c r="I1059" s="1">
        <f t="shared" si="4"/>
        <v>15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 x14ac:dyDescent="0.2">
      <c r="A1060" s="1">
        <v>489548</v>
      </c>
      <c r="B1060" s="1">
        <v>22134</v>
      </c>
      <c r="C1060" s="1" t="s">
        <v>803</v>
      </c>
      <c r="D1060" s="1">
        <v>12</v>
      </c>
      <c r="E1060" s="3">
        <v>40148.522222222222</v>
      </c>
      <c r="F1060" s="1">
        <v>0.42</v>
      </c>
      <c r="H1060" s="1" t="s">
        <v>10</v>
      </c>
      <c r="I1060" s="1">
        <f t="shared" si="4"/>
        <v>5.04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 x14ac:dyDescent="0.2">
      <c r="A1061" s="1">
        <v>489548</v>
      </c>
      <c r="B1061" s="1">
        <v>22132</v>
      </c>
      <c r="C1061" s="1" t="s">
        <v>804</v>
      </c>
      <c r="D1061" s="1">
        <v>12</v>
      </c>
      <c r="E1061" s="3">
        <v>40148.522222222222</v>
      </c>
      <c r="F1061" s="1">
        <v>0.85</v>
      </c>
      <c r="H1061" s="1" t="s">
        <v>10</v>
      </c>
      <c r="I1061" s="1">
        <f t="shared" si="4"/>
        <v>10.199999999999999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 x14ac:dyDescent="0.2">
      <c r="A1062" s="1">
        <v>489548</v>
      </c>
      <c r="B1062" s="1">
        <v>84670</v>
      </c>
      <c r="C1062" s="1" t="s">
        <v>805</v>
      </c>
      <c r="D1062" s="1">
        <v>12</v>
      </c>
      <c r="E1062" s="3">
        <v>40148.522222222222</v>
      </c>
      <c r="F1062" s="1">
        <v>0.42</v>
      </c>
      <c r="H1062" s="1" t="s">
        <v>10</v>
      </c>
      <c r="I1062" s="1">
        <f t="shared" si="4"/>
        <v>5.04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 x14ac:dyDescent="0.2">
      <c r="A1063" s="1">
        <v>489548</v>
      </c>
      <c r="B1063" s="1">
        <v>21980</v>
      </c>
      <c r="C1063" s="1" t="s">
        <v>609</v>
      </c>
      <c r="D1063" s="1">
        <v>12</v>
      </c>
      <c r="E1063" s="3">
        <v>40148.522222222222</v>
      </c>
      <c r="F1063" s="1">
        <v>0.28999999999999998</v>
      </c>
      <c r="H1063" s="1" t="s">
        <v>10</v>
      </c>
      <c r="I1063" s="1">
        <f t="shared" si="4"/>
        <v>3.4799999999999995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 x14ac:dyDescent="0.2">
      <c r="A1064" s="1">
        <v>489548</v>
      </c>
      <c r="B1064" s="1">
        <v>79000</v>
      </c>
      <c r="C1064" s="1" t="s">
        <v>806</v>
      </c>
      <c r="D1064" s="1">
        <v>12</v>
      </c>
      <c r="E1064" s="3">
        <v>40148.522222222222</v>
      </c>
      <c r="F1064" s="1">
        <v>0.85</v>
      </c>
      <c r="H1064" s="1" t="s">
        <v>10</v>
      </c>
      <c r="I1064" s="1">
        <f t="shared" si="4"/>
        <v>10.199999999999999</v>
      </c>
      <c r="J1064" s="2"/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 x14ac:dyDescent="0.2">
      <c r="A1065" s="1">
        <v>489548</v>
      </c>
      <c r="B1065" s="1">
        <v>22079</v>
      </c>
      <c r="C1065" s="1" t="s">
        <v>774</v>
      </c>
      <c r="D1065" s="1">
        <v>10</v>
      </c>
      <c r="E1065" s="3">
        <v>40148.522222222222</v>
      </c>
      <c r="F1065" s="1">
        <v>1.65</v>
      </c>
      <c r="H1065" s="1" t="s">
        <v>10</v>
      </c>
      <c r="I1065" s="1">
        <f t="shared" si="4"/>
        <v>16.5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 x14ac:dyDescent="0.2">
      <c r="A1066" s="1">
        <v>489548</v>
      </c>
      <c r="B1066" s="1">
        <v>20963</v>
      </c>
      <c r="C1066" s="1" t="s">
        <v>807</v>
      </c>
      <c r="D1066" s="1">
        <v>10</v>
      </c>
      <c r="E1066" s="3">
        <v>40148.522222222222</v>
      </c>
      <c r="F1066" s="1">
        <v>1.25</v>
      </c>
      <c r="H1066" s="1" t="s">
        <v>10</v>
      </c>
      <c r="I1066" s="1">
        <f t="shared" si="4"/>
        <v>12.5</v>
      </c>
      <c r="J1066" s="2"/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 x14ac:dyDescent="0.2">
      <c r="A1067" s="1">
        <v>489548</v>
      </c>
      <c r="B1067" s="1">
        <v>22196</v>
      </c>
      <c r="C1067" s="1" t="s">
        <v>778</v>
      </c>
      <c r="D1067" s="1">
        <v>8</v>
      </c>
      <c r="E1067" s="3">
        <v>40148.522222222222</v>
      </c>
      <c r="F1067" s="1">
        <v>0.85</v>
      </c>
      <c r="H1067" s="1" t="s">
        <v>10</v>
      </c>
      <c r="I1067" s="1">
        <f t="shared" si="4"/>
        <v>6.8</v>
      </c>
      <c r="J1067" s="2"/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 x14ac:dyDescent="0.2">
      <c r="A1068" s="1">
        <v>489548</v>
      </c>
      <c r="B1068" s="1">
        <v>21067</v>
      </c>
      <c r="C1068" s="1" t="s">
        <v>808</v>
      </c>
      <c r="D1068" s="1">
        <v>6</v>
      </c>
      <c r="E1068" s="3">
        <v>40148.522222222222</v>
      </c>
      <c r="F1068" s="1">
        <v>1.25</v>
      </c>
      <c r="H1068" s="1" t="s">
        <v>10</v>
      </c>
      <c r="I1068" s="1">
        <f t="shared" si="4"/>
        <v>7.5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 x14ac:dyDescent="0.2">
      <c r="A1069" s="1">
        <v>489548</v>
      </c>
      <c r="B1069" s="1">
        <v>21321</v>
      </c>
      <c r="C1069" s="1" t="s">
        <v>809</v>
      </c>
      <c r="D1069" s="1">
        <v>6</v>
      </c>
      <c r="E1069" s="3">
        <v>40148.522222222222</v>
      </c>
      <c r="F1069" s="1">
        <v>2.5499999999999998</v>
      </c>
      <c r="H1069" s="1" t="s">
        <v>10</v>
      </c>
      <c r="I1069" s="1">
        <f t="shared" si="4"/>
        <v>15.299999999999999</v>
      </c>
      <c r="J1069" s="2"/>
      <c r="K1069" s="2"/>
      <c r="L1069" s="2"/>
      <c r="M1069" s="2"/>
      <c r="N1069" s="2"/>
      <c r="O1069" s="2"/>
      <c r="P1069" s="2"/>
      <c r="Q1069" s="2"/>
      <c r="R1069" s="2"/>
      <c r="S1069" s="2"/>
    </row>
    <row r="1070" spans="1:19" x14ac:dyDescent="0.2">
      <c r="A1070" s="1">
        <v>489548</v>
      </c>
      <c r="B1070" s="1">
        <v>21320</v>
      </c>
      <c r="C1070" s="1" t="s">
        <v>810</v>
      </c>
      <c r="D1070" s="1">
        <v>6</v>
      </c>
      <c r="E1070" s="3">
        <v>40148.522222222222</v>
      </c>
      <c r="F1070" s="1">
        <v>2.5499999999999998</v>
      </c>
      <c r="H1070" s="1" t="s">
        <v>10</v>
      </c>
      <c r="I1070" s="1">
        <f t="shared" si="4"/>
        <v>15.299999999999999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 x14ac:dyDescent="0.2">
      <c r="A1071" s="1">
        <v>489548</v>
      </c>
      <c r="B1071" s="1">
        <v>22302</v>
      </c>
      <c r="C1071" s="1" t="s">
        <v>478</v>
      </c>
      <c r="D1071" s="1">
        <v>6</v>
      </c>
      <c r="E1071" s="3">
        <v>40148.522222222222</v>
      </c>
      <c r="F1071" s="1">
        <v>2.5499999999999998</v>
      </c>
      <c r="H1071" s="1" t="s">
        <v>10</v>
      </c>
      <c r="I1071" s="1">
        <f t="shared" si="4"/>
        <v>15.299999999999999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 x14ac:dyDescent="0.2">
      <c r="A1072" s="1">
        <v>489548</v>
      </c>
      <c r="B1072" s="1">
        <v>22303</v>
      </c>
      <c r="C1072" s="1" t="s">
        <v>479</v>
      </c>
      <c r="D1072" s="1">
        <v>6</v>
      </c>
      <c r="E1072" s="3">
        <v>40148.522222222222</v>
      </c>
      <c r="F1072" s="1">
        <v>2.5499999999999998</v>
      </c>
      <c r="H1072" s="1" t="s">
        <v>10</v>
      </c>
      <c r="I1072" s="1">
        <f t="shared" si="4"/>
        <v>15.299999999999999</v>
      </c>
      <c r="J1072" s="2"/>
      <c r="K1072" s="2"/>
      <c r="L1072" s="2"/>
      <c r="M1072" s="2"/>
      <c r="N1072" s="2"/>
      <c r="O1072" s="2"/>
      <c r="P1072" s="2"/>
      <c r="Q1072" s="2"/>
      <c r="R1072" s="2"/>
      <c r="S1072" s="2"/>
    </row>
    <row r="1073" spans="1:19" x14ac:dyDescent="0.2">
      <c r="A1073" s="1">
        <v>489548</v>
      </c>
      <c r="B1073" s="1">
        <v>21186</v>
      </c>
      <c r="C1073" s="1" t="s">
        <v>649</v>
      </c>
      <c r="D1073" s="1">
        <v>6</v>
      </c>
      <c r="E1073" s="3">
        <v>40148.522222222222</v>
      </c>
      <c r="F1073" s="1">
        <v>1.65</v>
      </c>
      <c r="H1073" s="1" t="s">
        <v>10</v>
      </c>
      <c r="I1073" s="1">
        <f t="shared" si="4"/>
        <v>9.8999999999999986</v>
      </c>
      <c r="J1073" s="2"/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 x14ac:dyDescent="0.2">
      <c r="A1074" s="1">
        <v>489548</v>
      </c>
      <c r="B1074" s="1">
        <v>22195</v>
      </c>
      <c r="C1074" s="1" t="s">
        <v>187</v>
      </c>
      <c r="D1074" s="1">
        <v>5</v>
      </c>
      <c r="E1074" s="3">
        <v>40148.522222222222</v>
      </c>
      <c r="F1074" s="1">
        <v>1.65</v>
      </c>
      <c r="H1074" s="1" t="s">
        <v>10</v>
      </c>
      <c r="I1074" s="1">
        <f t="shared" si="4"/>
        <v>8.25</v>
      </c>
      <c r="J1074" s="2"/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 x14ac:dyDescent="0.2">
      <c r="A1075" s="1">
        <v>489548</v>
      </c>
      <c r="B1075" s="1">
        <v>22080</v>
      </c>
      <c r="C1075" s="1" t="s">
        <v>428</v>
      </c>
      <c r="D1075" s="1">
        <v>5</v>
      </c>
      <c r="E1075" s="3">
        <v>40148.522222222222</v>
      </c>
      <c r="F1075" s="1">
        <v>1.65</v>
      </c>
      <c r="H1075" s="1" t="s">
        <v>10</v>
      </c>
      <c r="I1075" s="1">
        <f t="shared" si="4"/>
        <v>8.25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 x14ac:dyDescent="0.2">
      <c r="A1076" s="1">
        <v>489548</v>
      </c>
      <c r="B1076" s="1">
        <v>22273</v>
      </c>
      <c r="C1076" s="1" t="s">
        <v>242</v>
      </c>
      <c r="D1076" s="1">
        <v>3</v>
      </c>
      <c r="E1076" s="3">
        <v>40148.522222222222</v>
      </c>
      <c r="F1076" s="1">
        <v>2.95</v>
      </c>
      <c r="H1076" s="1" t="s">
        <v>10</v>
      </c>
      <c r="I1076" s="1">
        <f t="shared" si="4"/>
        <v>8.8500000000000014</v>
      </c>
      <c r="J1076" s="2"/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 x14ac:dyDescent="0.2">
      <c r="A1077" s="1">
        <v>489548</v>
      </c>
      <c r="B1077" s="1">
        <v>22138</v>
      </c>
      <c r="C1077" s="1" t="s">
        <v>109</v>
      </c>
      <c r="D1077" s="1">
        <v>3</v>
      </c>
      <c r="E1077" s="3">
        <v>40148.522222222222</v>
      </c>
      <c r="F1077" s="1">
        <v>4.95</v>
      </c>
      <c r="H1077" s="1" t="s">
        <v>10</v>
      </c>
      <c r="I1077" s="1">
        <f t="shared" si="4"/>
        <v>14.850000000000001</v>
      </c>
      <c r="J1077" s="2"/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 x14ac:dyDescent="0.2">
      <c r="A1078" s="1">
        <v>489548</v>
      </c>
      <c r="B1078" s="1">
        <v>22086</v>
      </c>
      <c r="C1078" s="1" t="s">
        <v>183</v>
      </c>
      <c r="D1078" s="1">
        <v>3</v>
      </c>
      <c r="E1078" s="3">
        <v>40148.522222222222</v>
      </c>
      <c r="F1078" s="1">
        <v>2.95</v>
      </c>
      <c r="H1078" s="1" t="s">
        <v>10</v>
      </c>
      <c r="I1078" s="1">
        <f t="shared" si="4"/>
        <v>8.8500000000000014</v>
      </c>
      <c r="J1078" s="2"/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 x14ac:dyDescent="0.2">
      <c r="A1079" s="1">
        <v>489548</v>
      </c>
      <c r="B1079" s="1">
        <v>21558</v>
      </c>
      <c r="C1079" s="1" t="s">
        <v>811</v>
      </c>
      <c r="D1079" s="1">
        <v>3</v>
      </c>
      <c r="E1079" s="3">
        <v>40148.522222222222</v>
      </c>
      <c r="F1079" s="1">
        <v>2.5499999999999998</v>
      </c>
      <c r="H1079" s="1" t="s">
        <v>10</v>
      </c>
      <c r="I1079" s="1">
        <f t="shared" si="4"/>
        <v>7.6499999999999995</v>
      </c>
      <c r="J1079" s="2"/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 x14ac:dyDescent="0.2">
      <c r="A1080" s="1">
        <v>489548</v>
      </c>
      <c r="B1080" s="1">
        <v>21004</v>
      </c>
      <c r="C1080" s="1" t="s">
        <v>591</v>
      </c>
      <c r="D1080" s="1">
        <v>3</v>
      </c>
      <c r="E1080" s="3">
        <v>40148.522222222222</v>
      </c>
      <c r="F1080" s="1">
        <v>4.25</v>
      </c>
      <c r="H1080" s="1" t="s">
        <v>10</v>
      </c>
      <c r="I1080" s="1">
        <f t="shared" si="4"/>
        <v>12.75</v>
      </c>
      <c r="J1080" s="2"/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 x14ac:dyDescent="0.2">
      <c r="A1081" s="1">
        <v>489548</v>
      </c>
      <c r="B1081" s="1">
        <v>20752</v>
      </c>
      <c r="C1081" s="1" t="s">
        <v>277</v>
      </c>
      <c r="D1081" s="1">
        <v>3</v>
      </c>
      <c r="E1081" s="3">
        <v>40148.522222222222</v>
      </c>
      <c r="F1081" s="1">
        <v>2.1</v>
      </c>
      <c r="H1081" s="1" t="s">
        <v>10</v>
      </c>
      <c r="I1081" s="1">
        <f t="shared" si="4"/>
        <v>6.3000000000000007</v>
      </c>
      <c r="J1081" s="2"/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 x14ac:dyDescent="0.2">
      <c r="A1082" s="1">
        <v>489548</v>
      </c>
      <c r="B1082" s="1">
        <v>21034</v>
      </c>
      <c r="C1082" s="1" t="s">
        <v>606</v>
      </c>
      <c r="D1082" s="1">
        <v>3</v>
      </c>
      <c r="E1082" s="3">
        <v>40148.522222222222</v>
      </c>
      <c r="F1082" s="1">
        <v>0.95</v>
      </c>
      <c r="H1082" s="1" t="s">
        <v>10</v>
      </c>
      <c r="I1082" s="1">
        <f t="shared" si="4"/>
        <v>2.8499999999999996</v>
      </c>
      <c r="J1082" s="2"/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 x14ac:dyDescent="0.2">
      <c r="A1083" s="1">
        <v>489548</v>
      </c>
      <c r="B1083" s="1">
        <v>22083</v>
      </c>
      <c r="C1083" s="1" t="s">
        <v>176</v>
      </c>
      <c r="D1083" s="1">
        <v>3</v>
      </c>
      <c r="E1083" s="3">
        <v>40148.522222222222</v>
      </c>
      <c r="F1083" s="1">
        <v>2.95</v>
      </c>
      <c r="H1083" s="1" t="s">
        <v>10</v>
      </c>
      <c r="I1083" s="1">
        <f t="shared" si="4"/>
        <v>8.8500000000000014</v>
      </c>
      <c r="J1083" s="2"/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 x14ac:dyDescent="0.2">
      <c r="A1084" s="1">
        <v>489548</v>
      </c>
      <c r="B1084" s="1">
        <v>22131</v>
      </c>
      <c r="C1084" s="1" t="s">
        <v>812</v>
      </c>
      <c r="D1084" s="1">
        <v>2</v>
      </c>
      <c r="E1084" s="3">
        <v>40148.522222222222</v>
      </c>
      <c r="F1084" s="1">
        <v>1.95</v>
      </c>
      <c r="H1084" s="1" t="s">
        <v>10</v>
      </c>
      <c r="I1084" s="1">
        <f t="shared" si="4"/>
        <v>3.9</v>
      </c>
      <c r="J1084" s="2"/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 x14ac:dyDescent="0.2">
      <c r="A1085" s="1">
        <v>489548</v>
      </c>
      <c r="B1085" s="1">
        <v>22147</v>
      </c>
      <c r="C1085" s="1" t="s">
        <v>657</v>
      </c>
      <c r="D1085" s="1">
        <v>2</v>
      </c>
      <c r="E1085" s="3">
        <v>40148.522222222222</v>
      </c>
      <c r="F1085" s="1">
        <v>1.45</v>
      </c>
      <c r="H1085" s="1" t="s">
        <v>10</v>
      </c>
      <c r="I1085" s="1">
        <f t="shared" si="4"/>
        <v>2.9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 x14ac:dyDescent="0.2">
      <c r="A1086" s="1">
        <v>489548</v>
      </c>
      <c r="B1086" s="1">
        <v>22142</v>
      </c>
      <c r="C1086" s="1" t="s">
        <v>28</v>
      </c>
      <c r="D1086" s="1">
        <v>2</v>
      </c>
      <c r="E1086" s="3">
        <v>40148.522222222222</v>
      </c>
      <c r="F1086" s="1">
        <v>1.45</v>
      </c>
      <c r="H1086" s="1" t="s">
        <v>10</v>
      </c>
      <c r="I1086" s="1">
        <f t="shared" si="4"/>
        <v>2.9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 x14ac:dyDescent="0.2">
      <c r="A1087" s="1">
        <v>489548</v>
      </c>
      <c r="B1087" s="1">
        <v>22150</v>
      </c>
      <c r="C1087" s="1" t="s">
        <v>656</v>
      </c>
      <c r="D1087" s="1">
        <v>2</v>
      </c>
      <c r="E1087" s="3">
        <v>40148.522222222222</v>
      </c>
      <c r="F1087" s="1">
        <v>1.95</v>
      </c>
      <c r="H1087" s="1" t="s">
        <v>10</v>
      </c>
      <c r="I1087" s="1">
        <f t="shared" si="4"/>
        <v>3.9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 x14ac:dyDescent="0.2">
      <c r="A1088" s="1">
        <v>489548</v>
      </c>
      <c r="B1088" s="1">
        <v>21559</v>
      </c>
      <c r="C1088" s="1" t="s">
        <v>813</v>
      </c>
      <c r="D1088" s="1">
        <v>2</v>
      </c>
      <c r="E1088" s="3">
        <v>40148.522222222222</v>
      </c>
      <c r="F1088" s="1">
        <v>2.5499999999999998</v>
      </c>
      <c r="H1088" s="1" t="s">
        <v>10</v>
      </c>
      <c r="I1088" s="1">
        <f t="shared" si="4"/>
        <v>5.0999999999999996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 x14ac:dyDescent="0.2">
      <c r="A1089" s="1">
        <v>489548</v>
      </c>
      <c r="B1089" s="1">
        <v>20754</v>
      </c>
      <c r="C1089" s="1" t="s">
        <v>152</v>
      </c>
      <c r="D1089" s="1">
        <v>2</v>
      </c>
      <c r="E1089" s="3">
        <v>40148.522222222222</v>
      </c>
      <c r="F1089" s="1">
        <v>2.1</v>
      </c>
      <c r="H1089" s="1" t="s">
        <v>10</v>
      </c>
      <c r="I1089" s="1">
        <f t="shared" si="4"/>
        <v>4.2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 x14ac:dyDescent="0.2">
      <c r="A1090" s="1">
        <v>489548</v>
      </c>
      <c r="B1090" s="1">
        <v>22281</v>
      </c>
      <c r="C1090" s="1" t="s">
        <v>814</v>
      </c>
      <c r="D1090" s="1">
        <v>2</v>
      </c>
      <c r="E1090" s="3">
        <v>40148.522222222222</v>
      </c>
      <c r="F1090" s="1">
        <v>5.95</v>
      </c>
      <c r="H1090" s="1" t="s">
        <v>10</v>
      </c>
      <c r="I1090" s="1">
        <f t="shared" si="4"/>
        <v>11.9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 x14ac:dyDescent="0.2">
      <c r="A1091" s="1">
        <v>489548</v>
      </c>
      <c r="B1091" s="1">
        <v>21187</v>
      </c>
      <c r="C1091" s="1" t="s">
        <v>815</v>
      </c>
      <c r="D1091" s="1">
        <v>2</v>
      </c>
      <c r="E1091" s="3">
        <v>40148.522222222222</v>
      </c>
      <c r="F1091" s="1">
        <v>1.65</v>
      </c>
      <c r="H1091" s="1" t="s">
        <v>10</v>
      </c>
      <c r="I1091" s="1">
        <f t="shared" si="4"/>
        <v>3.3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 x14ac:dyDescent="0.2">
      <c r="A1092" s="1">
        <v>489548</v>
      </c>
      <c r="B1092" s="1">
        <v>22271</v>
      </c>
      <c r="C1092" s="1" t="s">
        <v>59</v>
      </c>
      <c r="D1092" s="1">
        <v>1</v>
      </c>
      <c r="E1092" s="3">
        <v>40148.522222222222</v>
      </c>
      <c r="F1092" s="1">
        <v>2.95</v>
      </c>
      <c r="H1092" s="1" t="s">
        <v>10</v>
      </c>
      <c r="I1092" s="1">
        <f t="shared" si="4"/>
        <v>2.95</v>
      </c>
      <c r="J1092" s="2"/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 x14ac:dyDescent="0.2">
      <c r="A1093" s="1">
        <v>489548</v>
      </c>
      <c r="B1093" s="1">
        <v>22195</v>
      </c>
      <c r="C1093" s="1" t="s">
        <v>187</v>
      </c>
      <c r="D1093" s="1">
        <v>1</v>
      </c>
      <c r="E1093" s="3">
        <v>40148.522222222222</v>
      </c>
      <c r="F1093" s="1">
        <v>1.65</v>
      </c>
      <c r="H1093" s="1" t="s">
        <v>10</v>
      </c>
      <c r="I1093" s="1">
        <f t="shared" si="4"/>
        <v>1.65</v>
      </c>
      <c r="J1093" s="2"/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 x14ac:dyDescent="0.2">
      <c r="A1094" s="1">
        <v>489548</v>
      </c>
      <c r="B1094" s="1">
        <v>20804</v>
      </c>
      <c r="C1094" s="1" t="s">
        <v>816</v>
      </c>
      <c r="D1094" s="1">
        <v>1</v>
      </c>
      <c r="E1094" s="3">
        <v>40148.522222222222</v>
      </c>
      <c r="F1094" s="1">
        <v>1.65</v>
      </c>
      <c r="H1094" s="1" t="s">
        <v>10</v>
      </c>
      <c r="I1094" s="1">
        <f t="shared" si="4"/>
        <v>1.65</v>
      </c>
      <c r="J1094" s="2"/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 x14ac:dyDescent="0.2">
      <c r="A1095" s="1">
        <v>489548</v>
      </c>
      <c r="B1095" s="1">
        <v>21115</v>
      </c>
      <c r="C1095" s="1" t="s">
        <v>817</v>
      </c>
      <c r="D1095" s="1">
        <v>1</v>
      </c>
      <c r="E1095" s="3">
        <v>40148.522222222222</v>
      </c>
      <c r="F1095" s="1">
        <v>6.75</v>
      </c>
      <c r="H1095" s="1" t="s">
        <v>10</v>
      </c>
      <c r="I1095" s="1">
        <f t="shared" si="4"/>
        <v>6.75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 x14ac:dyDescent="0.2">
      <c r="A1096" s="1">
        <v>489548</v>
      </c>
      <c r="B1096" s="1">
        <v>22196</v>
      </c>
      <c r="C1096" s="1" t="s">
        <v>778</v>
      </c>
      <c r="D1096" s="1">
        <v>1</v>
      </c>
      <c r="E1096" s="3">
        <v>40148.522222222222</v>
      </c>
      <c r="F1096" s="1">
        <v>0.85</v>
      </c>
      <c r="H1096" s="1" t="s">
        <v>10</v>
      </c>
      <c r="I1096" s="1">
        <f t="shared" si="4"/>
        <v>0.85</v>
      </c>
      <c r="J1096" s="2"/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 x14ac:dyDescent="0.2">
      <c r="A1097" s="1">
        <v>489548</v>
      </c>
      <c r="B1097" s="1">
        <v>22196</v>
      </c>
      <c r="C1097" s="1" t="s">
        <v>778</v>
      </c>
      <c r="D1097" s="1">
        <v>1</v>
      </c>
      <c r="E1097" s="3">
        <v>40148.522222222222</v>
      </c>
      <c r="F1097" s="1">
        <v>0.85</v>
      </c>
      <c r="H1097" s="1" t="s">
        <v>10</v>
      </c>
      <c r="I1097" s="1">
        <f t="shared" si="4"/>
        <v>0.85</v>
      </c>
      <c r="J1097" s="2"/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 x14ac:dyDescent="0.2">
      <c r="A1098" s="1">
        <v>489548</v>
      </c>
      <c r="B1098" s="1">
        <v>85053</v>
      </c>
      <c r="C1098" s="1" t="s">
        <v>625</v>
      </c>
      <c r="D1098" s="1">
        <v>1</v>
      </c>
      <c r="E1098" s="3">
        <v>40148.522222222222</v>
      </c>
      <c r="F1098" s="1">
        <v>2.1</v>
      </c>
      <c r="H1098" s="1" t="s">
        <v>10</v>
      </c>
      <c r="I1098" s="1">
        <f t="shared" si="4"/>
        <v>2.1</v>
      </c>
      <c r="J1098" s="2"/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 x14ac:dyDescent="0.2">
      <c r="A1099" s="1">
        <v>489548</v>
      </c>
      <c r="B1099" s="1">
        <v>22352</v>
      </c>
      <c r="C1099" s="1" t="s">
        <v>105</v>
      </c>
      <c r="D1099" s="1">
        <v>1</v>
      </c>
      <c r="E1099" s="3">
        <v>40148.522222222222</v>
      </c>
      <c r="F1099" s="1">
        <v>2.5499999999999998</v>
      </c>
      <c r="H1099" s="1" t="s">
        <v>10</v>
      </c>
      <c r="I1099" s="1">
        <f t="shared" si="4"/>
        <v>2.5499999999999998</v>
      </c>
      <c r="J1099" s="2"/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 x14ac:dyDescent="0.2">
      <c r="A1100" s="1">
        <v>489548</v>
      </c>
      <c r="B1100" s="1">
        <v>85053</v>
      </c>
      <c r="C1100" s="1" t="s">
        <v>625</v>
      </c>
      <c r="D1100" s="1">
        <v>1</v>
      </c>
      <c r="E1100" s="3">
        <v>40148.522222222222</v>
      </c>
      <c r="F1100" s="1">
        <v>2.1</v>
      </c>
      <c r="H1100" s="1" t="s">
        <v>10</v>
      </c>
      <c r="I1100" s="1">
        <f t="shared" si="4"/>
        <v>2.1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 x14ac:dyDescent="0.2">
      <c r="A1101" s="1">
        <v>489548</v>
      </c>
      <c r="B1101" s="1">
        <v>21431</v>
      </c>
      <c r="C1101" s="1" t="s">
        <v>570</v>
      </c>
      <c r="D1101" s="1">
        <v>1</v>
      </c>
      <c r="E1101" s="3">
        <v>40148.522222222222</v>
      </c>
      <c r="F1101" s="1">
        <v>1.65</v>
      </c>
      <c r="H1101" s="1" t="s">
        <v>10</v>
      </c>
      <c r="I1101" s="1">
        <f t="shared" si="4"/>
        <v>1.65</v>
      </c>
      <c r="J1101" s="2"/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 x14ac:dyDescent="0.2">
      <c r="A1102" s="1">
        <v>489548</v>
      </c>
      <c r="B1102" s="1" t="s">
        <v>818</v>
      </c>
      <c r="C1102" s="1" t="s">
        <v>819</v>
      </c>
      <c r="D1102" s="1">
        <v>1</v>
      </c>
      <c r="E1102" s="3">
        <v>40148.522222222222</v>
      </c>
      <c r="F1102" s="1">
        <v>5.45</v>
      </c>
      <c r="H1102" s="1" t="s">
        <v>10</v>
      </c>
      <c r="I1102" s="1">
        <f t="shared" si="4"/>
        <v>5.45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 x14ac:dyDescent="0.2">
      <c r="A1103" s="1">
        <v>489548</v>
      </c>
      <c r="B1103" s="1">
        <v>22275</v>
      </c>
      <c r="C1103" s="1" t="s">
        <v>322</v>
      </c>
      <c r="D1103" s="1">
        <v>1</v>
      </c>
      <c r="E1103" s="3">
        <v>40148.522222222222</v>
      </c>
      <c r="F1103" s="1">
        <v>8.5</v>
      </c>
      <c r="H1103" s="1" t="s">
        <v>10</v>
      </c>
      <c r="I1103" s="1">
        <f t="shared" si="4"/>
        <v>8.5</v>
      </c>
      <c r="J1103" s="2"/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 x14ac:dyDescent="0.2">
      <c r="A1104" s="1">
        <v>489548</v>
      </c>
      <c r="B1104" s="1">
        <v>22276</v>
      </c>
      <c r="C1104" s="1" t="s">
        <v>385</v>
      </c>
      <c r="D1104" s="1">
        <v>1</v>
      </c>
      <c r="E1104" s="3">
        <v>40148.522222222222</v>
      </c>
      <c r="F1104" s="1">
        <v>2.5499999999999998</v>
      </c>
      <c r="H1104" s="1" t="s">
        <v>10</v>
      </c>
      <c r="I1104" s="1">
        <f t="shared" si="4"/>
        <v>2.5499999999999998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 x14ac:dyDescent="0.2">
      <c r="A1105" s="1">
        <v>489548</v>
      </c>
      <c r="B1105" s="1">
        <v>22276</v>
      </c>
      <c r="C1105" s="1" t="s">
        <v>385</v>
      </c>
      <c r="D1105" s="1">
        <v>1</v>
      </c>
      <c r="E1105" s="3">
        <v>40148.522222222222</v>
      </c>
      <c r="F1105" s="1">
        <v>2.5499999999999998</v>
      </c>
      <c r="H1105" s="1" t="s">
        <v>10</v>
      </c>
      <c r="I1105" s="1">
        <f t="shared" si="4"/>
        <v>2.5499999999999998</v>
      </c>
      <c r="J1105" s="2"/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 x14ac:dyDescent="0.2">
      <c r="A1106" s="1">
        <v>489548</v>
      </c>
      <c r="B1106" s="1">
        <v>20753</v>
      </c>
      <c r="C1106" s="1" t="s">
        <v>278</v>
      </c>
      <c r="D1106" s="1">
        <v>1</v>
      </c>
      <c r="E1106" s="3">
        <v>40148.522222222222</v>
      </c>
      <c r="F1106" s="1">
        <v>2.1</v>
      </c>
      <c r="H1106" s="1" t="s">
        <v>10</v>
      </c>
      <c r="I1106" s="1">
        <f t="shared" si="4"/>
        <v>2.1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 x14ac:dyDescent="0.2">
      <c r="A1107" s="1">
        <v>489548</v>
      </c>
      <c r="B1107" s="1">
        <v>21489</v>
      </c>
      <c r="C1107" s="1" t="s">
        <v>499</v>
      </c>
      <c r="D1107" s="1">
        <v>1</v>
      </c>
      <c r="E1107" s="3">
        <v>40148.522222222222</v>
      </c>
      <c r="F1107" s="1">
        <v>3.95</v>
      </c>
      <c r="H1107" s="1" t="s">
        <v>10</v>
      </c>
      <c r="I1107" s="1">
        <f t="shared" si="4"/>
        <v>3.95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 x14ac:dyDescent="0.2">
      <c r="A1108" s="1">
        <v>489548</v>
      </c>
      <c r="B1108" s="1">
        <v>21488</v>
      </c>
      <c r="C1108" s="1" t="s">
        <v>729</v>
      </c>
      <c r="D1108" s="1">
        <v>1</v>
      </c>
      <c r="E1108" s="3">
        <v>40148.522222222222</v>
      </c>
      <c r="F1108" s="1">
        <v>3.95</v>
      </c>
      <c r="H1108" s="1" t="s">
        <v>10</v>
      </c>
      <c r="I1108" s="1">
        <f t="shared" si="4"/>
        <v>3.95</v>
      </c>
      <c r="J1108" s="2"/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 x14ac:dyDescent="0.2">
      <c r="A1109" s="1">
        <v>489548</v>
      </c>
      <c r="B1109" s="1" t="s">
        <v>820</v>
      </c>
      <c r="C1109" s="1" t="s">
        <v>821</v>
      </c>
      <c r="D1109" s="1">
        <v>1</v>
      </c>
      <c r="E1109" s="3">
        <v>40148.522222222222</v>
      </c>
      <c r="F1109" s="1">
        <v>8.9499999999999993</v>
      </c>
      <c r="H1109" s="1" t="s">
        <v>10</v>
      </c>
      <c r="I1109" s="1">
        <f t="shared" si="4"/>
        <v>8.9499999999999993</v>
      </c>
      <c r="J1109" s="2"/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 x14ac:dyDescent="0.2">
      <c r="A1110" s="1">
        <v>489548</v>
      </c>
      <c r="B1110" s="1">
        <v>22271</v>
      </c>
      <c r="C1110" s="1" t="s">
        <v>59</v>
      </c>
      <c r="D1110" s="1">
        <v>1</v>
      </c>
      <c r="E1110" s="3">
        <v>40148.522222222222</v>
      </c>
      <c r="F1110" s="1">
        <v>2.95</v>
      </c>
      <c r="H1110" s="1" t="s">
        <v>10</v>
      </c>
      <c r="I1110" s="1">
        <f t="shared" si="4"/>
        <v>2.95</v>
      </c>
      <c r="J1110" s="2"/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 x14ac:dyDescent="0.2">
      <c r="A1111" s="1">
        <v>489548</v>
      </c>
      <c r="B1111" s="1">
        <v>22274</v>
      </c>
      <c r="C1111" s="1" t="s">
        <v>61</v>
      </c>
      <c r="D1111" s="1">
        <v>1</v>
      </c>
      <c r="E1111" s="3">
        <v>40148.522222222222</v>
      </c>
      <c r="F1111" s="1">
        <v>2.95</v>
      </c>
      <c r="H1111" s="1" t="s">
        <v>10</v>
      </c>
      <c r="I1111" s="1">
        <f t="shared" si="4"/>
        <v>2.95</v>
      </c>
      <c r="J1111" s="2"/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 x14ac:dyDescent="0.2">
      <c r="A1112" s="1">
        <v>489550</v>
      </c>
      <c r="B1112" s="1">
        <v>21977</v>
      </c>
      <c r="C1112" s="1" t="s">
        <v>239</v>
      </c>
      <c r="D1112" s="1">
        <v>48</v>
      </c>
      <c r="E1112" s="3">
        <v>40148.522916666669</v>
      </c>
      <c r="F1112" s="1">
        <v>0.55000000000000004</v>
      </c>
      <c r="G1112" s="1">
        <v>14156</v>
      </c>
      <c r="H1112" s="1" t="s">
        <v>418</v>
      </c>
      <c r="I1112" s="1">
        <f t="shared" si="4"/>
        <v>26.400000000000002</v>
      </c>
      <c r="J1112" s="2"/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 x14ac:dyDescent="0.2">
      <c r="A1113" s="1">
        <v>489550</v>
      </c>
      <c r="B1113" s="1">
        <v>84991</v>
      </c>
      <c r="C1113" s="1" t="s">
        <v>240</v>
      </c>
      <c r="D1113" s="1">
        <v>48</v>
      </c>
      <c r="E1113" s="3">
        <v>40148.522916666669</v>
      </c>
      <c r="F1113" s="1">
        <v>0.55000000000000004</v>
      </c>
      <c r="G1113" s="1">
        <v>14156</v>
      </c>
      <c r="H1113" s="1" t="s">
        <v>418</v>
      </c>
      <c r="I1113" s="1">
        <f t="shared" si="4"/>
        <v>26.400000000000002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 x14ac:dyDescent="0.2">
      <c r="A1114" s="1">
        <v>489550</v>
      </c>
      <c r="B1114" s="1">
        <v>21637</v>
      </c>
      <c r="C1114" s="1" t="s">
        <v>822</v>
      </c>
      <c r="D1114" s="1">
        <v>18</v>
      </c>
      <c r="E1114" s="3">
        <v>40148.522916666669</v>
      </c>
      <c r="F1114" s="1">
        <v>1.25</v>
      </c>
      <c r="G1114" s="1">
        <v>14156</v>
      </c>
      <c r="H1114" s="1" t="s">
        <v>418</v>
      </c>
      <c r="I1114" s="1">
        <f t="shared" si="4"/>
        <v>22.5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 x14ac:dyDescent="0.2">
      <c r="A1115" s="1">
        <v>489550</v>
      </c>
      <c r="B1115" s="1" t="s">
        <v>823</v>
      </c>
      <c r="C1115" s="1" t="s">
        <v>824</v>
      </c>
      <c r="D1115" s="1">
        <v>12</v>
      </c>
      <c r="E1115" s="3">
        <v>40148.522916666669</v>
      </c>
      <c r="F1115" s="1">
        <v>0.85</v>
      </c>
      <c r="G1115" s="1">
        <v>14156</v>
      </c>
      <c r="H1115" s="1" t="s">
        <v>418</v>
      </c>
      <c r="I1115" s="1">
        <f t="shared" si="4"/>
        <v>10.199999999999999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2"/>
    </row>
    <row r="1116" spans="1:19" x14ac:dyDescent="0.2">
      <c r="A1116" s="1">
        <v>489550</v>
      </c>
      <c r="B1116" s="1" t="s">
        <v>718</v>
      </c>
      <c r="C1116" s="1" t="s">
        <v>719</v>
      </c>
      <c r="D1116" s="1">
        <v>12</v>
      </c>
      <c r="E1116" s="3">
        <v>40148.522916666669</v>
      </c>
      <c r="F1116" s="1">
        <v>0.85</v>
      </c>
      <c r="G1116" s="1">
        <v>14156</v>
      </c>
      <c r="H1116" s="1" t="s">
        <v>418</v>
      </c>
      <c r="I1116" s="1">
        <f t="shared" si="4"/>
        <v>10.199999999999999</v>
      </c>
      <c r="J1116" s="2"/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 x14ac:dyDescent="0.2">
      <c r="A1117" s="1">
        <v>489550</v>
      </c>
      <c r="B1117" s="1" t="s">
        <v>488</v>
      </c>
      <c r="C1117" s="1" t="s">
        <v>489</v>
      </c>
      <c r="D1117" s="1">
        <v>12</v>
      </c>
      <c r="E1117" s="3">
        <v>40148.522916666669</v>
      </c>
      <c r="F1117" s="1">
        <v>1.25</v>
      </c>
      <c r="G1117" s="1">
        <v>14156</v>
      </c>
      <c r="H1117" s="1" t="s">
        <v>418</v>
      </c>
      <c r="I1117" s="1">
        <f t="shared" si="4"/>
        <v>15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 x14ac:dyDescent="0.2">
      <c r="A1118" s="1">
        <v>489550</v>
      </c>
      <c r="B1118" s="1" t="s">
        <v>825</v>
      </c>
      <c r="C1118" s="1" t="s">
        <v>826</v>
      </c>
      <c r="D1118" s="1">
        <v>12</v>
      </c>
      <c r="E1118" s="3">
        <v>40148.522916666669</v>
      </c>
      <c r="F1118" s="1">
        <v>1.25</v>
      </c>
      <c r="G1118" s="1">
        <v>14156</v>
      </c>
      <c r="H1118" s="1" t="s">
        <v>418</v>
      </c>
      <c r="I1118" s="1">
        <f t="shared" si="4"/>
        <v>15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 x14ac:dyDescent="0.2">
      <c r="A1119" s="1">
        <v>489550</v>
      </c>
      <c r="B1119" s="1" t="s">
        <v>827</v>
      </c>
      <c r="C1119" s="1" t="s">
        <v>828</v>
      </c>
      <c r="D1119" s="1">
        <v>12</v>
      </c>
      <c r="E1119" s="3">
        <v>40148.522916666669</v>
      </c>
      <c r="F1119" s="1">
        <v>1.25</v>
      </c>
      <c r="G1119" s="1">
        <v>14156</v>
      </c>
      <c r="H1119" s="1" t="s">
        <v>418</v>
      </c>
      <c r="I1119" s="1">
        <f t="shared" si="4"/>
        <v>15</v>
      </c>
      <c r="J1119" s="2"/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 x14ac:dyDescent="0.2">
      <c r="A1120" s="1">
        <v>489550</v>
      </c>
      <c r="B1120" s="1">
        <v>22276</v>
      </c>
      <c r="C1120" s="1" t="s">
        <v>385</v>
      </c>
      <c r="D1120" s="1">
        <v>6</v>
      </c>
      <c r="E1120" s="3">
        <v>40148.522916666669</v>
      </c>
      <c r="F1120" s="1">
        <v>2.5499999999999998</v>
      </c>
      <c r="G1120" s="1">
        <v>14156</v>
      </c>
      <c r="H1120" s="1" t="s">
        <v>418</v>
      </c>
      <c r="I1120" s="1">
        <f t="shared" si="4"/>
        <v>15.299999999999999</v>
      </c>
      <c r="J1120" s="2"/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 x14ac:dyDescent="0.2">
      <c r="A1121" s="1">
        <v>489550</v>
      </c>
      <c r="B1121" s="1">
        <v>21618</v>
      </c>
      <c r="C1121" s="1" t="s">
        <v>829</v>
      </c>
      <c r="D1121" s="1">
        <v>6</v>
      </c>
      <c r="E1121" s="3">
        <v>40148.522916666669</v>
      </c>
      <c r="F1121" s="1">
        <v>3.75</v>
      </c>
      <c r="G1121" s="1">
        <v>14156</v>
      </c>
      <c r="H1121" s="1" t="s">
        <v>418</v>
      </c>
      <c r="I1121" s="1">
        <f t="shared" si="4"/>
        <v>22.5</v>
      </c>
      <c r="J1121" s="2"/>
      <c r="K1121" s="2"/>
      <c r="L1121" s="2"/>
      <c r="M1121" s="2"/>
      <c r="N1121" s="2"/>
      <c r="O1121" s="2"/>
      <c r="P1121" s="2"/>
      <c r="Q1121" s="2"/>
      <c r="R1121" s="2"/>
      <c r="S1121" s="2"/>
    </row>
    <row r="1122" spans="1:19" x14ac:dyDescent="0.2">
      <c r="A1122" s="1">
        <v>489550</v>
      </c>
      <c r="B1122" s="1">
        <v>21615</v>
      </c>
      <c r="C1122" s="1" t="s">
        <v>830</v>
      </c>
      <c r="D1122" s="1">
        <v>6</v>
      </c>
      <c r="E1122" s="3">
        <v>40148.522916666669</v>
      </c>
      <c r="F1122" s="1">
        <v>3.75</v>
      </c>
      <c r="G1122" s="1">
        <v>14156</v>
      </c>
      <c r="H1122" s="1" t="s">
        <v>418</v>
      </c>
      <c r="I1122" s="1">
        <f t="shared" si="4"/>
        <v>22.5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 x14ac:dyDescent="0.2">
      <c r="A1123" s="1">
        <v>489550</v>
      </c>
      <c r="B1123" s="1">
        <v>21619</v>
      </c>
      <c r="C1123" s="1" t="s">
        <v>831</v>
      </c>
      <c r="D1123" s="1">
        <v>6</v>
      </c>
      <c r="E1123" s="3">
        <v>40148.522916666669</v>
      </c>
      <c r="F1123" s="1">
        <v>3.75</v>
      </c>
      <c r="G1123" s="1">
        <v>14156</v>
      </c>
      <c r="H1123" s="1" t="s">
        <v>418</v>
      </c>
      <c r="I1123" s="1">
        <f t="shared" si="4"/>
        <v>22.5</v>
      </c>
      <c r="J1123" s="2"/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 x14ac:dyDescent="0.2">
      <c r="A1124" s="1">
        <v>489550</v>
      </c>
      <c r="B1124" s="1">
        <v>21612</v>
      </c>
      <c r="C1124" s="1" t="s">
        <v>832</v>
      </c>
      <c r="D1124" s="1">
        <v>6</v>
      </c>
      <c r="E1124" s="3">
        <v>40148.522916666669</v>
      </c>
      <c r="F1124" s="1">
        <v>2.95</v>
      </c>
      <c r="G1124" s="1">
        <v>14156</v>
      </c>
      <c r="H1124" s="1" t="s">
        <v>418</v>
      </c>
      <c r="I1124" s="1">
        <f t="shared" si="4"/>
        <v>17.700000000000003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 x14ac:dyDescent="0.2">
      <c r="A1125" s="1">
        <v>489550</v>
      </c>
      <c r="B1125" s="1">
        <v>21175</v>
      </c>
      <c r="C1125" s="1" t="s">
        <v>487</v>
      </c>
      <c r="D1125" s="1">
        <v>6</v>
      </c>
      <c r="E1125" s="3">
        <v>40148.522916666669</v>
      </c>
      <c r="F1125" s="1">
        <v>2.1</v>
      </c>
      <c r="G1125" s="1">
        <v>14156</v>
      </c>
      <c r="H1125" s="1" t="s">
        <v>418</v>
      </c>
      <c r="I1125" s="1">
        <f t="shared" si="4"/>
        <v>12.600000000000001</v>
      </c>
      <c r="J1125" s="2"/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 x14ac:dyDescent="0.2">
      <c r="A1126" s="1">
        <v>489550</v>
      </c>
      <c r="B1126" s="1" t="s">
        <v>833</v>
      </c>
      <c r="C1126" s="1" t="s">
        <v>834</v>
      </c>
      <c r="D1126" s="1">
        <v>4</v>
      </c>
      <c r="E1126" s="3">
        <v>40148.522916666669</v>
      </c>
      <c r="F1126" s="1">
        <v>12.75</v>
      </c>
      <c r="G1126" s="1">
        <v>14156</v>
      </c>
      <c r="H1126" s="1" t="s">
        <v>418</v>
      </c>
      <c r="I1126" s="1">
        <f t="shared" si="4"/>
        <v>51</v>
      </c>
      <c r="J1126" s="2"/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 x14ac:dyDescent="0.2">
      <c r="A1127" s="1">
        <v>489550</v>
      </c>
      <c r="B1127" s="1" t="s">
        <v>282</v>
      </c>
      <c r="C1127" s="1" t="s">
        <v>283</v>
      </c>
      <c r="D1127" s="1">
        <v>4</v>
      </c>
      <c r="E1127" s="3">
        <v>40148.522916666669</v>
      </c>
      <c r="F1127" s="1">
        <v>9.9499999999999993</v>
      </c>
      <c r="G1127" s="1">
        <v>14156</v>
      </c>
      <c r="H1127" s="1" t="s">
        <v>418</v>
      </c>
      <c r="I1127" s="1">
        <f t="shared" si="4"/>
        <v>39.799999999999997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 x14ac:dyDescent="0.2">
      <c r="A1128" s="1">
        <v>489550</v>
      </c>
      <c r="B1128" s="1">
        <v>48187</v>
      </c>
      <c r="C1128" s="1" t="s">
        <v>439</v>
      </c>
      <c r="D1128" s="1">
        <v>2</v>
      </c>
      <c r="E1128" s="3">
        <v>40148.522916666669</v>
      </c>
      <c r="F1128" s="1">
        <v>6.75</v>
      </c>
      <c r="G1128" s="1">
        <v>14156</v>
      </c>
      <c r="H1128" s="1" t="s">
        <v>418</v>
      </c>
      <c r="I1128" s="1">
        <f t="shared" si="4"/>
        <v>13.5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 x14ac:dyDescent="0.2">
      <c r="A1129" s="1">
        <v>489550</v>
      </c>
      <c r="B1129" s="1">
        <v>21523</v>
      </c>
      <c r="C1129" s="1" t="s">
        <v>19</v>
      </c>
      <c r="D1129" s="1">
        <v>2</v>
      </c>
      <c r="E1129" s="3">
        <v>40148.522916666669</v>
      </c>
      <c r="F1129" s="1">
        <v>6.75</v>
      </c>
      <c r="G1129" s="1">
        <v>14156</v>
      </c>
      <c r="H1129" s="1" t="s">
        <v>418</v>
      </c>
      <c r="I1129" s="1">
        <f t="shared" si="4"/>
        <v>13.5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 x14ac:dyDescent="0.2">
      <c r="A1130" s="1">
        <v>489550</v>
      </c>
      <c r="B1130" s="1" t="s">
        <v>835</v>
      </c>
      <c r="C1130" s="1" t="s">
        <v>836</v>
      </c>
      <c r="D1130" s="1">
        <v>2</v>
      </c>
      <c r="E1130" s="3">
        <v>40148.522916666669</v>
      </c>
      <c r="F1130" s="1">
        <v>12.75</v>
      </c>
      <c r="G1130" s="1">
        <v>14156</v>
      </c>
      <c r="H1130" s="1" t="s">
        <v>418</v>
      </c>
      <c r="I1130" s="1">
        <f t="shared" si="4"/>
        <v>25.5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 x14ac:dyDescent="0.2">
      <c r="A1131" s="1">
        <v>489550</v>
      </c>
      <c r="B1131" s="1" t="s">
        <v>837</v>
      </c>
      <c r="C1131" s="1" t="s">
        <v>838</v>
      </c>
      <c r="D1131" s="1">
        <v>2</v>
      </c>
      <c r="E1131" s="3">
        <v>40148.522916666669</v>
      </c>
      <c r="F1131" s="1">
        <v>12.75</v>
      </c>
      <c r="G1131" s="1">
        <v>14156</v>
      </c>
      <c r="H1131" s="1" t="s">
        <v>418</v>
      </c>
      <c r="I1131" s="1">
        <f t="shared" si="4"/>
        <v>25.5</v>
      </c>
      <c r="J1131" s="2"/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 x14ac:dyDescent="0.2">
      <c r="A1132" s="1">
        <v>489550</v>
      </c>
      <c r="B1132" s="1">
        <v>21770</v>
      </c>
      <c r="C1132" s="1" t="s">
        <v>839</v>
      </c>
      <c r="D1132" s="1">
        <v>2</v>
      </c>
      <c r="E1132" s="3">
        <v>40148.522916666669</v>
      </c>
      <c r="F1132" s="1">
        <v>4.95</v>
      </c>
      <c r="G1132" s="1">
        <v>14156</v>
      </c>
      <c r="H1132" s="1" t="s">
        <v>418</v>
      </c>
      <c r="I1132" s="1">
        <f t="shared" si="4"/>
        <v>9.9</v>
      </c>
      <c r="J1132" s="2"/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 x14ac:dyDescent="0.2">
      <c r="A1133" s="1">
        <v>489550</v>
      </c>
      <c r="B1133" s="1">
        <v>20747</v>
      </c>
      <c r="C1133" s="1" t="s">
        <v>280</v>
      </c>
      <c r="D1133" s="1">
        <v>2</v>
      </c>
      <c r="E1133" s="3">
        <v>40148.522916666669</v>
      </c>
      <c r="F1133" s="1">
        <v>14.95</v>
      </c>
      <c r="G1133" s="1">
        <v>14156</v>
      </c>
      <c r="H1133" s="1" t="s">
        <v>418</v>
      </c>
      <c r="I1133" s="1">
        <f t="shared" si="4"/>
        <v>29.9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 x14ac:dyDescent="0.2">
      <c r="A1134" s="1">
        <v>489550</v>
      </c>
      <c r="B1134" s="1">
        <v>37500</v>
      </c>
      <c r="C1134" s="1" t="s">
        <v>840</v>
      </c>
      <c r="D1134" s="1">
        <v>2</v>
      </c>
      <c r="E1134" s="3">
        <v>40148.522916666669</v>
      </c>
      <c r="F1134" s="1">
        <v>9.9499999999999993</v>
      </c>
      <c r="G1134" s="1">
        <v>14156</v>
      </c>
      <c r="H1134" s="1" t="s">
        <v>418</v>
      </c>
      <c r="I1134" s="1">
        <f t="shared" si="4"/>
        <v>19.899999999999999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 x14ac:dyDescent="0.2">
      <c r="A1135" s="1" t="s">
        <v>841</v>
      </c>
      <c r="B1135" s="1">
        <v>35400</v>
      </c>
      <c r="C1135" s="1" t="s">
        <v>69</v>
      </c>
      <c r="D1135" s="1">
        <v>-2</v>
      </c>
      <c r="E1135" s="3">
        <v>40148.522916666669</v>
      </c>
      <c r="F1135" s="1">
        <v>7.95</v>
      </c>
      <c r="G1135" s="1">
        <v>13768</v>
      </c>
      <c r="H1135" s="1" t="s">
        <v>10</v>
      </c>
      <c r="I1135" s="1">
        <f t="shared" si="4"/>
        <v>-15.9</v>
      </c>
      <c r="J1135" s="2"/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 x14ac:dyDescent="0.2">
      <c r="A1136" s="1" t="s">
        <v>842</v>
      </c>
      <c r="B1136" s="1">
        <v>85048</v>
      </c>
      <c r="C1136" s="1" t="s">
        <v>14</v>
      </c>
      <c r="D1136" s="1">
        <v>-1</v>
      </c>
      <c r="E1136" s="3">
        <v>40148.524305555555</v>
      </c>
      <c r="F1136" s="1">
        <v>6.95</v>
      </c>
      <c r="G1136" s="1">
        <v>17641</v>
      </c>
      <c r="H1136" s="1" t="s">
        <v>10</v>
      </c>
      <c r="I1136" s="1">
        <f t="shared" si="4"/>
        <v>-6.95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 x14ac:dyDescent="0.2">
      <c r="A1137" s="1">
        <v>489552</v>
      </c>
      <c r="B1137" s="1">
        <v>22130</v>
      </c>
      <c r="C1137" s="1" t="s">
        <v>47</v>
      </c>
      <c r="D1137" s="1">
        <v>18</v>
      </c>
      <c r="E1137" s="3">
        <v>40148.525000000001</v>
      </c>
      <c r="F1137" s="1">
        <v>0.85</v>
      </c>
      <c r="G1137" s="1">
        <v>17063</v>
      </c>
      <c r="H1137" s="1" t="s">
        <v>10</v>
      </c>
      <c r="I1137" s="1">
        <f t="shared" si="4"/>
        <v>15.299999999999999</v>
      </c>
      <c r="J1137" s="2"/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 x14ac:dyDescent="0.2">
      <c r="A1138" s="1">
        <v>489552</v>
      </c>
      <c r="B1138" s="1">
        <v>21902</v>
      </c>
      <c r="C1138" s="1" t="s">
        <v>843</v>
      </c>
      <c r="D1138" s="1">
        <v>12</v>
      </c>
      <c r="E1138" s="3">
        <v>40148.525000000001</v>
      </c>
      <c r="F1138" s="1">
        <v>0.65</v>
      </c>
      <c r="G1138" s="1">
        <v>17063</v>
      </c>
      <c r="H1138" s="1" t="s">
        <v>10</v>
      </c>
      <c r="I1138" s="1">
        <f t="shared" si="4"/>
        <v>7.8000000000000007</v>
      </c>
      <c r="J1138" s="2"/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 x14ac:dyDescent="0.2">
      <c r="A1139" s="1">
        <v>489552</v>
      </c>
      <c r="B1139" s="1">
        <v>21901</v>
      </c>
      <c r="C1139" s="1" t="s">
        <v>844</v>
      </c>
      <c r="D1139" s="1">
        <v>10</v>
      </c>
      <c r="E1139" s="3">
        <v>40148.525000000001</v>
      </c>
      <c r="F1139" s="1">
        <v>0.65</v>
      </c>
      <c r="G1139" s="1">
        <v>17063</v>
      </c>
      <c r="H1139" s="1" t="s">
        <v>10</v>
      </c>
      <c r="I1139" s="1">
        <f t="shared" si="4"/>
        <v>6.5</v>
      </c>
      <c r="J1139" s="2"/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 x14ac:dyDescent="0.2">
      <c r="A1140" s="1">
        <v>489552</v>
      </c>
      <c r="B1140" s="1">
        <v>21900</v>
      </c>
      <c r="C1140" s="1" t="s">
        <v>845</v>
      </c>
      <c r="D1140" s="1">
        <v>10</v>
      </c>
      <c r="E1140" s="3">
        <v>40148.525000000001</v>
      </c>
      <c r="F1140" s="1">
        <v>0.65</v>
      </c>
      <c r="G1140" s="1">
        <v>17063</v>
      </c>
      <c r="H1140" s="1" t="s">
        <v>10</v>
      </c>
      <c r="I1140" s="1">
        <f t="shared" si="4"/>
        <v>6.5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 x14ac:dyDescent="0.2">
      <c r="A1141" s="1">
        <v>489552</v>
      </c>
      <c r="B1141" s="1">
        <v>21479</v>
      </c>
      <c r="C1141" s="1" t="s">
        <v>323</v>
      </c>
      <c r="D1141" s="1">
        <v>10</v>
      </c>
      <c r="E1141" s="3">
        <v>40148.525000000001</v>
      </c>
      <c r="F1141" s="1">
        <v>3.75</v>
      </c>
      <c r="G1141" s="1">
        <v>17063</v>
      </c>
      <c r="H1141" s="1" t="s">
        <v>10</v>
      </c>
      <c r="I1141" s="1">
        <f t="shared" si="4"/>
        <v>37.5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 x14ac:dyDescent="0.2">
      <c r="A1142" s="1">
        <v>489552</v>
      </c>
      <c r="B1142" s="1">
        <v>72756</v>
      </c>
      <c r="C1142" s="1" t="s">
        <v>247</v>
      </c>
      <c r="D1142" s="1">
        <v>9</v>
      </c>
      <c r="E1142" s="3">
        <v>40148.525000000001</v>
      </c>
      <c r="F1142" s="1">
        <v>1.49</v>
      </c>
      <c r="G1142" s="1">
        <v>17063</v>
      </c>
      <c r="H1142" s="1" t="s">
        <v>10</v>
      </c>
      <c r="I1142" s="1">
        <f t="shared" si="4"/>
        <v>13.41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 x14ac:dyDescent="0.2">
      <c r="A1143" s="1">
        <v>489552</v>
      </c>
      <c r="B1143" s="1">
        <v>22111</v>
      </c>
      <c r="C1143" s="1" t="s">
        <v>24</v>
      </c>
      <c r="D1143" s="1">
        <v>8</v>
      </c>
      <c r="E1143" s="3">
        <v>40148.525000000001</v>
      </c>
      <c r="F1143" s="1">
        <v>4.95</v>
      </c>
      <c r="G1143" s="1">
        <v>17063</v>
      </c>
      <c r="H1143" s="1" t="s">
        <v>10</v>
      </c>
      <c r="I1143" s="1">
        <f t="shared" si="4"/>
        <v>39.6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 x14ac:dyDescent="0.2">
      <c r="A1144" s="1">
        <v>489552</v>
      </c>
      <c r="B1144" s="1" t="s">
        <v>335</v>
      </c>
      <c r="C1144" s="1" t="s">
        <v>336</v>
      </c>
      <c r="D1144" s="1">
        <v>6</v>
      </c>
      <c r="E1144" s="3">
        <v>40148.525000000001</v>
      </c>
      <c r="F1144" s="1">
        <v>3.75</v>
      </c>
      <c r="G1144" s="1">
        <v>17063</v>
      </c>
      <c r="H1144" s="1" t="s">
        <v>10</v>
      </c>
      <c r="I1144" s="1">
        <f t="shared" si="4"/>
        <v>22.5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 x14ac:dyDescent="0.2">
      <c r="A1145" s="1">
        <v>489552</v>
      </c>
      <c r="B1145" s="1" t="s">
        <v>289</v>
      </c>
      <c r="C1145" s="1" t="s">
        <v>290</v>
      </c>
      <c r="D1145" s="1">
        <v>6</v>
      </c>
      <c r="E1145" s="3">
        <v>40148.525000000001</v>
      </c>
      <c r="F1145" s="1">
        <v>3.75</v>
      </c>
      <c r="G1145" s="1">
        <v>17063</v>
      </c>
      <c r="H1145" s="1" t="s">
        <v>10</v>
      </c>
      <c r="I1145" s="1">
        <f t="shared" si="4"/>
        <v>22.5</v>
      </c>
      <c r="J1145" s="2"/>
      <c r="K1145" s="2"/>
      <c r="L1145" s="2"/>
      <c r="M1145" s="2"/>
      <c r="N1145" s="2"/>
      <c r="O1145" s="2"/>
      <c r="P1145" s="2"/>
      <c r="Q1145" s="2"/>
      <c r="R1145" s="2"/>
      <c r="S1145" s="2"/>
    </row>
    <row r="1146" spans="1:19" x14ac:dyDescent="0.2">
      <c r="A1146" s="1">
        <v>489552</v>
      </c>
      <c r="B1146" s="1" t="s">
        <v>356</v>
      </c>
      <c r="C1146" s="1" t="s">
        <v>357</v>
      </c>
      <c r="D1146" s="1">
        <v>6</v>
      </c>
      <c r="E1146" s="3">
        <v>40148.525000000001</v>
      </c>
      <c r="F1146" s="1">
        <v>3.75</v>
      </c>
      <c r="G1146" s="1">
        <v>17063</v>
      </c>
      <c r="H1146" s="1" t="s">
        <v>10</v>
      </c>
      <c r="I1146" s="1">
        <f t="shared" si="4"/>
        <v>22.5</v>
      </c>
      <c r="J1146" s="2"/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 x14ac:dyDescent="0.2">
      <c r="A1147" s="1">
        <v>489552</v>
      </c>
      <c r="B1147" s="1" t="s">
        <v>291</v>
      </c>
      <c r="C1147" s="1" t="s">
        <v>292</v>
      </c>
      <c r="D1147" s="1">
        <v>6</v>
      </c>
      <c r="E1147" s="3">
        <v>40148.525000000001</v>
      </c>
      <c r="F1147" s="1">
        <v>3.75</v>
      </c>
      <c r="G1147" s="1">
        <v>17063</v>
      </c>
      <c r="H1147" s="1" t="s">
        <v>10</v>
      </c>
      <c r="I1147" s="1">
        <f t="shared" si="4"/>
        <v>22.5</v>
      </c>
      <c r="J1147" s="2"/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 x14ac:dyDescent="0.2">
      <c r="A1148" s="1">
        <v>489552</v>
      </c>
      <c r="B1148" s="1">
        <v>21162</v>
      </c>
      <c r="C1148" s="1" t="s">
        <v>255</v>
      </c>
      <c r="D1148" s="1">
        <v>4</v>
      </c>
      <c r="E1148" s="3">
        <v>40148.525000000001</v>
      </c>
      <c r="F1148" s="1">
        <v>1.45</v>
      </c>
      <c r="G1148" s="1">
        <v>17063</v>
      </c>
      <c r="H1148" s="1" t="s">
        <v>10</v>
      </c>
      <c r="I1148" s="1">
        <f t="shared" si="4"/>
        <v>5.8</v>
      </c>
      <c r="J1148" s="2"/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 x14ac:dyDescent="0.2">
      <c r="A1149" s="1">
        <v>489552</v>
      </c>
      <c r="B1149" s="1" t="s">
        <v>827</v>
      </c>
      <c r="C1149" s="1" t="s">
        <v>828</v>
      </c>
      <c r="D1149" s="1">
        <v>3</v>
      </c>
      <c r="E1149" s="3">
        <v>40148.525000000001</v>
      </c>
      <c r="F1149" s="1">
        <v>1.25</v>
      </c>
      <c r="G1149" s="1">
        <v>17063</v>
      </c>
      <c r="H1149" s="1" t="s">
        <v>10</v>
      </c>
      <c r="I1149" s="1">
        <f t="shared" si="4"/>
        <v>3.75</v>
      </c>
      <c r="J1149" s="2"/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 x14ac:dyDescent="0.2">
      <c r="A1150" s="1">
        <v>489552</v>
      </c>
      <c r="B1150" s="1">
        <v>21490</v>
      </c>
      <c r="C1150" s="1" t="s">
        <v>298</v>
      </c>
      <c r="D1150" s="1">
        <v>3</v>
      </c>
      <c r="E1150" s="3">
        <v>40148.525000000001</v>
      </c>
      <c r="F1150" s="1">
        <v>1.95</v>
      </c>
      <c r="G1150" s="1">
        <v>17063</v>
      </c>
      <c r="H1150" s="1" t="s">
        <v>10</v>
      </c>
      <c r="I1150" s="1">
        <f t="shared" si="4"/>
        <v>5.85</v>
      </c>
      <c r="J1150" s="2"/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 x14ac:dyDescent="0.2">
      <c r="A1151" s="1">
        <v>489552</v>
      </c>
      <c r="B1151" s="1">
        <v>22079</v>
      </c>
      <c r="C1151" s="1" t="s">
        <v>774</v>
      </c>
      <c r="D1151" s="1">
        <v>2</v>
      </c>
      <c r="E1151" s="3">
        <v>40148.525000000001</v>
      </c>
      <c r="F1151" s="1">
        <v>1.65</v>
      </c>
      <c r="G1151" s="1">
        <v>17063</v>
      </c>
      <c r="H1151" s="1" t="s">
        <v>10</v>
      </c>
      <c r="I1151" s="1">
        <f t="shared" si="4"/>
        <v>3.3</v>
      </c>
      <c r="J1151" s="2"/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 x14ac:dyDescent="0.2">
      <c r="A1152" s="1">
        <v>489552</v>
      </c>
      <c r="B1152" s="1">
        <v>21223</v>
      </c>
      <c r="C1152" s="1" t="s">
        <v>846</v>
      </c>
      <c r="D1152" s="1">
        <v>2</v>
      </c>
      <c r="E1152" s="3">
        <v>40148.525000000001</v>
      </c>
      <c r="F1152" s="1">
        <v>1.25</v>
      </c>
      <c r="G1152" s="1">
        <v>17063</v>
      </c>
      <c r="H1152" s="1" t="s">
        <v>10</v>
      </c>
      <c r="I1152" s="1">
        <f t="shared" si="4"/>
        <v>2.5</v>
      </c>
      <c r="J1152" s="2"/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 x14ac:dyDescent="0.2">
      <c r="A1153" s="1">
        <v>489552</v>
      </c>
      <c r="B1153" s="1" t="s">
        <v>614</v>
      </c>
      <c r="C1153" s="1" t="s">
        <v>615</v>
      </c>
      <c r="D1153" s="1">
        <v>2</v>
      </c>
      <c r="E1153" s="3">
        <v>40148.525000000001</v>
      </c>
      <c r="F1153" s="1">
        <v>1.25</v>
      </c>
      <c r="G1153" s="1">
        <v>17063</v>
      </c>
      <c r="H1153" s="1" t="s">
        <v>10</v>
      </c>
      <c r="I1153" s="1">
        <f t="shared" si="4"/>
        <v>2.5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 x14ac:dyDescent="0.2">
      <c r="A1154" s="1">
        <v>489552</v>
      </c>
      <c r="B1154" s="1">
        <v>22086</v>
      </c>
      <c r="C1154" s="1" t="s">
        <v>183</v>
      </c>
      <c r="D1154" s="1">
        <v>2</v>
      </c>
      <c r="E1154" s="3">
        <v>40148.525000000001</v>
      </c>
      <c r="F1154" s="1">
        <v>2.95</v>
      </c>
      <c r="G1154" s="1">
        <v>17063</v>
      </c>
      <c r="H1154" s="1" t="s">
        <v>10</v>
      </c>
      <c r="I1154" s="1">
        <f t="shared" si="4"/>
        <v>5.9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 x14ac:dyDescent="0.2">
      <c r="A1155" s="1">
        <v>489552</v>
      </c>
      <c r="B1155" s="1">
        <v>22271</v>
      </c>
      <c r="C1155" s="1" t="s">
        <v>59</v>
      </c>
      <c r="D1155" s="1">
        <v>2</v>
      </c>
      <c r="E1155" s="3">
        <v>40148.525000000001</v>
      </c>
      <c r="F1155" s="1">
        <v>2.95</v>
      </c>
      <c r="G1155" s="1">
        <v>17063</v>
      </c>
      <c r="H1155" s="1" t="s">
        <v>10</v>
      </c>
      <c r="I1155" s="1">
        <f t="shared" si="4"/>
        <v>5.9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 x14ac:dyDescent="0.2">
      <c r="A1156" s="1">
        <v>489552</v>
      </c>
      <c r="B1156" s="1">
        <v>22273</v>
      </c>
      <c r="C1156" s="1" t="s">
        <v>242</v>
      </c>
      <c r="D1156" s="1">
        <v>2</v>
      </c>
      <c r="E1156" s="3">
        <v>40148.525000000001</v>
      </c>
      <c r="F1156" s="1">
        <v>2.95</v>
      </c>
      <c r="G1156" s="1">
        <v>17063</v>
      </c>
      <c r="H1156" s="1" t="s">
        <v>10</v>
      </c>
      <c r="I1156" s="1">
        <f t="shared" si="4"/>
        <v>5.9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 x14ac:dyDescent="0.2">
      <c r="A1157" s="1">
        <v>489552</v>
      </c>
      <c r="B1157" s="1">
        <v>22272</v>
      </c>
      <c r="C1157" s="1" t="s">
        <v>60</v>
      </c>
      <c r="D1157" s="1">
        <v>2</v>
      </c>
      <c r="E1157" s="3">
        <v>40148.525000000001</v>
      </c>
      <c r="F1157" s="1">
        <v>2.95</v>
      </c>
      <c r="G1157" s="1">
        <v>17063</v>
      </c>
      <c r="H1157" s="1" t="s">
        <v>10</v>
      </c>
      <c r="I1157" s="1">
        <f t="shared" si="4"/>
        <v>5.9</v>
      </c>
      <c r="J1157" s="2"/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 x14ac:dyDescent="0.2">
      <c r="A1158" s="1">
        <v>489552</v>
      </c>
      <c r="B1158" s="1">
        <v>35400</v>
      </c>
      <c r="C1158" s="1" t="s">
        <v>69</v>
      </c>
      <c r="D1158" s="1">
        <v>1</v>
      </c>
      <c r="E1158" s="3">
        <v>40148.525000000001</v>
      </c>
      <c r="F1158" s="1">
        <v>8.9499999999999993</v>
      </c>
      <c r="G1158" s="1">
        <v>17063</v>
      </c>
      <c r="H1158" s="1" t="s">
        <v>10</v>
      </c>
      <c r="I1158" s="1">
        <f t="shared" si="4"/>
        <v>8.9499999999999993</v>
      </c>
      <c r="J1158" s="2"/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 x14ac:dyDescent="0.2">
      <c r="A1159" s="1">
        <v>489552</v>
      </c>
      <c r="B1159" s="1" t="s">
        <v>847</v>
      </c>
      <c r="C1159" s="1" t="s">
        <v>848</v>
      </c>
      <c r="D1159" s="1">
        <v>1</v>
      </c>
      <c r="E1159" s="3">
        <v>40148.525000000001</v>
      </c>
      <c r="F1159" s="1">
        <v>1.25</v>
      </c>
      <c r="G1159" s="1">
        <v>17063</v>
      </c>
      <c r="H1159" s="1" t="s">
        <v>10</v>
      </c>
      <c r="I1159" s="1">
        <f t="shared" si="4"/>
        <v>1.25</v>
      </c>
      <c r="J1159" s="2"/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 x14ac:dyDescent="0.2">
      <c r="A1160" s="1">
        <v>489552</v>
      </c>
      <c r="B1160" s="1">
        <v>21576</v>
      </c>
      <c r="C1160" s="1" t="s">
        <v>849</v>
      </c>
      <c r="D1160" s="1">
        <v>1</v>
      </c>
      <c r="E1160" s="3">
        <v>40148.525000000001</v>
      </c>
      <c r="F1160" s="1">
        <v>2.25</v>
      </c>
      <c r="G1160" s="1">
        <v>17063</v>
      </c>
      <c r="H1160" s="1" t="s">
        <v>10</v>
      </c>
      <c r="I1160" s="1">
        <f t="shared" si="4"/>
        <v>2.25</v>
      </c>
      <c r="J1160" s="2"/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 x14ac:dyDescent="0.2">
      <c r="A1161" s="1">
        <v>489552</v>
      </c>
      <c r="B1161" s="1">
        <v>21580</v>
      </c>
      <c r="C1161" s="1" t="s">
        <v>850</v>
      </c>
      <c r="D1161" s="1">
        <v>1</v>
      </c>
      <c r="E1161" s="3">
        <v>40148.525000000001</v>
      </c>
      <c r="F1161" s="1">
        <v>2.25</v>
      </c>
      <c r="G1161" s="1">
        <v>17063</v>
      </c>
      <c r="H1161" s="1" t="s">
        <v>10</v>
      </c>
      <c r="I1161" s="1">
        <f t="shared" si="4"/>
        <v>2.25</v>
      </c>
      <c r="J1161" s="2"/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 x14ac:dyDescent="0.2">
      <c r="A1162" s="1" t="s">
        <v>851</v>
      </c>
      <c r="B1162" s="1" t="s">
        <v>852</v>
      </c>
      <c r="C1162" s="1" t="s">
        <v>853</v>
      </c>
      <c r="D1162" s="1">
        <v>-1</v>
      </c>
      <c r="E1162" s="3">
        <v>40148.52847222222</v>
      </c>
      <c r="F1162" s="1">
        <v>6.35</v>
      </c>
      <c r="G1162" s="1">
        <v>13545</v>
      </c>
      <c r="H1162" s="1" t="s">
        <v>10</v>
      </c>
      <c r="I1162" s="1">
        <f t="shared" si="4"/>
        <v>-6.35</v>
      </c>
      <c r="J1162" s="2"/>
      <c r="K1162" s="2"/>
      <c r="L1162" s="2"/>
      <c r="M1162" s="2"/>
      <c r="N1162" s="2"/>
      <c r="O1162" s="2"/>
      <c r="P1162" s="2"/>
      <c r="Q1162" s="2"/>
      <c r="R1162" s="2"/>
      <c r="S1162" s="2"/>
    </row>
    <row r="1163" spans="1:19" x14ac:dyDescent="0.2">
      <c r="A1163" s="1" t="s">
        <v>851</v>
      </c>
      <c r="B1163" s="1" t="s">
        <v>854</v>
      </c>
      <c r="C1163" s="1" t="s">
        <v>855</v>
      </c>
      <c r="D1163" s="1">
        <v>-6</v>
      </c>
      <c r="E1163" s="3">
        <v>40148.52847222222</v>
      </c>
      <c r="F1163" s="1">
        <v>3.49</v>
      </c>
      <c r="G1163" s="1">
        <v>13545</v>
      </c>
      <c r="H1163" s="1" t="s">
        <v>10</v>
      </c>
      <c r="I1163" s="1">
        <f t="shared" si="4"/>
        <v>-20.94</v>
      </c>
      <c r="J1163" s="2"/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 x14ac:dyDescent="0.2">
      <c r="A1164" s="1" t="s">
        <v>856</v>
      </c>
      <c r="B1164" s="1" t="s">
        <v>857</v>
      </c>
      <c r="C1164" s="1" t="s">
        <v>858</v>
      </c>
      <c r="D1164" s="1">
        <v>-2</v>
      </c>
      <c r="E1164" s="3">
        <v>40148.529861111114</v>
      </c>
      <c r="F1164" s="1">
        <v>2.95</v>
      </c>
      <c r="G1164" s="1">
        <v>13767</v>
      </c>
      <c r="H1164" s="1" t="s">
        <v>10</v>
      </c>
      <c r="I1164" s="1">
        <f t="shared" si="4"/>
        <v>-5.9</v>
      </c>
      <c r="J1164" s="2"/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 x14ac:dyDescent="0.2">
      <c r="A1165" s="1" t="s">
        <v>856</v>
      </c>
      <c r="B1165" s="1">
        <v>85042</v>
      </c>
      <c r="C1165" s="1" t="s">
        <v>270</v>
      </c>
      <c r="D1165" s="1">
        <v>-3</v>
      </c>
      <c r="E1165" s="3">
        <v>40148.529861111114</v>
      </c>
      <c r="F1165" s="1">
        <v>4.25</v>
      </c>
      <c r="G1165" s="1">
        <v>13767</v>
      </c>
      <c r="H1165" s="1" t="s">
        <v>10</v>
      </c>
      <c r="I1165" s="1">
        <f t="shared" si="4"/>
        <v>-12.75</v>
      </c>
      <c r="J1165" s="2"/>
      <c r="K1165" s="2"/>
      <c r="L1165" s="2"/>
      <c r="M1165" s="2"/>
      <c r="N1165" s="2"/>
      <c r="O1165" s="2"/>
      <c r="P1165" s="2"/>
      <c r="Q1165" s="2"/>
      <c r="R1165" s="2"/>
      <c r="S1165" s="2"/>
    </row>
    <row r="1166" spans="1:19" x14ac:dyDescent="0.2">
      <c r="A1166" s="1" t="s">
        <v>859</v>
      </c>
      <c r="B1166" s="1">
        <v>21260</v>
      </c>
      <c r="C1166" s="1" t="s">
        <v>860</v>
      </c>
      <c r="D1166" s="1">
        <v>-6</v>
      </c>
      <c r="E1166" s="3">
        <v>40148.530555555553</v>
      </c>
      <c r="F1166" s="1">
        <v>3.25</v>
      </c>
      <c r="G1166" s="1">
        <v>16955</v>
      </c>
      <c r="H1166" s="1" t="s">
        <v>10</v>
      </c>
      <c r="I1166" s="1">
        <f t="shared" si="4"/>
        <v>-19.5</v>
      </c>
      <c r="J1166" s="2"/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 x14ac:dyDescent="0.2">
      <c r="A1167" s="1">
        <v>489556</v>
      </c>
      <c r="B1167" s="1">
        <v>21212</v>
      </c>
      <c r="C1167" s="1" t="s">
        <v>253</v>
      </c>
      <c r="D1167" s="1">
        <v>24</v>
      </c>
      <c r="E1167" s="3">
        <v>40148.532638888886</v>
      </c>
      <c r="F1167" s="1">
        <v>0.55000000000000004</v>
      </c>
      <c r="G1167" s="1">
        <v>15719</v>
      </c>
      <c r="H1167" s="1" t="s">
        <v>10</v>
      </c>
      <c r="I1167" s="1">
        <f t="shared" si="4"/>
        <v>13.200000000000001</v>
      </c>
      <c r="J1167" s="2"/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 x14ac:dyDescent="0.2">
      <c r="A1168" s="1">
        <v>489556</v>
      </c>
      <c r="B1168" s="1">
        <v>21114</v>
      </c>
      <c r="C1168" s="1" t="s">
        <v>861</v>
      </c>
      <c r="D1168" s="1">
        <v>15</v>
      </c>
      <c r="E1168" s="3">
        <v>40148.532638888886</v>
      </c>
      <c r="F1168" s="1">
        <v>1.25</v>
      </c>
      <c r="G1168" s="1">
        <v>15719</v>
      </c>
      <c r="H1168" s="1" t="s">
        <v>10</v>
      </c>
      <c r="I1168" s="1">
        <f t="shared" si="4"/>
        <v>18.75</v>
      </c>
      <c r="J1168" s="2"/>
      <c r="K1168" s="2"/>
      <c r="L1168" s="2"/>
      <c r="M1168" s="2"/>
      <c r="N1168" s="2"/>
      <c r="O1168" s="2"/>
      <c r="P1168" s="2"/>
      <c r="Q1168" s="2"/>
      <c r="R1168" s="2"/>
      <c r="S1168" s="2"/>
    </row>
    <row r="1169" spans="1:19" x14ac:dyDescent="0.2">
      <c r="A1169" s="1">
        <v>489556</v>
      </c>
      <c r="B1169" s="1">
        <v>20975</v>
      </c>
      <c r="C1169" s="1" t="s">
        <v>638</v>
      </c>
      <c r="D1169" s="1">
        <v>8</v>
      </c>
      <c r="E1169" s="3">
        <v>40148.532638888886</v>
      </c>
      <c r="F1169" s="1">
        <v>0.65</v>
      </c>
      <c r="G1169" s="1">
        <v>15719</v>
      </c>
      <c r="H1169" s="1" t="s">
        <v>10</v>
      </c>
      <c r="I1169" s="1">
        <f t="shared" si="4"/>
        <v>5.2</v>
      </c>
      <c r="J1169" s="2"/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 x14ac:dyDescent="0.2">
      <c r="A1170" s="1">
        <v>489556</v>
      </c>
      <c r="B1170" s="1">
        <v>21493</v>
      </c>
      <c r="C1170" s="1" t="s">
        <v>107</v>
      </c>
      <c r="D1170" s="1">
        <v>8</v>
      </c>
      <c r="E1170" s="3">
        <v>40148.532638888886</v>
      </c>
      <c r="F1170" s="1">
        <v>0.85</v>
      </c>
      <c r="G1170" s="1">
        <v>15719</v>
      </c>
      <c r="H1170" s="1" t="s">
        <v>10</v>
      </c>
      <c r="I1170" s="1">
        <f t="shared" si="4"/>
        <v>6.8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 x14ac:dyDescent="0.2">
      <c r="A1171" s="1">
        <v>489556</v>
      </c>
      <c r="B1171" s="1">
        <v>21876</v>
      </c>
      <c r="C1171" s="1" t="s">
        <v>345</v>
      </c>
      <c r="D1171" s="1">
        <v>6</v>
      </c>
      <c r="E1171" s="3">
        <v>40148.532638888886</v>
      </c>
      <c r="F1171" s="1">
        <v>1.25</v>
      </c>
      <c r="G1171" s="1">
        <v>15719</v>
      </c>
      <c r="H1171" s="1" t="s">
        <v>10</v>
      </c>
      <c r="I1171" s="1">
        <f t="shared" si="4"/>
        <v>7.5</v>
      </c>
      <c r="J1171" s="2"/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 x14ac:dyDescent="0.2">
      <c r="A1172" s="1">
        <v>489556</v>
      </c>
      <c r="B1172" s="1">
        <v>84946</v>
      </c>
      <c r="C1172" s="1" t="s">
        <v>208</v>
      </c>
      <c r="D1172" s="1">
        <v>6</v>
      </c>
      <c r="E1172" s="3">
        <v>40148.532638888886</v>
      </c>
      <c r="F1172" s="1">
        <v>1.25</v>
      </c>
      <c r="G1172" s="1">
        <v>15719</v>
      </c>
      <c r="H1172" s="1" t="s">
        <v>10</v>
      </c>
      <c r="I1172" s="1">
        <f t="shared" si="4"/>
        <v>7.5</v>
      </c>
      <c r="J1172" s="2"/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 x14ac:dyDescent="0.2">
      <c r="A1173" s="1">
        <v>489556</v>
      </c>
      <c r="B1173" s="1">
        <v>21491</v>
      </c>
      <c r="C1173" s="1" t="s">
        <v>112</v>
      </c>
      <c r="D1173" s="1">
        <v>6</v>
      </c>
      <c r="E1173" s="3">
        <v>40148.532638888886</v>
      </c>
      <c r="F1173" s="1">
        <v>1.95</v>
      </c>
      <c r="G1173" s="1">
        <v>15719</v>
      </c>
      <c r="H1173" s="1" t="s">
        <v>10</v>
      </c>
      <c r="I1173" s="1">
        <f t="shared" si="4"/>
        <v>11.7</v>
      </c>
      <c r="J1173" s="2"/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 x14ac:dyDescent="0.2">
      <c r="A1174" s="1">
        <v>489556</v>
      </c>
      <c r="B1174" s="1">
        <v>22082</v>
      </c>
      <c r="C1174" s="1" t="s">
        <v>429</v>
      </c>
      <c r="D1174" s="1">
        <v>5</v>
      </c>
      <c r="E1174" s="3">
        <v>40148.532638888886</v>
      </c>
      <c r="F1174" s="1">
        <v>1.65</v>
      </c>
      <c r="G1174" s="1">
        <v>15719</v>
      </c>
      <c r="H1174" s="1" t="s">
        <v>10</v>
      </c>
      <c r="I1174" s="1">
        <f t="shared" si="4"/>
        <v>8.25</v>
      </c>
      <c r="J1174" s="2"/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 x14ac:dyDescent="0.2">
      <c r="A1175" s="1">
        <v>489556</v>
      </c>
      <c r="B1175" s="1">
        <v>20979</v>
      </c>
      <c r="C1175" s="1" t="s">
        <v>862</v>
      </c>
      <c r="D1175" s="1">
        <v>4</v>
      </c>
      <c r="E1175" s="3">
        <v>40148.532638888886</v>
      </c>
      <c r="F1175" s="1">
        <v>1.25</v>
      </c>
      <c r="G1175" s="1">
        <v>15719</v>
      </c>
      <c r="H1175" s="1" t="s">
        <v>10</v>
      </c>
      <c r="I1175" s="1">
        <f t="shared" si="4"/>
        <v>5</v>
      </c>
      <c r="J1175" s="2"/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 x14ac:dyDescent="0.2">
      <c r="A1176" s="1">
        <v>489556</v>
      </c>
      <c r="B1176" s="1">
        <v>82482</v>
      </c>
      <c r="C1176" s="1" t="s">
        <v>863</v>
      </c>
      <c r="D1176" s="1">
        <v>4</v>
      </c>
      <c r="E1176" s="3">
        <v>40148.532638888886</v>
      </c>
      <c r="F1176" s="1">
        <v>2.5499999999999998</v>
      </c>
      <c r="G1176" s="1">
        <v>15719</v>
      </c>
      <c r="H1176" s="1" t="s">
        <v>10</v>
      </c>
      <c r="I1176" s="1">
        <f t="shared" si="4"/>
        <v>10.199999999999999</v>
      </c>
      <c r="J1176" s="2"/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 x14ac:dyDescent="0.2">
      <c r="A1177" s="1">
        <v>489556</v>
      </c>
      <c r="B1177" s="1">
        <v>85152</v>
      </c>
      <c r="C1177" s="1" t="s">
        <v>389</v>
      </c>
      <c r="D1177" s="1">
        <v>4</v>
      </c>
      <c r="E1177" s="3">
        <v>40148.532638888886</v>
      </c>
      <c r="F1177" s="1">
        <v>2.1</v>
      </c>
      <c r="G1177" s="1">
        <v>15719</v>
      </c>
      <c r="H1177" s="1" t="s">
        <v>10</v>
      </c>
      <c r="I1177" s="1">
        <f t="shared" si="4"/>
        <v>8.4</v>
      </c>
      <c r="J1177" s="2"/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 x14ac:dyDescent="0.2">
      <c r="A1178" s="1">
        <v>489556</v>
      </c>
      <c r="B1178" s="1">
        <v>21480</v>
      </c>
      <c r="C1178" s="1" t="s">
        <v>664</v>
      </c>
      <c r="D1178" s="1">
        <v>4</v>
      </c>
      <c r="E1178" s="3">
        <v>40148.532638888886</v>
      </c>
      <c r="F1178" s="1">
        <v>2.95</v>
      </c>
      <c r="G1178" s="1">
        <v>15719</v>
      </c>
      <c r="H1178" s="1" t="s">
        <v>10</v>
      </c>
      <c r="I1178" s="1">
        <f t="shared" si="4"/>
        <v>11.8</v>
      </c>
      <c r="J1178" s="2"/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 x14ac:dyDescent="0.2">
      <c r="A1179" s="1">
        <v>489556</v>
      </c>
      <c r="B1179" s="1">
        <v>35971</v>
      </c>
      <c r="C1179" s="1" t="s">
        <v>864</v>
      </c>
      <c r="D1179" s="1">
        <v>4</v>
      </c>
      <c r="E1179" s="3">
        <v>40148.532638888886</v>
      </c>
      <c r="F1179" s="1">
        <v>1.25</v>
      </c>
      <c r="G1179" s="1">
        <v>15719</v>
      </c>
      <c r="H1179" s="1" t="s">
        <v>10</v>
      </c>
      <c r="I1179" s="1">
        <f t="shared" si="4"/>
        <v>5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 x14ac:dyDescent="0.2">
      <c r="A1180" s="1">
        <v>489556</v>
      </c>
      <c r="B1180" s="1">
        <v>20974</v>
      </c>
      <c r="C1180" s="1" t="s">
        <v>865</v>
      </c>
      <c r="D1180" s="1">
        <v>3</v>
      </c>
      <c r="E1180" s="3">
        <v>40148.532638888886</v>
      </c>
      <c r="F1180" s="1">
        <v>0.65</v>
      </c>
      <c r="G1180" s="1">
        <v>15719</v>
      </c>
      <c r="H1180" s="1" t="s">
        <v>10</v>
      </c>
      <c r="I1180" s="1">
        <f t="shared" si="4"/>
        <v>1.9500000000000002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 x14ac:dyDescent="0.2">
      <c r="A1181" s="1">
        <v>489556</v>
      </c>
      <c r="B1181" s="1" t="s">
        <v>142</v>
      </c>
      <c r="C1181" s="1" t="s">
        <v>143</v>
      </c>
      <c r="D1181" s="1">
        <v>3</v>
      </c>
      <c r="E1181" s="3">
        <v>40148.532638888886</v>
      </c>
      <c r="F1181" s="1">
        <v>2.95</v>
      </c>
      <c r="G1181" s="1">
        <v>15719</v>
      </c>
      <c r="H1181" s="1" t="s">
        <v>10</v>
      </c>
      <c r="I1181" s="1">
        <f t="shared" si="4"/>
        <v>8.8500000000000014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 x14ac:dyDescent="0.2">
      <c r="A1182" s="1">
        <v>489556</v>
      </c>
      <c r="B1182" s="1">
        <v>20718</v>
      </c>
      <c r="C1182" s="1" t="s">
        <v>537</v>
      </c>
      <c r="D1182" s="1">
        <v>3</v>
      </c>
      <c r="E1182" s="3">
        <v>40148.532638888886</v>
      </c>
      <c r="F1182" s="1">
        <v>1.25</v>
      </c>
      <c r="G1182" s="1">
        <v>15719</v>
      </c>
      <c r="H1182" s="1" t="s">
        <v>10</v>
      </c>
      <c r="I1182" s="1">
        <f t="shared" si="4"/>
        <v>3.75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 x14ac:dyDescent="0.2">
      <c r="A1183" s="1">
        <v>489556</v>
      </c>
      <c r="B1183" s="1">
        <v>21490</v>
      </c>
      <c r="C1183" s="1" t="s">
        <v>298</v>
      </c>
      <c r="D1183" s="1">
        <v>3</v>
      </c>
      <c r="E1183" s="3">
        <v>40148.532638888886</v>
      </c>
      <c r="F1183" s="1">
        <v>1.95</v>
      </c>
      <c r="G1183" s="1">
        <v>15719</v>
      </c>
      <c r="H1183" s="1" t="s">
        <v>10</v>
      </c>
      <c r="I1183" s="1">
        <f t="shared" si="4"/>
        <v>5.85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</row>
    <row r="1184" spans="1:19" x14ac:dyDescent="0.2">
      <c r="A1184" s="1">
        <v>489556</v>
      </c>
      <c r="B1184" s="1">
        <v>20866</v>
      </c>
      <c r="C1184" s="1" t="s">
        <v>866</v>
      </c>
      <c r="D1184" s="1">
        <v>2</v>
      </c>
      <c r="E1184" s="3">
        <v>40148.532638888886</v>
      </c>
      <c r="F1184" s="1">
        <v>1.25</v>
      </c>
      <c r="G1184" s="1">
        <v>15719</v>
      </c>
      <c r="H1184" s="1" t="s">
        <v>10</v>
      </c>
      <c r="I1184" s="1">
        <f t="shared" si="4"/>
        <v>2.5</v>
      </c>
      <c r="J1184" s="2"/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 x14ac:dyDescent="0.2">
      <c r="A1185" s="1">
        <v>489556</v>
      </c>
      <c r="B1185" s="1">
        <v>20867</v>
      </c>
      <c r="C1185" s="1" t="s">
        <v>867</v>
      </c>
      <c r="D1185" s="1">
        <v>2</v>
      </c>
      <c r="E1185" s="3">
        <v>40148.532638888886</v>
      </c>
      <c r="F1185" s="1">
        <v>1.25</v>
      </c>
      <c r="G1185" s="1">
        <v>15719</v>
      </c>
      <c r="H1185" s="1" t="s">
        <v>10</v>
      </c>
      <c r="I1185" s="1">
        <f t="shared" si="4"/>
        <v>2.5</v>
      </c>
      <c r="J1185" s="2"/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 x14ac:dyDescent="0.2">
      <c r="A1186" s="1">
        <v>489556</v>
      </c>
      <c r="B1186" s="1">
        <v>20983</v>
      </c>
      <c r="C1186" s="1" t="s">
        <v>868</v>
      </c>
      <c r="D1186" s="1">
        <v>2</v>
      </c>
      <c r="E1186" s="3">
        <v>40148.532638888886</v>
      </c>
      <c r="F1186" s="1">
        <v>0.85</v>
      </c>
      <c r="G1186" s="1">
        <v>15719</v>
      </c>
      <c r="H1186" s="1" t="s">
        <v>10</v>
      </c>
      <c r="I1186" s="1">
        <f t="shared" si="4"/>
        <v>1.7</v>
      </c>
      <c r="J1186" s="2"/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 x14ac:dyDescent="0.2">
      <c r="A1187" s="1">
        <v>489556</v>
      </c>
      <c r="B1187" s="1">
        <v>20977</v>
      </c>
      <c r="C1187" s="1" t="s">
        <v>869</v>
      </c>
      <c r="D1187" s="1">
        <v>2</v>
      </c>
      <c r="E1187" s="3">
        <v>40148.532638888886</v>
      </c>
      <c r="F1187" s="1">
        <v>1.25</v>
      </c>
      <c r="G1187" s="1">
        <v>15719</v>
      </c>
      <c r="H1187" s="1" t="s">
        <v>10</v>
      </c>
      <c r="I1187" s="1">
        <f t="shared" si="4"/>
        <v>2.5</v>
      </c>
      <c r="J1187" s="2"/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 x14ac:dyDescent="0.2">
      <c r="A1188" s="1">
        <v>489556</v>
      </c>
      <c r="B1188" s="1">
        <v>20977</v>
      </c>
      <c r="C1188" s="1" t="s">
        <v>869</v>
      </c>
      <c r="D1188" s="1">
        <v>2</v>
      </c>
      <c r="E1188" s="3">
        <v>40148.532638888886</v>
      </c>
      <c r="F1188" s="1">
        <v>1.25</v>
      </c>
      <c r="G1188" s="1">
        <v>15719</v>
      </c>
      <c r="H1188" s="1" t="s">
        <v>10</v>
      </c>
      <c r="I1188" s="1">
        <f t="shared" si="4"/>
        <v>2.5</v>
      </c>
      <c r="J1188" s="2"/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 x14ac:dyDescent="0.2">
      <c r="A1189" s="1">
        <v>489556</v>
      </c>
      <c r="B1189" s="1" t="s">
        <v>282</v>
      </c>
      <c r="C1189" s="1" t="s">
        <v>283</v>
      </c>
      <c r="D1189" s="1">
        <v>2</v>
      </c>
      <c r="E1189" s="3">
        <v>40148.532638888886</v>
      </c>
      <c r="F1189" s="1">
        <v>9.9499999999999993</v>
      </c>
      <c r="G1189" s="1">
        <v>15719</v>
      </c>
      <c r="H1189" s="1" t="s">
        <v>10</v>
      </c>
      <c r="I1189" s="1">
        <f t="shared" si="4"/>
        <v>19.899999999999999</v>
      </c>
      <c r="J1189" s="2"/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 x14ac:dyDescent="0.2">
      <c r="A1190" s="1">
        <v>489556</v>
      </c>
      <c r="B1190" s="1">
        <v>22189</v>
      </c>
      <c r="C1190" s="1" t="s">
        <v>711</v>
      </c>
      <c r="D1190" s="1">
        <v>2</v>
      </c>
      <c r="E1190" s="3">
        <v>40148.532638888886</v>
      </c>
      <c r="F1190" s="1">
        <v>3.95</v>
      </c>
      <c r="G1190" s="1">
        <v>15719</v>
      </c>
      <c r="H1190" s="1" t="s">
        <v>10</v>
      </c>
      <c r="I1190" s="1">
        <f t="shared" si="4"/>
        <v>7.9</v>
      </c>
      <c r="J1190" s="2"/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 x14ac:dyDescent="0.2">
      <c r="A1191" s="1">
        <v>489556</v>
      </c>
      <c r="B1191" s="1">
        <v>21217</v>
      </c>
      <c r="C1191" s="1" t="s">
        <v>186</v>
      </c>
      <c r="D1191" s="1">
        <v>2</v>
      </c>
      <c r="E1191" s="3">
        <v>40148.532638888886</v>
      </c>
      <c r="F1191" s="1">
        <v>9.9499999999999993</v>
      </c>
      <c r="G1191" s="1">
        <v>15719</v>
      </c>
      <c r="H1191" s="1" t="s">
        <v>10</v>
      </c>
      <c r="I1191" s="1">
        <f t="shared" si="4"/>
        <v>19.899999999999999</v>
      </c>
      <c r="J1191" s="2"/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 x14ac:dyDescent="0.2">
      <c r="A1192" s="1">
        <v>489556</v>
      </c>
      <c r="B1192" s="1">
        <v>21875</v>
      </c>
      <c r="C1192" s="1" t="s">
        <v>501</v>
      </c>
      <c r="D1192" s="1">
        <v>2</v>
      </c>
      <c r="E1192" s="3">
        <v>40148.532638888886</v>
      </c>
      <c r="F1192" s="1">
        <v>1.25</v>
      </c>
      <c r="G1192" s="1">
        <v>15719</v>
      </c>
      <c r="H1192" s="1" t="s">
        <v>10</v>
      </c>
      <c r="I1192" s="1">
        <f t="shared" si="4"/>
        <v>2.5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 x14ac:dyDescent="0.2">
      <c r="A1193" s="1">
        <v>489556</v>
      </c>
      <c r="B1193" s="1">
        <v>35971</v>
      </c>
      <c r="C1193" s="1" t="s">
        <v>864</v>
      </c>
      <c r="D1193" s="1">
        <v>2</v>
      </c>
      <c r="E1193" s="3">
        <v>40148.532638888886</v>
      </c>
      <c r="F1193" s="1">
        <v>1.25</v>
      </c>
      <c r="G1193" s="1">
        <v>15719</v>
      </c>
      <c r="H1193" s="1" t="s">
        <v>10</v>
      </c>
      <c r="I1193" s="1">
        <f t="shared" si="4"/>
        <v>2.5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 x14ac:dyDescent="0.2">
      <c r="A1194" s="1">
        <v>489556</v>
      </c>
      <c r="B1194" s="1">
        <v>22143</v>
      </c>
      <c r="C1194" s="1" t="s">
        <v>55</v>
      </c>
      <c r="D1194" s="1">
        <v>2</v>
      </c>
      <c r="E1194" s="3">
        <v>40148.532638888886</v>
      </c>
      <c r="F1194" s="1">
        <v>2.1</v>
      </c>
      <c r="G1194" s="1">
        <v>15719</v>
      </c>
      <c r="H1194" s="1" t="s">
        <v>10</v>
      </c>
      <c r="I1194" s="1">
        <f t="shared" si="4"/>
        <v>4.2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 x14ac:dyDescent="0.2">
      <c r="A1195" s="1">
        <v>489556</v>
      </c>
      <c r="B1195" s="1">
        <v>21740</v>
      </c>
      <c r="C1195" s="1" t="s">
        <v>870</v>
      </c>
      <c r="D1195" s="1">
        <v>2</v>
      </c>
      <c r="E1195" s="3">
        <v>40148.532638888886</v>
      </c>
      <c r="F1195" s="1">
        <v>2.95</v>
      </c>
      <c r="G1195" s="1">
        <v>15719</v>
      </c>
      <c r="H1195" s="1" t="s">
        <v>10</v>
      </c>
      <c r="I1195" s="1">
        <f t="shared" si="4"/>
        <v>5.9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 x14ac:dyDescent="0.2">
      <c r="A1196" s="1">
        <v>489556</v>
      </c>
      <c r="B1196" s="1">
        <v>22195</v>
      </c>
      <c r="C1196" s="1" t="s">
        <v>187</v>
      </c>
      <c r="D1196" s="1">
        <v>2</v>
      </c>
      <c r="E1196" s="3">
        <v>40148.532638888886</v>
      </c>
      <c r="F1196" s="1">
        <v>1.65</v>
      </c>
      <c r="G1196" s="1">
        <v>15719</v>
      </c>
      <c r="H1196" s="1" t="s">
        <v>10</v>
      </c>
      <c r="I1196" s="1">
        <f t="shared" si="4"/>
        <v>3.3</v>
      </c>
      <c r="J1196" s="2"/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 x14ac:dyDescent="0.2">
      <c r="A1197" s="1">
        <v>489556</v>
      </c>
      <c r="B1197" s="1">
        <v>21738</v>
      </c>
      <c r="C1197" s="1" t="s">
        <v>871</v>
      </c>
      <c r="D1197" s="1">
        <v>2</v>
      </c>
      <c r="E1197" s="3">
        <v>40148.532638888886</v>
      </c>
      <c r="F1197" s="1">
        <v>2.95</v>
      </c>
      <c r="G1197" s="1">
        <v>15719</v>
      </c>
      <c r="H1197" s="1" t="s">
        <v>10</v>
      </c>
      <c r="I1197" s="1">
        <f t="shared" si="4"/>
        <v>5.9</v>
      </c>
      <c r="J1197" s="2"/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 x14ac:dyDescent="0.2">
      <c r="A1198" s="1">
        <v>489556</v>
      </c>
      <c r="B1198" s="1">
        <v>22280</v>
      </c>
      <c r="C1198" s="1" t="s">
        <v>872</v>
      </c>
      <c r="D1198" s="1">
        <v>2</v>
      </c>
      <c r="E1198" s="3">
        <v>40148.532638888886</v>
      </c>
      <c r="F1198" s="1">
        <v>2.1</v>
      </c>
      <c r="G1198" s="1">
        <v>15719</v>
      </c>
      <c r="H1198" s="1" t="s">
        <v>10</v>
      </c>
      <c r="I1198" s="1">
        <f t="shared" si="4"/>
        <v>4.2</v>
      </c>
      <c r="J1198" s="2"/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 x14ac:dyDescent="0.2">
      <c r="A1199" s="1">
        <v>489556</v>
      </c>
      <c r="B1199" s="1">
        <v>21841</v>
      </c>
      <c r="C1199" s="1" t="s">
        <v>873</v>
      </c>
      <c r="D1199" s="1">
        <v>2</v>
      </c>
      <c r="E1199" s="3">
        <v>40148.532638888886</v>
      </c>
      <c r="F1199" s="1">
        <v>4.25</v>
      </c>
      <c r="G1199" s="1">
        <v>15719</v>
      </c>
      <c r="H1199" s="1" t="s">
        <v>10</v>
      </c>
      <c r="I1199" s="1">
        <f t="shared" si="4"/>
        <v>8.5</v>
      </c>
      <c r="J1199" s="2"/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 x14ac:dyDescent="0.2">
      <c r="A1200" s="1">
        <v>489556</v>
      </c>
      <c r="B1200" s="1">
        <v>21004</v>
      </c>
      <c r="C1200" s="1" t="s">
        <v>591</v>
      </c>
      <c r="D1200" s="1">
        <v>2</v>
      </c>
      <c r="E1200" s="3">
        <v>40148.532638888886</v>
      </c>
      <c r="F1200" s="1">
        <v>4.25</v>
      </c>
      <c r="G1200" s="1">
        <v>15719</v>
      </c>
      <c r="H1200" s="1" t="s">
        <v>10</v>
      </c>
      <c r="I1200" s="1">
        <f t="shared" si="4"/>
        <v>8.5</v>
      </c>
      <c r="J1200" s="2"/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 x14ac:dyDescent="0.2">
      <c r="A1201" s="1">
        <v>489556</v>
      </c>
      <c r="B1201" s="1">
        <v>21252</v>
      </c>
      <c r="C1201" s="1" t="s">
        <v>94</v>
      </c>
      <c r="D1201" s="1">
        <v>2</v>
      </c>
      <c r="E1201" s="3">
        <v>40148.532638888886</v>
      </c>
      <c r="F1201" s="1">
        <v>2.95</v>
      </c>
      <c r="G1201" s="1">
        <v>15719</v>
      </c>
      <c r="H1201" s="1" t="s">
        <v>10</v>
      </c>
      <c r="I1201" s="1">
        <f t="shared" si="4"/>
        <v>5.9</v>
      </c>
      <c r="J1201" s="2"/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 x14ac:dyDescent="0.2">
      <c r="A1202" s="1">
        <v>489556</v>
      </c>
      <c r="B1202" s="1" t="s">
        <v>612</v>
      </c>
      <c r="C1202" s="1" t="s">
        <v>613</v>
      </c>
      <c r="D1202" s="1">
        <v>2</v>
      </c>
      <c r="E1202" s="3">
        <v>40148.532638888886</v>
      </c>
      <c r="F1202" s="1">
        <v>0.85</v>
      </c>
      <c r="G1202" s="1">
        <v>15719</v>
      </c>
      <c r="H1202" s="1" t="s">
        <v>10</v>
      </c>
      <c r="I1202" s="1">
        <f t="shared" si="4"/>
        <v>1.7</v>
      </c>
      <c r="J1202" s="2"/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 x14ac:dyDescent="0.2">
      <c r="A1203" s="1">
        <v>489556</v>
      </c>
      <c r="B1203" s="1">
        <v>21174</v>
      </c>
      <c r="C1203" s="1" t="s">
        <v>514</v>
      </c>
      <c r="D1203" s="1">
        <v>2</v>
      </c>
      <c r="E1203" s="3">
        <v>40148.532638888886</v>
      </c>
      <c r="F1203" s="1">
        <v>1.95</v>
      </c>
      <c r="G1203" s="1">
        <v>15719</v>
      </c>
      <c r="H1203" s="1" t="s">
        <v>10</v>
      </c>
      <c r="I1203" s="1">
        <f t="shared" si="4"/>
        <v>3.9</v>
      </c>
      <c r="J1203" s="2"/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 x14ac:dyDescent="0.2">
      <c r="A1204" s="1">
        <v>489556</v>
      </c>
      <c r="B1204" s="1">
        <v>82486</v>
      </c>
      <c r="C1204" s="1" t="s">
        <v>267</v>
      </c>
      <c r="D1204" s="1">
        <v>2</v>
      </c>
      <c r="E1204" s="3">
        <v>40148.532638888886</v>
      </c>
      <c r="F1204" s="1">
        <v>7.95</v>
      </c>
      <c r="G1204" s="1">
        <v>15719</v>
      </c>
      <c r="H1204" s="1" t="s">
        <v>10</v>
      </c>
      <c r="I1204" s="1">
        <f t="shared" si="4"/>
        <v>15.9</v>
      </c>
      <c r="J1204" s="2"/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 x14ac:dyDescent="0.2">
      <c r="A1205" s="1">
        <v>489556</v>
      </c>
      <c r="B1205" s="1">
        <v>20685</v>
      </c>
      <c r="C1205" s="1" t="s">
        <v>505</v>
      </c>
      <c r="D1205" s="1">
        <v>2</v>
      </c>
      <c r="E1205" s="3">
        <v>40148.532638888886</v>
      </c>
      <c r="F1205" s="1">
        <v>6.75</v>
      </c>
      <c r="G1205" s="1">
        <v>15719</v>
      </c>
      <c r="H1205" s="1" t="s">
        <v>10</v>
      </c>
      <c r="I1205" s="1">
        <f t="shared" si="4"/>
        <v>13.5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 x14ac:dyDescent="0.2">
      <c r="A1206" s="1">
        <v>489556</v>
      </c>
      <c r="B1206" s="1">
        <v>21493</v>
      </c>
      <c r="C1206" s="1" t="s">
        <v>107</v>
      </c>
      <c r="D1206" s="1">
        <v>2</v>
      </c>
      <c r="E1206" s="3">
        <v>40148.532638888886</v>
      </c>
      <c r="F1206" s="1">
        <v>0.85</v>
      </c>
      <c r="G1206" s="1">
        <v>15719</v>
      </c>
      <c r="H1206" s="1" t="s">
        <v>10</v>
      </c>
      <c r="I1206" s="1">
        <f t="shared" si="4"/>
        <v>1.7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 x14ac:dyDescent="0.2">
      <c r="A1207" s="1">
        <v>489556</v>
      </c>
      <c r="B1207" s="1">
        <v>21481</v>
      </c>
      <c r="C1207" s="1" t="s">
        <v>279</v>
      </c>
      <c r="D1207" s="1">
        <v>2</v>
      </c>
      <c r="E1207" s="3">
        <v>40148.532638888886</v>
      </c>
      <c r="F1207" s="1">
        <v>2.95</v>
      </c>
      <c r="G1207" s="1">
        <v>15719</v>
      </c>
      <c r="H1207" s="1" t="s">
        <v>10</v>
      </c>
      <c r="I1207" s="1">
        <f t="shared" si="4"/>
        <v>5.9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2"/>
    </row>
    <row r="1208" spans="1:19" x14ac:dyDescent="0.2">
      <c r="A1208" s="1">
        <v>489556</v>
      </c>
      <c r="B1208" s="1">
        <v>20981</v>
      </c>
      <c r="C1208" s="1" t="s">
        <v>874</v>
      </c>
      <c r="D1208" s="1">
        <v>1</v>
      </c>
      <c r="E1208" s="3">
        <v>40148.532638888886</v>
      </c>
      <c r="F1208" s="1">
        <v>0.85</v>
      </c>
      <c r="G1208" s="1">
        <v>15719</v>
      </c>
      <c r="H1208" s="1" t="s">
        <v>10</v>
      </c>
      <c r="I1208" s="1">
        <f t="shared" si="4"/>
        <v>0.85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 x14ac:dyDescent="0.2">
      <c r="A1209" s="1">
        <v>489556</v>
      </c>
      <c r="B1209" s="1">
        <v>10135</v>
      </c>
      <c r="C1209" s="1" t="s">
        <v>450</v>
      </c>
      <c r="D1209" s="1">
        <v>1</v>
      </c>
      <c r="E1209" s="3">
        <v>40148.532638888886</v>
      </c>
      <c r="F1209" s="1">
        <v>1.25</v>
      </c>
      <c r="G1209" s="1">
        <v>15719</v>
      </c>
      <c r="H1209" s="1" t="s">
        <v>10</v>
      </c>
      <c r="I1209" s="1">
        <f t="shared" si="4"/>
        <v>1.25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 x14ac:dyDescent="0.2">
      <c r="A1210" s="1">
        <v>489556</v>
      </c>
      <c r="B1210" s="1" t="s">
        <v>875</v>
      </c>
      <c r="C1210" s="1" t="s">
        <v>876</v>
      </c>
      <c r="D1210" s="1">
        <v>1</v>
      </c>
      <c r="E1210" s="3">
        <v>40148.532638888886</v>
      </c>
      <c r="F1210" s="1">
        <v>4.95</v>
      </c>
      <c r="G1210" s="1">
        <v>15719</v>
      </c>
      <c r="H1210" s="1" t="s">
        <v>10</v>
      </c>
      <c r="I1210" s="1">
        <f t="shared" si="4"/>
        <v>4.95</v>
      </c>
      <c r="J1210" s="2"/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 x14ac:dyDescent="0.2">
      <c r="A1211" s="1">
        <v>489556</v>
      </c>
      <c r="B1211" s="1">
        <v>20972</v>
      </c>
      <c r="C1211" s="1" t="s">
        <v>297</v>
      </c>
      <c r="D1211" s="1">
        <v>1</v>
      </c>
      <c r="E1211" s="3">
        <v>40148.532638888886</v>
      </c>
      <c r="F1211" s="1">
        <v>1.25</v>
      </c>
      <c r="G1211" s="1">
        <v>15719</v>
      </c>
      <c r="H1211" s="1" t="s">
        <v>10</v>
      </c>
      <c r="I1211" s="1">
        <f t="shared" si="4"/>
        <v>1.25</v>
      </c>
      <c r="J1211" s="2"/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 x14ac:dyDescent="0.2">
      <c r="A1212" s="1">
        <v>489556</v>
      </c>
      <c r="B1212" s="1">
        <v>22138</v>
      </c>
      <c r="C1212" s="1" t="s">
        <v>109</v>
      </c>
      <c r="D1212" s="1">
        <v>1</v>
      </c>
      <c r="E1212" s="3">
        <v>40148.532638888886</v>
      </c>
      <c r="F1212" s="1">
        <v>4.95</v>
      </c>
      <c r="G1212" s="1">
        <v>15719</v>
      </c>
      <c r="H1212" s="1" t="s">
        <v>10</v>
      </c>
      <c r="I1212" s="1">
        <f t="shared" si="4"/>
        <v>4.95</v>
      </c>
      <c r="J1212" s="2"/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 x14ac:dyDescent="0.2">
      <c r="A1213" s="1">
        <v>489556</v>
      </c>
      <c r="B1213" s="1">
        <v>21486</v>
      </c>
      <c r="C1213" s="1" t="s">
        <v>738</v>
      </c>
      <c r="D1213" s="1">
        <v>1</v>
      </c>
      <c r="E1213" s="3">
        <v>40148.532638888886</v>
      </c>
      <c r="F1213" s="1">
        <v>3.75</v>
      </c>
      <c r="G1213" s="1">
        <v>15719</v>
      </c>
      <c r="H1213" s="1" t="s">
        <v>10</v>
      </c>
      <c r="I1213" s="1">
        <f t="shared" si="4"/>
        <v>3.75</v>
      </c>
      <c r="J1213" s="2"/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 x14ac:dyDescent="0.2">
      <c r="A1214" s="1">
        <v>489556</v>
      </c>
      <c r="B1214" s="1">
        <v>21485</v>
      </c>
      <c r="C1214" s="1" t="s">
        <v>185</v>
      </c>
      <c r="D1214" s="1">
        <v>1</v>
      </c>
      <c r="E1214" s="3">
        <v>40148.532638888886</v>
      </c>
      <c r="F1214" s="1">
        <v>4.95</v>
      </c>
      <c r="G1214" s="1">
        <v>15719</v>
      </c>
      <c r="H1214" s="1" t="s">
        <v>10</v>
      </c>
      <c r="I1214" s="1">
        <f t="shared" si="4"/>
        <v>4.95</v>
      </c>
      <c r="J1214" s="2"/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 x14ac:dyDescent="0.2">
      <c r="A1215" s="1">
        <v>489556</v>
      </c>
      <c r="B1215" s="1">
        <v>22125</v>
      </c>
      <c r="C1215" s="1" t="s">
        <v>181</v>
      </c>
      <c r="D1215" s="1">
        <v>1</v>
      </c>
      <c r="E1215" s="3">
        <v>40148.532638888886</v>
      </c>
      <c r="F1215" s="1">
        <v>5.95</v>
      </c>
      <c r="G1215" s="1">
        <v>15719</v>
      </c>
      <c r="H1215" s="1" t="s">
        <v>10</v>
      </c>
      <c r="I1215" s="1">
        <f t="shared" si="4"/>
        <v>5.95</v>
      </c>
      <c r="J1215" s="2"/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 x14ac:dyDescent="0.2">
      <c r="A1216" s="1">
        <v>489556</v>
      </c>
      <c r="B1216" s="1">
        <v>21479</v>
      </c>
      <c r="C1216" s="1" t="s">
        <v>323</v>
      </c>
      <c r="D1216" s="1">
        <v>1</v>
      </c>
      <c r="E1216" s="3">
        <v>40148.532638888886</v>
      </c>
      <c r="F1216" s="1">
        <v>3.75</v>
      </c>
      <c r="G1216" s="1">
        <v>15719</v>
      </c>
      <c r="H1216" s="1" t="s">
        <v>10</v>
      </c>
      <c r="I1216" s="1">
        <f t="shared" si="4"/>
        <v>3.75</v>
      </c>
      <c r="J1216" s="2"/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 x14ac:dyDescent="0.2">
      <c r="A1217" s="1">
        <v>489556</v>
      </c>
      <c r="B1217" s="1">
        <v>21624</v>
      </c>
      <c r="C1217" s="1" t="s">
        <v>877</v>
      </c>
      <c r="D1217" s="1">
        <v>1</v>
      </c>
      <c r="E1217" s="3">
        <v>40148.532638888886</v>
      </c>
      <c r="F1217" s="1">
        <v>5.95</v>
      </c>
      <c r="G1217" s="1">
        <v>15719</v>
      </c>
      <c r="H1217" s="1" t="s">
        <v>10</v>
      </c>
      <c r="I1217" s="1">
        <f t="shared" si="4"/>
        <v>5.95</v>
      </c>
      <c r="J1217" s="2"/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 x14ac:dyDescent="0.2">
      <c r="A1218" s="1">
        <v>489556</v>
      </c>
      <c r="B1218" s="1">
        <v>84582</v>
      </c>
      <c r="C1218" s="1" t="s">
        <v>303</v>
      </c>
      <c r="D1218" s="1">
        <v>1</v>
      </c>
      <c r="E1218" s="3">
        <v>40148.532638888886</v>
      </c>
      <c r="F1218" s="1">
        <v>4.25</v>
      </c>
      <c r="G1218" s="1">
        <v>15719</v>
      </c>
      <c r="H1218" s="1" t="s">
        <v>10</v>
      </c>
      <c r="I1218" s="1">
        <f t="shared" si="4"/>
        <v>4.25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 x14ac:dyDescent="0.2">
      <c r="A1219" s="1">
        <v>489556</v>
      </c>
      <c r="B1219" s="1">
        <v>21621</v>
      </c>
      <c r="C1219" s="1" t="s">
        <v>878</v>
      </c>
      <c r="D1219" s="1">
        <v>1</v>
      </c>
      <c r="E1219" s="3">
        <v>40148.532638888886</v>
      </c>
      <c r="F1219" s="1">
        <v>8.5</v>
      </c>
      <c r="G1219" s="1">
        <v>15719</v>
      </c>
      <c r="H1219" s="1" t="s">
        <v>10</v>
      </c>
      <c r="I1219" s="1">
        <f t="shared" si="4"/>
        <v>8.5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 x14ac:dyDescent="0.2">
      <c r="A1220" s="1">
        <v>489556</v>
      </c>
      <c r="B1220" s="1">
        <v>21622</v>
      </c>
      <c r="C1220" s="1" t="s">
        <v>879</v>
      </c>
      <c r="D1220" s="1">
        <v>1</v>
      </c>
      <c r="E1220" s="3">
        <v>40148.532638888886</v>
      </c>
      <c r="F1220" s="1">
        <v>4.95</v>
      </c>
      <c r="G1220" s="1">
        <v>15719</v>
      </c>
      <c r="H1220" s="1" t="s">
        <v>10</v>
      </c>
      <c r="I1220" s="1">
        <f t="shared" si="4"/>
        <v>4.95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 x14ac:dyDescent="0.2">
      <c r="A1221" s="1">
        <v>489556</v>
      </c>
      <c r="B1221" s="1" t="s">
        <v>823</v>
      </c>
      <c r="C1221" s="1" t="s">
        <v>824</v>
      </c>
      <c r="D1221" s="1">
        <v>1</v>
      </c>
      <c r="E1221" s="3">
        <v>40148.532638888886</v>
      </c>
      <c r="F1221" s="1">
        <v>0.85</v>
      </c>
      <c r="G1221" s="1">
        <v>15719</v>
      </c>
      <c r="H1221" s="1" t="s">
        <v>10</v>
      </c>
      <c r="I1221" s="1">
        <f t="shared" si="4"/>
        <v>0.85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2"/>
    </row>
    <row r="1222" spans="1:19" x14ac:dyDescent="0.2">
      <c r="A1222" s="1">
        <v>489556</v>
      </c>
      <c r="B1222" s="1">
        <v>20750</v>
      </c>
      <c r="C1222" s="1" t="s">
        <v>880</v>
      </c>
      <c r="D1222" s="1">
        <v>1</v>
      </c>
      <c r="E1222" s="3">
        <v>40148.532638888886</v>
      </c>
      <c r="F1222" s="1">
        <v>7.95</v>
      </c>
      <c r="G1222" s="1">
        <v>15719</v>
      </c>
      <c r="H1222" s="1" t="s">
        <v>10</v>
      </c>
      <c r="I1222" s="1">
        <f t="shared" si="4"/>
        <v>7.95</v>
      </c>
      <c r="J1222" s="2"/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 x14ac:dyDescent="0.2">
      <c r="A1223" s="1">
        <v>489556</v>
      </c>
      <c r="B1223" s="1">
        <v>20665</v>
      </c>
      <c r="C1223" s="1" t="s">
        <v>881</v>
      </c>
      <c r="D1223" s="1">
        <v>1</v>
      </c>
      <c r="E1223" s="3">
        <v>40148.532638888886</v>
      </c>
      <c r="F1223" s="1">
        <v>2.95</v>
      </c>
      <c r="G1223" s="1">
        <v>15719</v>
      </c>
      <c r="H1223" s="1" t="s">
        <v>10</v>
      </c>
      <c r="I1223" s="1">
        <f t="shared" si="4"/>
        <v>2.95</v>
      </c>
      <c r="J1223" s="2"/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 x14ac:dyDescent="0.2">
      <c r="A1224" s="1">
        <v>489556</v>
      </c>
      <c r="B1224" s="1">
        <v>84837</v>
      </c>
      <c r="C1224" s="1" t="s">
        <v>882</v>
      </c>
      <c r="D1224" s="1">
        <v>1</v>
      </c>
      <c r="E1224" s="3">
        <v>40148.532638888886</v>
      </c>
      <c r="F1224" s="1">
        <v>12.75</v>
      </c>
      <c r="G1224" s="1">
        <v>15719</v>
      </c>
      <c r="H1224" s="1" t="s">
        <v>10</v>
      </c>
      <c r="I1224" s="1">
        <f t="shared" si="4"/>
        <v>12.75</v>
      </c>
      <c r="J1224" s="2"/>
      <c r="K1224" s="2"/>
      <c r="L1224" s="2"/>
      <c r="M1224" s="2"/>
      <c r="N1224" s="2"/>
      <c r="O1224" s="2"/>
      <c r="P1224" s="2"/>
      <c r="Q1224" s="2"/>
      <c r="R1224" s="2"/>
      <c r="S1224" s="2"/>
    </row>
    <row r="1225" spans="1:19" x14ac:dyDescent="0.2">
      <c r="A1225" s="1">
        <v>489556</v>
      </c>
      <c r="B1225" s="1">
        <v>48187</v>
      </c>
      <c r="C1225" s="1" t="s">
        <v>439</v>
      </c>
      <c r="D1225" s="1">
        <v>1</v>
      </c>
      <c r="E1225" s="3">
        <v>40148.532638888886</v>
      </c>
      <c r="F1225" s="1">
        <v>6.75</v>
      </c>
      <c r="G1225" s="1">
        <v>15719</v>
      </c>
      <c r="H1225" s="1" t="s">
        <v>10</v>
      </c>
      <c r="I1225" s="1">
        <f t="shared" si="4"/>
        <v>6.75</v>
      </c>
      <c r="J1225" s="2"/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 x14ac:dyDescent="0.2">
      <c r="A1226" s="1">
        <v>489557</v>
      </c>
      <c r="B1226" s="1">
        <v>21017</v>
      </c>
      <c r="C1226" s="1" t="s">
        <v>883</v>
      </c>
      <c r="D1226" s="1">
        <v>192</v>
      </c>
      <c r="E1226" s="3">
        <v>40148.536111111112</v>
      </c>
      <c r="F1226" s="1">
        <v>0.72</v>
      </c>
      <c r="G1226" s="1">
        <v>12490</v>
      </c>
      <c r="H1226" s="1" t="s">
        <v>100</v>
      </c>
      <c r="I1226" s="1">
        <f t="shared" si="4"/>
        <v>138.24</v>
      </c>
      <c r="J1226" s="2"/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 x14ac:dyDescent="0.2">
      <c r="A1227" s="1">
        <v>489557</v>
      </c>
      <c r="B1227" s="1" t="s">
        <v>884</v>
      </c>
      <c r="C1227" s="1" t="s">
        <v>885</v>
      </c>
      <c r="D1227" s="1">
        <v>25</v>
      </c>
      <c r="E1227" s="3">
        <v>40148.536111111112</v>
      </c>
      <c r="F1227" s="1">
        <v>0.42</v>
      </c>
      <c r="G1227" s="1">
        <v>12490</v>
      </c>
      <c r="H1227" s="1" t="s">
        <v>100</v>
      </c>
      <c r="I1227" s="1">
        <f t="shared" si="4"/>
        <v>10.5</v>
      </c>
      <c r="J1227" s="2"/>
      <c r="K1227" s="2"/>
      <c r="L1227" s="2"/>
      <c r="M1227" s="2"/>
      <c r="N1227" s="2"/>
      <c r="O1227" s="2"/>
      <c r="P1227" s="2"/>
      <c r="Q1227" s="2"/>
      <c r="R1227" s="2"/>
      <c r="S1227" s="2"/>
    </row>
    <row r="1228" spans="1:19" x14ac:dyDescent="0.2">
      <c r="A1228" s="1">
        <v>489557</v>
      </c>
      <c r="B1228" s="1" t="s">
        <v>886</v>
      </c>
      <c r="C1228" s="1" t="s">
        <v>887</v>
      </c>
      <c r="D1228" s="1">
        <v>25</v>
      </c>
      <c r="E1228" s="3">
        <v>40148.536111111112</v>
      </c>
      <c r="F1228" s="1">
        <v>0.42</v>
      </c>
      <c r="G1228" s="1">
        <v>12490</v>
      </c>
      <c r="H1228" s="1" t="s">
        <v>100</v>
      </c>
      <c r="I1228" s="1">
        <f t="shared" si="4"/>
        <v>10.5</v>
      </c>
      <c r="J1228" s="2"/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 x14ac:dyDescent="0.2">
      <c r="A1229" s="1">
        <v>489557</v>
      </c>
      <c r="B1229" s="1">
        <v>21731</v>
      </c>
      <c r="C1229" s="1" t="s">
        <v>103</v>
      </c>
      <c r="D1229" s="1">
        <v>24</v>
      </c>
      <c r="E1229" s="3">
        <v>40148.536111111112</v>
      </c>
      <c r="F1229" s="1">
        <v>1.65</v>
      </c>
      <c r="G1229" s="1">
        <v>12490</v>
      </c>
      <c r="H1229" s="1" t="s">
        <v>100</v>
      </c>
      <c r="I1229" s="1">
        <f t="shared" si="4"/>
        <v>39.599999999999994</v>
      </c>
      <c r="J1229" s="2"/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 x14ac:dyDescent="0.2">
      <c r="A1230" s="1">
        <v>489557</v>
      </c>
      <c r="B1230" s="1">
        <v>21212</v>
      </c>
      <c r="C1230" s="1" t="s">
        <v>253</v>
      </c>
      <c r="D1230" s="1">
        <v>24</v>
      </c>
      <c r="E1230" s="3">
        <v>40148.536111111112</v>
      </c>
      <c r="F1230" s="1">
        <v>0.55000000000000004</v>
      </c>
      <c r="G1230" s="1">
        <v>12490</v>
      </c>
      <c r="H1230" s="1" t="s">
        <v>100</v>
      </c>
      <c r="I1230" s="1">
        <f t="shared" si="4"/>
        <v>13.200000000000001</v>
      </c>
      <c r="J1230" s="2"/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 x14ac:dyDescent="0.2">
      <c r="A1231" s="1">
        <v>489557</v>
      </c>
      <c r="B1231" s="1" t="s">
        <v>178</v>
      </c>
      <c r="C1231" s="1" t="s">
        <v>179</v>
      </c>
      <c r="D1231" s="1">
        <v>20</v>
      </c>
      <c r="E1231" s="3">
        <v>40148.536111111112</v>
      </c>
      <c r="F1231" s="1">
        <v>1.95</v>
      </c>
      <c r="G1231" s="1">
        <v>12490</v>
      </c>
      <c r="H1231" s="1" t="s">
        <v>100</v>
      </c>
      <c r="I1231" s="1">
        <f t="shared" si="4"/>
        <v>39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 x14ac:dyDescent="0.2">
      <c r="A1232" s="1">
        <v>489557</v>
      </c>
      <c r="B1232" s="1">
        <v>21238</v>
      </c>
      <c r="C1232" s="1" t="s">
        <v>468</v>
      </c>
      <c r="D1232" s="1">
        <v>16</v>
      </c>
      <c r="E1232" s="3">
        <v>40148.536111111112</v>
      </c>
      <c r="F1232" s="1">
        <v>0.85</v>
      </c>
      <c r="G1232" s="1">
        <v>12490</v>
      </c>
      <c r="H1232" s="1" t="s">
        <v>100</v>
      </c>
      <c r="I1232" s="1">
        <f t="shared" si="4"/>
        <v>13.6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 x14ac:dyDescent="0.2">
      <c r="A1233" s="1">
        <v>489557</v>
      </c>
      <c r="B1233" s="1">
        <v>21439</v>
      </c>
      <c r="C1233" s="1" t="s">
        <v>888</v>
      </c>
      <c r="D1233" s="1">
        <v>12</v>
      </c>
      <c r="E1233" s="3">
        <v>40148.536111111112</v>
      </c>
      <c r="F1233" s="1">
        <v>1.25</v>
      </c>
      <c r="G1233" s="1">
        <v>12490</v>
      </c>
      <c r="H1233" s="1" t="s">
        <v>100</v>
      </c>
      <c r="I1233" s="1">
        <f t="shared" si="4"/>
        <v>15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 x14ac:dyDescent="0.2">
      <c r="A1234" s="1">
        <v>489557</v>
      </c>
      <c r="B1234" s="1">
        <v>22352</v>
      </c>
      <c r="C1234" s="1" t="s">
        <v>105</v>
      </c>
      <c r="D1234" s="1">
        <v>12</v>
      </c>
      <c r="E1234" s="3">
        <v>40148.536111111112</v>
      </c>
      <c r="F1234" s="1">
        <v>2.5499999999999998</v>
      </c>
      <c r="G1234" s="1">
        <v>12490</v>
      </c>
      <c r="H1234" s="1" t="s">
        <v>100</v>
      </c>
      <c r="I1234" s="1">
        <f t="shared" si="4"/>
        <v>30.599999999999998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 x14ac:dyDescent="0.2">
      <c r="A1235" s="1">
        <v>489557</v>
      </c>
      <c r="B1235" s="1">
        <v>21210</v>
      </c>
      <c r="C1235" s="1" t="s">
        <v>889</v>
      </c>
      <c r="D1235" s="1">
        <v>12</v>
      </c>
      <c r="E1235" s="3">
        <v>40148.536111111112</v>
      </c>
      <c r="F1235" s="1">
        <v>1.45</v>
      </c>
      <c r="G1235" s="1">
        <v>12490</v>
      </c>
      <c r="H1235" s="1" t="s">
        <v>100</v>
      </c>
      <c r="I1235" s="1">
        <f t="shared" si="4"/>
        <v>17.399999999999999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 x14ac:dyDescent="0.2">
      <c r="A1236" s="1">
        <v>489557</v>
      </c>
      <c r="B1236" s="1">
        <v>21039</v>
      </c>
      <c r="C1236" s="1" t="s">
        <v>890</v>
      </c>
      <c r="D1236" s="1">
        <v>12</v>
      </c>
      <c r="E1236" s="3">
        <v>40148.536111111112</v>
      </c>
      <c r="F1236" s="1">
        <v>2.5499999999999998</v>
      </c>
      <c r="G1236" s="1">
        <v>12490</v>
      </c>
      <c r="H1236" s="1" t="s">
        <v>100</v>
      </c>
      <c r="I1236" s="1">
        <f t="shared" si="4"/>
        <v>30.599999999999998</v>
      </c>
      <c r="J1236" s="2"/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 x14ac:dyDescent="0.2">
      <c r="A1237" s="1">
        <v>489557</v>
      </c>
      <c r="B1237" s="1">
        <v>20719</v>
      </c>
      <c r="C1237" s="1" t="s">
        <v>334</v>
      </c>
      <c r="D1237" s="1">
        <v>10</v>
      </c>
      <c r="E1237" s="3">
        <v>40148.536111111112</v>
      </c>
      <c r="F1237" s="1">
        <v>0.85</v>
      </c>
      <c r="G1237" s="1">
        <v>12490</v>
      </c>
      <c r="H1237" s="1" t="s">
        <v>100</v>
      </c>
      <c r="I1237" s="1">
        <f t="shared" si="4"/>
        <v>8.5</v>
      </c>
      <c r="J1237" s="2"/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 x14ac:dyDescent="0.2">
      <c r="A1238" s="1">
        <v>489557</v>
      </c>
      <c r="B1238" s="1">
        <v>20712</v>
      </c>
      <c r="C1238" s="1" t="s">
        <v>701</v>
      </c>
      <c r="D1238" s="1">
        <v>10</v>
      </c>
      <c r="E1238" s="3">
        <v>40148.536111111112</v>
      </c>
      <c r="F1238" s="1">
        <v>1.95</v>
      </c>
      <c r="G1238" s="1">
        <v>12490</v>
      </c>
      <c r="H1238" s="1" t="s">
        <v>100</v>
      </c>
      <c r="I1238" s="1">
        <f t="shared" si="4"/>
        <v>19.5</v>
      </c>
      <c r="J1238" s="2"/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 x14ac:dyDescent="0.2">
      <c r="A1239" s="1">
        <v>489557</v>
      </c>
      <c r="B1239" s="1">
        <v>20711</v>
      </c>
      <c r="C1239" s="1" t="s">
        <v>71</v>
      </c>
      <c r="D1239" s="1">
        <v>10</v>
      </c>
      <c r="E1239" s="3">
        <v>40148.536111111112</v>
      </c>
      <c r="F1239" s="1">
        <v>1.95</v>
      </c>
      <c r="G1239" s="1">
        <v>12490</v>
      </c>
      <c r="H1239" s="1" t="s">
        <v>100</v>
      </c>
      <c r="I1239" s="1">
        <f t="shared" si="4"/>
        <v>19.5</v>
      </c>
      <c r="J1239" s="2"/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 x14ac:dyDescent="0.2">
      <c r="A1240" s="1">
        <v>489557</v>
      </c>
      <c r="B1240" s="1">
        <v>21432</v>
      </c>
      <c r="C1240" s="1" t="s">
        <v>891</v>
      </c>
      <c r="D1240" s="1">
        <v>8</v>
      </c>
      <c r="E1240" s="3">
        <v>40148.536111111112</v>
      </c>
      <c r="F1240" s="1">
        <v>5.95</v>
      </c>
      <c r="G1240" s="1">
        <v>12490</v>
      </c>
      <c r="H1240" s="1" t="s">
        <v>100</v>
      </c>
      <c r="I1240" s="1">
        <f t="shared" si="4"/>
        <v>47.6</v>
      </c>
      <c r="J1240" s="2"/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 x14ac:dyDescent="0.2">
      <c r="A1241" s="1">
        <v>489557</v>
      </c>
      <c r="B1241" s="1">
        <v>22353</v>
      </c>
      <c r="C1241" s="1" t="s">
        <v>23</v>
      </c>
      <c r="D1241" s="1">
        <v>6</v>
      </c>
      <c r="E1241" s="3">
        <v>40148.536111111112</v>
      </c>
      <c r="F1241" s="1">
        <v>2.5499999999999998</v>
      </c>
      <c r="G1241" s="1">
        <v>12490</v>
      </c>
      <c r="H1241" s="1" t="s">
        <v>100</v>
      </c>
      <c r="I1241" s="1">
        <f t="shared" si="4"/>
        <v>15.299999999999999</v>
      </c>
      <c r="J1241" s="2"/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 x14ac:dyDescent="0.2">
      <c r="A1242" s="1">
        <v>489557</v>
      </c>
      <c r="B1242" s="1">
        <v>21424</v>
      </c>
      <c r="C1242" s="1" t="s">
        <v>892</v>
      </c>
      <c r="D1242" s="1">
        <v>6</v>
      </c>
      <c r="E1242" s="3">
        <v>40148.536111111112</v>
      </c>
      <c r="F1242" s="1">
        <v>2.95</v>
      </c>
      <c r="G1242" s="1">
        <v>12490</v>
      </c>
      <c r="H1242" s="1" t="s">
        <v>100</v>
      </c>
      <c r="I1242" s="1">
        <f t="shared" si="4"/>
        <v>17.700000000000003</v>
      </c>
      <c r="J1242" s="2"/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 x14ac:dyDescent="0.2">
      <c r="A1243" s="1">
        <v>489557</v>
      </c>
      <c r="B1243" s="1">
        <v>21426</v>
      </c>
      <c r="C1243" s="1" t="s">
        <v>893</v>
      </c>
      <c r="D1243" s="1">
        <v>6</v>
      </c>
      <c r="E1243" s="3">
        <v>40148.536111111112</v>
      </c>
      <c r="F1243" s="1">
        <v>2.1</v>
      </c>
      <c r="G1243" s="1">
        <v>12490</v>
      </c>
      <c r="H1243" s="1" t="s">
        <v>100</v>
      </c>
      <c r="I1243" s="1">
        <f t="shared" si="4"/>
        <v>12.600000000000001</v>
      </c>
      <c r="J1243" s="2"/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 x14ac:dyDescent="0.2">
      <c r="A1244" s="1">
        <v>489557</v>
      </c>
      <c r="B1244" s="1">
        <v>20682</v>
      </c>
      <c r="C1244" s="1" t="s">
        <v>547</v>
      </c>
      <c r="D1244" s="1">
        <v>6</v>
      </c>
      <c r="E1244" s="3">
        <v>40148.536111111112</v>
      </c>
      <c r="F1244" s="1">
        <v>3.25</v>
      </c>
      <c r="G1244" s="1">
        <v>12490</v>
      </c>
      <c r="H1244" s="1" t="s">
        <v>100</v>
      </c>
      <c r="I1244" s="1">
        <f t="shared" si="4"/>
        <v>19.5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 x14ac:dyDescent="0.2">
      <c r="A1245" s="1">
        <v>489557</v>
      </c>
      <c r="B1245" s="1" t="s">
        <v>119</v>
      </c>
      <c r="C1245" s="1" t="s">
        <v>120</v>
      </c>
      <c r="D1245" s="1">
        <v>4</v>
      </c>
      <c r="E1245" s="3">
        <v>40148.536111111112</v>
      </c>
      <c r="F1245" s="1">
        <v>18</v>
      </c>
      <c r="G1245" s="1">
        <v>12490</v>
      </c>
      <c r="H1245" s="1" t="s">
        <v>100</v>
      </c>
      <c r="I1245" s="1">
        <f t="shared" si="4"/>
        <v>72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 x14ac:dyDescent="0.2">
      <c r="A1246" s="1">
        <v>489557</v>
      </c>
      <c r="B1246" s="1">
        <v>20685</v>
      </c>
      <c r="C1246" s="1" t="s">
        <v>505</v>
      </c>
      <c r="D1246" s="1">
        <v>2</v>
      </c>
      <c r="E1246" s="3">
        <v>40148.536111111112</v>
      </c>
      <c r="F1246" s="1">
        <v>6.75</v>
      </c>
      <c r="G1246" s="1">
        <v>12490</v>
      </c>
      <c r="H1246" s="1" t="s">
        <v>100</v>
      </c>
      <c r="I1246" s="1">
        <f t="shared" si="4"/>
        <v>13.5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 x14ac:dyDescent="0.2">
      <c r="A1247" s="1">
        <v>489558</v>
      </c>
      <c r="B1247" s="1">
        <v>84946</v>
      </c>
      <c r="C1247" s="1" t="s">
        <v>208</v>
      </c>
      <c r="D1247" s="1">
        <v>72</v>
      </c>
      <c r="E1247" s="3">
        <v>40148.537499999999</v>
      </c>
      <c r="F1247" s="1">
        <v>1.06</v>
      </c>
      <c r="G1247" s="1">
        <v>15793</v>
      </c>
      <c r="H1247" s="1" t="s">
        <v>10</v>
      </c>
      <c r="I1247" s="1">
        <f t="shared" si="4"/>
        <v>76.320000000000007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 x14ac:dyDescent="0.2">
      <c r="A1248" s="1">
        <v>489558</v>
      </c>
      <c r="B1248" s="1">
        <v>84879</v>
      </c>
      <c r="C1248" s="1" t="s">
        <v>26</v>
      </c>
      <c r="D1248" s="1">
        <v>64</v>
      </c>
      <c r="E1248" s="3">
        <v>40148.537499999999</v>
      </c>
      <c r="F1248" s="1">
        <v>1.69</v>
      </c>
      <c r="G1248" s="1">
        <v>15793</v>
      </c>
      <c r="H1248" s="1" t="s">
        <v>10</v>
      </c>
      <c r="I1248" s="1">
        <f t="shared" si="4"/>
        <v>108.16</v>
      </c>
      <c r="J1248" s="2"/>
      <c r="K1248" s="2"/>
      <c r="L1248" s="2"/>
      <c r="M1248" s="2"/>
      <c r="N1248" s="2"/>
      <c r="O1248" s="2"/>
      <c r="P1248" s="2"/>
      <c r="Q1248" s="2"/>
      <c r="R1248" s="2"/>
      <c r="S1248" s="2"/>
    </row>
    <row r="1249" spans="1:19" x14ac:dyDescent="0.2">
      <c r="A1249" s="1">
        <v>489558</v>
      </c>
      <c r="B1249" s="1">
        <v>21754</v>
      </c>
      <c r="C1249" s="1" t="s">
        <v>43</v>
      </c>
      <c r="D1249" s="1">
        <v>12</v>
      </c>
      <c r="E1249" s="3">
        <v>40148.537499999999</v>
      </c>
      <c r="F1249" s="1">
        <v>5.95</v>
      </c>
      <c r="G1249" s="1">
        <v>15793</v>
      </c>
      <c r="H1249" s="1" t="s">
        <v>10</v>
      </c>
      <c r="I1249" s="1">
        <f t="shared" si="4"/>
        <v>71.400000000000006</v>
      </c>
      <c r="J1249" s="2"/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 x14ac:dyDescent="0.2">
      <c r="A1250" s="1">
        <v>489558</v>
      </c>
      <c r="B1250" s="1">
        <v>21756</v>
      </c>
      <c r="C1250" s="1" t="s">
        <v>45</v>
      </c>
      <c r="D1250" s="1">
        <v>6</v>
      </c>
      <c r="E1250" s="3">
        <v>40148.537499999999</v>
      </c>
      <c r="F1250" s="1">
        <v>5.95</v>
      </c>
      <c r="G1250" s="1">
        <v>15793</v>
      </c>
      <c r="H1250" s="1" t="s">
        <v>10</v>
      </c>
      <c r="I1250" s="1">
        <f t="shared" si="4"/>
        <v>35.700000000000003</v>
      </c>
      <c r="J1250" s="2"/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 x14ac:dyDescent="0.2">
      <c r="A1251" s="1">
        <v>489559</v>
      </c>
      <c r="B1251" s="1">
        <v>85048</v>
      </c>
      <c r="C1251" s="1" t="s">
        <v>14</v>
      </c>
      <c r="D1251" s="1">
        <v>12</v>
      </c>
      <c r="E1251" s="3">
        <v>40148.538194444445</v>
      </c>
      <c r="F1251" s="1">
        <v>6.95</v>
      </c>
      <c r="G1251" s="1">
        <v>17056</v>
      </c>
      <c r="H1251" s="1" t="s">
        <v>10</v>
      </c>
      <c r="I1251" s="1">
        <f t="shared" si="4"/>
        <v>83.4</v>
      </c>
      <c r="J1251" s="2"/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 x14ac:dyDescent="0.2">
      <c r="A1252" s="1">
        <v>489559</v>
      </c>
      <c r="B1252" s="1">
        <v>21098</v>
      </c>
      <c r="C1252" s="1" t="s">
        <v>894</v>
      </c>
      <c r="D1252" s="1">
        <v>6</v>
      </c>
      <c r="E1252" s="3">
        <v>40148.538194444445</v>
      </c>
      <c r="F1252" s="1">
        <v>1.25</v>
      </c>
      <c r="G1252" s="1">
        <v>17056</v>
      </c>
      <c r="H1252" s="1" t="s">
        <v>10</v>
      </c>
      <c r="I1252" s="1">
        <f t="shared" si="4"/>
        <v>7.5</v>
      </c>
      <c r="J1252" s="2"/>
      <c r="K1252" s="2"/>
      <c r="L1252" s="2"/>
      <c r="M1252" s="2"/>
      <c r="N1252" s="2"/>
      <c r="O1252" s="2"/>
      <c r="P1252" s="2"/>
      <c r="Q1252" s="2"/>
      <c r="R1252" s="2"/>
      <c r="S1252" s="2"/>
    </row>
    <row r="1253" spans="1:19" x14ac:dyDescent="0.2">
      <c r="A1253" s="1">
        <v>489559</v>
      </c>
      <c r="B1253" s="1">
        <v>22111</v>
      </c>
      <c r="C1253" s="1" t="s">
        <v>24</v>
      </c>
      <c r="D1253" s="1">
        <v>2</v>
      </c>
      <c r="E1253" s="3">
        <v>40148.538194444445</v>
      </c>
      <c r="F1253" s="1">
        <v>4.95</v>
      </c>
      <c r="G1253" s="1">
        <v>17056</v>
      </c>
      <c r="H1253" s="1" t="s">
        <v>10</v>
      </c>
      <c r="I1253" s="1">
        <f t="shared" si="4"/>
        <v>9.9</v>
      </c>
      <c r="J1253" s="2"/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 x14ac:dyDescent="0.2">
      <c r="A1254" s="1">
        <v>489559</v>
      </c>
      <c r="B1254" s="1">
        <v>22415</v>
      </c>
      <c r="C1254" s="1" t="s">
        <v>895</v>
      </c>
      <c r="D1254" s="1">
        <v>2</v>
      </c>
      <c r="E1254" s="3">
        <v>40148.538194444445</v>
      </c>
      <c r="F1254" s="1">
        <v>7.95</v>
      </c>
      <c r="G1254" s="1">
        <v>17056</v>
      </c>
      <c r="H1254" s="1" t="s">
        <v>10</v>
      </c>
      <c r="I1254" s="1">
        <f t="shared" si="4"/>
        <v>15.9</v>
      </c>
      <c r="J1254" s="2"/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 x14ac:dyDescent="0.2">
      <c r="A1255" s="1">
        <v>489559</v>
      </c>
      <c r="B1255" s="1">
        <v>22114</v>
      </c>
      <c r="C1255" s="1" t="s">
        <v>184</v>
      </c>
      <c r="D1255" s="1">
        <v>1</v>
      </c>
      <c r="E1255" s="3">
        <v>40148.538194444445</v>
      </c>
      <c r="F1255" s="1">
        <v>3.95</v>
      </c>
      <c r="G1255" s="1">
        <v>17056</v>
      </c>
      <c r="H1255" s="1" t="s">
        <v>10</v>
      </c>
      <c r="I1255" s="1">
        <f t="shared" si="4"/>
        <v>3.95</v>
      </c>
      <c r="J1255" s="2"/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 x14ac:dyDescent="0.2">
      <c r="A1256" s="1">
        <v>489559</v>
      </c>
      <c r="B1256" s="1">
        <v>22349</v>
      </c>
      <c r="C1256" s="1" t="s">
        <v>22</v>
      </c>
      <c r="D1256" s="1">
        <v>1</v>
      </c>
      <c r="E1256" s="3">
        <v>40148.538194444445</v>
      </c>
      <c r="F1256" s="1">
        <v>3.75</v>
      </c>
      <c r="G1256" s="1">
        <v>17056</v>
      </c>
      <c r="H1256" s="1" t="s">
        <v>10</v>
      </c>
      <c r="I1256" s="1">
        <f t="shared" si="4"/>
        <v>3.75</v>
      </c>
      <c r="J1256" s="2"/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 x14ac:dyDescent="0.2">
      <c r="A1257" s="1">
        <v>489559</v>
      </c>
      <c r="B1257" s="1">
        <v>21890</v>
      </c>
      <c r="C1257" s="1" t="s">
        <v>684</v>
      </c>
      <c r="D1257" s="1">
        <v>1</v>
      </c>
      <c r="E1257" s="3">
        <v>40148.538194444445</v>
      </c>
      <c r="F1257" s="1">
        <v>2.95</v>
      </c>
      <c r="G1257" s="1">
        <v>17056</v>
      </c>
      <c r="H1257" s="1" t="s">
        <v>10</v>
      </c>
      <c r="I1257" s="1">
        <f t="shared" si="4"/>
        <v>2.95</v>
      </c>
      <c r="J1257" s="2"/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 x14ac:dyDescent="0.2">
      <c r="A1258" s="1">
        <v>489559</v>
      </c>
      <c r="B1258" s="1">
        <v>21891</v>
      </c>
      <c r="C1258" s="1" t="s">
        <v>896</v>
      </c>
      <c r="D1258" s="1">
        <v>1</v>
      </c>
      <c r="E1258" s="3">
        <v>40148.538194444445</v>
      </c>
      <c r="F1258" s="1">
        <v>1.25</v>
      </c>
      <c r="G1258" s="1">
        <v>17056</v>
      </c>
      <c r="H1258" s="1" t="s">
        <v>10</v>
      </c>
      <c r="I1258" s="1">
        <f t="shared" si="4"/>
        <v>1.25</v>
      </c>
      <c r="J1258" s="2"/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 x14ac:dyDescent="0.2">
      <c r="A1259" s="1">
        <v>489560</v>
      </c>
      <c r="B1259" s="1" t="s">
        <v>682</v>
      </c>
      <c r="C1259" s="1" t="s">
        <v>683</v>
      </c>
      <c r="D1259" s="1">
        <v>288</v>
      </c>
      <c r="E1259" s="3">
        <v>40148.538888888892</v>
      </c>
      <c r="F1259" s="1">
        <v>0.37</v>
      </c>
      <c r="G1259" s="1">
        <v>13526</v>
      </c>
      <c r="H1259" s="1" t="s">
        <v>10</v>
      </c>
      <c r="I1259" s="1">
        <f t="shared" si="4"/>
        <v>106.56</v>
      </c>
      <c r="J1259" s="2"/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 x14ac:dyDescent="0.2">
      <c r="A1260" s="1">
        <v>489560</v>
      </c>
      <c r="B1260" s="1" t="s">
        <v>897</v>
      </c>
      <c r="C1260" s="1" t="s">
        <v>898</v>
      </c>
      <c r="D1260" s="1">
        <v>288</v>
      </c>
      <c r="E1260" s="3">
        <v>40148.538888888892</v>
      </c>
      <c r="F1260" s="1">
        <v>0.85</v>
      </c>
      <c r="G1260" s="1">
        <v>13526</v>
      </c>
      <c r="H1260" s="1" t="s">
        <v>10</v>
      </c>
      <c r="I1260" s="1">
        <f t="shared" si="4"/>
        <v>244.79999999999998</v>
      </c>
      <c r="J1260" s="2"/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 x14ac:dyDescent="0.2">
      <c r="A1261" s="1">
        <v>489560</v>
      </c>
      <c r="B1261" s="1">
        <v>35957</v>
      </c>
      <c r="C1261" s="1" t="s">
        <v>766</v>
      </c>
      <c r="D1261" s="1">
        <v>144</v>
      </c>
      <c r="E1261" s="3">
        <v>40148.538888888892</v>
      </c>
      <c r="F1261" s="1">
        <v>0.19</v>
      </c>
      <c r="G1261" s="1">
        <v>13526</v>
      </c>
      <c r="H1261" s="1" t="s">
        <v>10</v>
      </c>
      <c r="I1261" s="1">
        <f t="shared" si="4"/>
        <v>27.36</v>
      </c>
      <c r="J1261" s="2"/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 x14ac:dyDescent="0.2">
      <c r="A1262" s="1">
        <v>489560</v>
      </c>
      <c r="B1262" s="1" t="s">
        <v>899</v>
      </c>
      <c r="C1262" s="1" t="s">
        <v>900</v>
      </c>
      <c r="D1262" s="1">
        <v>108</v>
      </c>
      <c r="E1262" s="3">
        <v>40148.538888888892</v>
      </c>
      <c r="F1262" s="1">
        <v>0.85</v>
      </c>
      <c r="G1262" s="1">
        <v>13526</v>
      </c>
      <c r="H1262" s="1" t="s">
        <v>10</v>
      </c>
      <c r="I1262" s="1">
        <f t="shared" si="4"/>
        <v>91.8</v>
      </c>
      <c r="J1262" s="2"/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 x14ac:dyDescent="0.2">
      <c r="A1263" s="1">
        <v>489560</v>
      </c>
      <c r="B1263" s="1" t="s">
        <v>901</v>
      </c>
      <c r="C1263" s="1" t="s">
        <v>902</v>
      </c>
      <c r="D1263" s="1">
        <v>100</v>
      </c>
      <c r="E1263" s="3">
        <v>40148.538888888892</v>
      </c>
      <c r="F1263" s="1">
        <v>0.1</v>
      </c>
      <c r="G1263" s="1">
        <v>13526</v>
      </c>
      <c r="H1263" s="1" t="s">
        <v>10</v>
      </c>
      <c r="I1263" s="1">
        <f t="shared" si="4"/>
        <v>10</v>
      </c>
      <c r="J1263" s="2"/>
      <c r="K1263" s="2"/>
      <c r="L1263" s="2"/>
      <c r="M1263" s="2"/>
      <c r="N1263" s="2"/>
      <c r="O1263" s="2"/>
      <c r="P1263" s="2"/>
      <c r="Q1263" s="2"/>
      <c r="R1263" s="2"/>
      <c r="S1263" s="2"/>
    </row>
    <row r="1264" spans="1:19" x14ac:dyDescent="0.2">
      <c r="A1264" s="1">
        <v>489560</v>
      </c>
      <c r="B1264" s="1">
        <v>35955</v>
      </c>
      <c r="C1264" s="1" t="s">
        <v>767</v>
      </c>
      <c r="D1264" s="1">
        <v>96</v>
      </c>
      <c r="E1264" s="3">
        <v>40148.538888888892</v>
      </c>
      <c r="F1264" s="1">
        <v>0.19</v>
      </c>
      <c r="G1264" s="1">
        <v>13526</v>
      </c>
      <c r="H1264" s="1" t="s">
        <v>10</v>
      </c>
      <c r="I1264" s="1">
        <f t="shared" si="4"/>
        <v>18.240000000000002</v>
      </c>
      <c r="J1264" s="2"/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 x14ac:dyDescent="0.2">
      <c r="A1265" s="1">
        <v>489560</v>
      </c>
      <c r="B1265" s="1">
        <v>84270</v>
      </c>
      <c r="C1265" s="1" t="s">
        <v>610</v>
      </c>
      <c r="D1265" s="1">
        <v>90</v>
      </c>
      <c r="E1265" s="3">
        <v>40148.538888888892</v>
      </c>
      <c r="F1265" s="1">
        <v>0.21</v>
      </c>
      <c r="G1265" s="1">
        <v>13526</v>
      </c>
      <c r="H1265" s="1" t="s">
        <v>10</v>
      </c>
      <c r="I1265" s="1">
        <f t="shared" si="4"/>
        <v>18.899999999999999</v>
      </c>
      <c r="J1265" s="2"/>
      <c r="K1265" s="2"/>
      <c r="L1265" s="2"/>
      <c r="M1265" s="2"/>
      <c r="N1265" s="2"/>
      <c r="O1265" s="2"/>
      <c r="P1265" s="2"/>
      <c r="Q1265" s="2"/>
      <c r="R1265" s="2"/>
      <c r="S1265" s="2"/>
    </row>
    <row r="1266" spans="1:19" x14ac:dyDescent="0.2">
      <c r="A1266" s="1">
        <v>489560</v>
      </c>
      <c r="B1266" s="1">
        <v>90085</v>
      </c>
      <c r="C1266" s="1" t="s">
        <v>903</v>
      </c>
      <c r="D1266" s="1">
        <v>81</v>
      </c>
      <c r="E1266" s="3">
        <v>40148.538888888892</v>
      </c>
      <c r="F1266" s="1">
        <v>0.85</v>
      </c>
      <c r="G1266" s="1">
        <v>13526</v>
      </c>
      <c r="H1266" s="1" t="s">
        <v>10</v>
      </c>
      <c r="I1266" s="1">
        <f t="shared" si="4"/>
        <v>68.849999999999994</v>
      </c>
      <c r="J1266" s="2"/>
      <c r="K1266" s="2"/>
      <c r="L1266" s="2"/>
      <c r="M1266" s="2"/>
      <c r="N1266" s="2"/>
      <c r="O1266" s="2"/>
      <c r="P1266" s="2"/>
      <c r="Q1266" s="2"/>
      <c r="R1266" s="2"/>
      <c r="S1266" s="2"/>
    </row>
    <row r="1267" spans="1:19" x14ac:dyDescent="0.2">
      <c r="A1267" s="1">
        <v>489560</v>
      </c>
      <c r="B1267" s="1">
        <v>35931</v>
      </c>
      <c r="C1267" s="1" t="s">
        <v>904</v>
      </c>
      <c r="D1267" s="1">
        <v>48</v>
      </c>
      <c r="E1267" s="3">
        <v>40148.538888888892</v>
      </c>
      <c r="F1267" s="1">
        <v>0.38</v>
      </c>
      <c r="G1267" s="1">
        <v>13526</v>
      </c>
      <c r="H1267" s="1" t="s">
        <v>10</v>
      </c>
      <c r="I1267" s="1">
        <f t="shared" si="4"/>
        <v>18.240000000000002</v>
      </c>
      <c r="J1267" s="2"/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 x14ac:dyDescent="0.2">
      <c r="A1268" s="1">
        <v>489560</v>
      </c>
      <c r="B1268" s="1">
        <v>35933</v>
      </c>
      <c r="C1268" s="1" t="s">
        <v>905</v>
      </c>
      <c r="D1268" s="1">
        <v>48</v>
      </c>
      <c r="E1268" s="3">
        <v>40148.538888888892</v>
      </c>
      <c r="F1268" s="1">
        <v>0.38</v>
      </c>
      <c r="G1268" s="1">
        <v>13526</v>
      </c>
      <c r="H1268" s="1" t="s">
        <v>10</v>
      </c>
      <c r="I1268" s="1">
        <f t="shared" si="4"/>
        <v>18.240000000000002</v>
      </c>
      <c r="J1268" s="2"/>
      <c r="K1268" s="2"/>
      <c r="L1268" s="2"/>
      <c r="M1268" s="2"/>
      <c r="N1268" s="2"/>
      <c r="O1268" s="2"/>
      <c r="P1268" s="2"/>
      <c r="Q1268" s="2"/>
      <c r="R1268" s="2"/>
      <c r="S1268" s="2"/>
    </row>
    <row r="1269" spans="1:19" x14ac:dyDescent="0.2">
      <c r="A1269" s="1">
        <v>489560</v>
      </c>
      <c r="B1269" s="1">
        <v>90087</v>
      </c>
      <c r="C1269" s="1" t="s">
        <v>906</v>
      </c>
      <c r="D1269" s="1">
        <v>48</v>
      </c>
      <c r="E1269" s="3">
        <v>40148.538888888892</v>
      </c>
      <c r="F1269" s="1">
        <v>0.85</v>
      </c>
      <c r="G1269" s="1">
        <v>13526</v>
      </c>
      <c r="H1269" s="1" t="s">
        <v>10</v>
      </c>
      <c r="I1269" s="1">
        <f t="shared" si="4"/>
        <v>40.799999999999997</v>
      </c>
      <c r="J1269" s="2"/>
      <c r="K1269" s="2"/>
      <c r="L1269" s="2"/>
      <c r="M1269" s="2"/>
      <c r="N1269" s="2"/>
      <c r="O1269" s="2"/>
      <c r="P1269" s="2"/>
      <c r="Q1269" s="2"/>
      <c r="R1269" s="2"/>
      <c r="S1269" s="2"/>
    </row>
    <row r="1270" spans="1:19" x14ac:dyDescent="0.2">
      <c r="A1270" s="1">
        <v>489560</v>
      </c>
      <c r="B1270" s="1">
        <v>21805</v>
      </c>
      <c r="C1270" s="1" t="s">
        <v>907</v>
      </c>
      <c r="D1270" s="1">
        <v>36</v>
      </c>
      <c r="E1270" s="3">
        <v>40148.538888888892</v>
      </c>
      <c r="F1270" s="1">
        <v>0.42</v>
      </c>
      <c r="G1270" s="1">
        <v>13526</v>
      </c>
      <c r="H1270" s="1" t="s">
        <v>10</v>
      </c>
      <c r="I1270" s="1">
        <f t="shared" si="4"/>
        <v>15.12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 x14ac:dyDescent="0.2">
      <c r="A1271" s="1">
        <v>489560</v>
      </c>
      <c r="B1271" s="1">
        <v>35955</v>
      </c>
      <c r="C1271" s="1" t="s">
        <v>767</v>
      </c>
      <c r="D1271" s="1">
        <v>33</v>
      </c>
      <c r="E1271" s="3">
        <v>40148.538888888892</v>
      </c>
      <c r="F1271" s="1">
        <v>0.42</v>
      </c>
      <c r="G1271" s="1">
        <v>13526</v>
      </c>
      <c r="H1271" s="1" t="s">
        <v>10</v>
      </c>
      <c r="I1271" s="1">
        <f t="shared" si="4"/>
        <v>13.86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 x14ac:dyDescent="0.2">
      <c r="A1272" s="1">
        <v>489560</v>
      </c>
      <c r="B1272" s="1">
        <v>90092</v>
      </c>
      <c r="C1272" s="1" t="s">
        <v>908</v>
      </c>
      <c r="D1272" s="1">
        <v>24</v>
      </c>
      <c r="E1272" s="3">
        <v>40148.538888888892</v>
      </c>
      <c r="F1272" s="1">
        <v>0.85</v>
      </c>
      <c r="G1272" s="1">
        <v>13526</v>
      </c>
      <c r="H1272" s="1" t="s">
        <v>10</v>
      </c>
      <c r="I1272" s="1">
        <f t="shared" si="4"/>
        <v>20.399999999999999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 x14ac:dyDescent="0.2">
      <c r="A1273" s="1">
        <v>489560</v>
      </c>
      <c r="B1273" s="1">
        <v>90093</v>
      </c>
      <c r="C1273" s="1" t="s">
        <v>909</v>
      </c>
      <c r="D1273" s="1">
        <v>24</v>
      </c>
      <c r="E1273" s="3">
        <v>40148.538888888892</v>
      </c>
      <c r="F1273" s="1">
        <v>0.85</v>
      </c>
      <c r="G1273" s="1">
        <v>13526</v>
      </c>
      <c r="H1273" s="1" t="s">
        <v>10</v>
      </c>
      <c r="I1273" s="1">
        <f t="shared" si="4"/>
        <v>20.399999999999999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 x14ac:dyDescent="0.2">
      <c r="A1274" s="1">
        <v>489560</v>
      </c>
      <c r="B1274" s="1">
        <v>90090</v>
      </c>
      <c r="C1274" s="1" t="s">
        <v>910</v>
      </c>
      <c r="D1274" s="1">
        <v>24</v>
      </c>
      <c r="E1274" s="3">
        <v>40148.538888888892</v>
      </c>
      <c r="F1274" s="1">
        <v>0.85</v>
      </c>
      <c r="G1274" s="1">
        <v>13526</v>
      </c>
      <c r="H1274" s="1" t="s">
        <v>10</v>
      </c>
      <c r="I1274" s="1">
        <f t="shared" si="4"/>
        <v>20.399999999999999</v>
      </c>
      <c r="J1274" s="2"/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 x14ac:dyDescent="0.2">
      <c r="A1275" s="1">
        <v>489560</v>
      </c>
      <c r="B1275" s="1">
        <v>90088</v>
      </c>
      <c r="C1275" s="1" t="s">
        <v>911</v>
      </c>
      <c r="D1275" s="1">
        <v>24</v>
      </c>
      <c r="E1275" s="3">
        <v>40148.538888888892</v>
      </c>
      <c r="F1275" s="1">
        <v>0.85</v>
      </c>
      <c r="G1275" s="1">
        <v>13526</v>
      </c>
      <c r="H1275" s="1" t="s">
        <v>10</v>
      </c>
      <c r="I1275" s="1">
        <f t="shared" si="4"/>
        <v>20.399999999999999</v>
      </c>
      <c r="J1275" s="2"/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 x14ac:dyDescent="0.2">
      <c r="A1276" s="1">
        <v>489560</v>
      </c>
      <c r="B1276" s="1">
        <v>90090</v>
      </c>
      <c r="C1276" s="1" t="s">
        <v>910</v>
      </c>
      <c r="D1276" s="1">
        <v>12</v>
      </c>
      <c r="E1276" s="3">
        <v>40148.538888888892</v>
      </c>
      <c r="F1276" s="1">
        <v>0.85</v>
      </c>
      <c r="G1276" s="1">
        <v>13526</v>
      </c>
      <c r="H1276" s="1" t="s">
        <v>10</v>
      </c>
      <c r="I1276" s="1">
        <f t="shared" si="4"/>
        <v>10.199999999999999</v>
      </c>
      <c r="J1276" s="2"/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 x14ac:dyDescent="0.2">
      <c r="A1277" s="1">
        <v>489560</v>
      </c>
      <c r="B1277" s="1">
        <v>22155</v>
      </c>
      <c r="C1277" s="1" t="s">
        <v>455</v>
      </c>
      <c r="D1277" s="1">
        <v>12</v>
      </c>
      <c r="E1277" s="3">
        <v>40148.538888888892</v>
      </c>
      <c r="F1277" s="1">
        <v>0.42</v>
      </c>
      <c r="G1277" s="1">
        <v>13526</v>
      </c>
      <c r="H1277" s="1" t="s">
        <v>10</v>
      </c>
      <c r="I1277" s="1">
        <f t="shared" ref="I1277:I1531" si="5">D1277*F1277</f>
        <v>5.04</v>
      </c>
      <c r="J1277" s="2"/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 x14ac:dyDescent="0.2">
      <c r="A1278" s="1">
        <v>489560</v>
      </c>
      <c r="B1278" s="1" t="s">
        <v>912</v>
      </c>
      <c r="C1278" s="1" t="s">
        <v>913</v>
      </c>
      <c r="D1278" s="1">
        <v>12</v>
      </c>
      <c r="E1278" s="3">
        <v>40148.538888888892</v>
      </c>
      <c r="F1278" s="1">
        <v>0.42</v>
      </c>
      <c r="G1278" s="1">
        <v>13526</v>
      </c>
      <c r="H1278" s="1" t="s">
        <v>10</v>
      </c>
      <c r="I1278" s="1">
        <f t="shared" si="5"/>
        <v>5.04</v>
      </c>
      <c r="J1278" s="2"/>
      <c r="K1278" s="2"/>
      <c r="L1278" s="2"/>
      <c r="M1278" s="2"/>
      <c r="N1278" s="2"/>
      <c r="O1278" s="2"/>
      <c r="P1278" s="2"/>
      <c r="Q1278" s="2"/>
      <c r="R1278" s="2"/>
      <c r="S1278" s="2"/>
    </row>
    <row r="1279" spans="1:19" x14ac:dyDescent="0.2">
      <c r="A1279" s="1">
        <v>489560</v>
      </c>
      <c r="B1279" s="1" t="s">
        <v>914</v>
      </c>
      <c r="C1279" s="1" t="s">
        <v>915</v>
      </c>
      <c r="D1279" s="1">
        <v>12</v>
      </c>
      <c r="E1279" s="3">
        <v>40148.538888888892</v>
      </c>
      <c r="F1279" s="1">
        <v>2.1</v>
      </c>
      <c r="G1279" s="1">
        <v>13526</v>
      </c>
      <c r="H1279" s="1" t="s">
        <v>10</v>
      </c>
      <c r="I1279" s="1">
        <f t="shared" si="5"/>
        <v>25.200000000000003</v>
      </c>
      <c r="J1279" s="2"/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 x14ac:dyDescent="0.2">
      <c r="A1280" s="1">
        <v>489560</v>
      </c>
      <c r="B1280" s="1">
        <v>90084</v>
      </c>
      <c r="C1280" s="1" t="s">
        <v>916</v>
      </c>
      <c r="D1280" s="1">
        <v>12</v>
      </c>
      <c r="E1280" s="3">
        <v>40148.538888888892</v>
      </c>
      <c r="F1280" s="1">
        <v>0.85</v>
      </c>
      <c r="G1280" s="1">
        <v>13526</v>
      </c>
      <c r="H1280" s="1" t="s">
        <v>10</v>
      </c>
      <c r="I1280" s="1">
        <f t="shared" si="5"/>
        <v>10.199999999999999</v>
      </c>
      <c r="J1280" s="2"/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 x14ac:dyDescent="0.2">
      <c r="A1281" s="1">
        <v>489560</v>
      </c>
      <c r="B1281" s="1">
        <v>35160</v>
      </c>
      <c r="C1281" s="1" t="s">
        <v>917</v>
      </c>
      <c r="D1281" s="1">
        <v>8</v>
      </c>
      <c r="E1281" s="3">
        <v>40148.538888888892</v>
      </c>
      <c r="F1281" s="1">
        <v>0.85</v>
      </c>
      <c r="G1281" s="1">
        <v>13526</v>
      </c>
      <c r="H1281" s="1" t="s">
        <v>10</v>
      </c>
      <c r="I1281" s="1">
        <f t="shared" si="5"/>
        <v>6.8</v>
      </c>
      <c r="J1281" s="2"/>
      <c r="K1281" s="2"/>
      <c r="L1281" s="2"/>
      <c r="M1281" s="2"/>
      <c r="N1281" s="2"/>
      <c r="O1281" s="2"/>
      <c r="P1281" s="2"/>
      <c r="Q1281" s="2"/>
      <c r="R1281" s="2"/>
      <c r="S1281" s="2"/>
    </row>
    <row r="1282" spans="1:19" x14ac:dyDescent="0.2">
      <c r="A1282" s="1">
        <v>489560</v>
      </c>
      <c r="B1282" s="1">
        <v>90092</v>
      </c>
      <c r="C1282" s="1" t="s">
        <v>908</v>
      </c>
      <c r="D1282" s="1">
        <v>3</v>
      </c>
      <c r="E1282" s="3">
        <v>40148.538888888892</v>
      </c>
      <c r="F1282" s="1">
        <v>0.85</v>
      </c>
      <c r="G1282" s="1">
        <v>13526</v>
      </c>
      <c r="H1282" s="1" t="s">
        <v>10</v>
      </c>
      <c r="I1282" s="1">
        <f t="shared" si="5"/>
        <v>2.5499999999999998</v>
      </c>
      <c r="J1282" s="2"/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 x14ac:dyDescent="0.2">
      <c r="A1283" s="1">
        <v>489560</v>
      </c>
      <c r="B1283" s="1" t="s">
        <v>304</v>
      </c>
      <c r="C1283" s="1" t="s">
        <v>305</v>
      </c>
      <c r="D1283" s="1">
        <v>3</v>
      </c>
      <c r="E1283" s="3">
        <v>40148.538888888892</v>
      </c>
      <c r="F1283" s="1">
        <v>2.1</v>
      </c>
      <c r="G1283" s="1">
        <v>13526</v>
      </c>
      <c r="H1283" s="1" t="s">
        <v>10</v>
      </c>
      <c r="I1283" s="1">
        <f t="shared" si="5"/>
        <v>6.3000000000000007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 x14ac:dyDescent="0.2">
      <c r="A1284" s="1">
        <v>489560</v>
      </c>
      <c r="B1284" s="1">
        <v>21034</v>
      </c>
      <c r="C1284" s="1" t="s">
        <v>606</v>
      </c>
      <c r="D1284" s="1">
        <v>3</v>
      </c>
      <c r="E1284" s="3">
        <v>40148.538888888892</v>
      </c>
      <c r="F1284" s="1">
        <v>0.95</v>
      </c>
      <c r="G1284" s="1">
        <v>13526</v>
      </c>
      <c r="H1284" s="1" t="s">
        <v>10</v>
      </c>
      <c r="I1284" s="1">
        <f t="shared" si="5"/>
        <v>2.8499999999999996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</row>
    <row r="1285" spans="1:19" x14ac:dyDescent="0.2">
      <c r="A1285" s="1">
        <v>489560</v>
      </c>
      <c r="B1285" s="1">
        <v>85208</v>
      </c>
      <c r="C1285" s="1" t="s">
        <v>918</v>
      </c>
      <c r="D1285" s="1">
        <v>1</v>
      </c>
      <c r="E1285" s="3">
        <v>40148.538888888892</v>
      </c>
      <c r="F1285" s="1">
        <v>2.1</v>
      </c>
      <c r="G1285" s="1">
        <v>13526</v>
      </c>
      <c r="H1285" s="1" t="s">
        <v>10</v>
      </c>
      <c r="I1285" s="1">
        <f t="shared" si="5"/>
        <v>2.1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 x14ac:dyDescent="0.2">
      <c r="A1286" s="1">
        <v>489560</v>
      </c>
      <c r="B1286" s="1">
        <v>84578</v>
      </c>
      <c r="C1286" s="1" t="s">
        <v>919</v>
      </c>
      <c r="D1286" s="1">
        <v>1</v>
      </c>
      <c r="E1286" s="3">
        <v>40148.538888888892</v>
      </c>
      <c r="F1286" s="1">
        <v>3.75</v>
      </c>
      <c r="G1286" s="1">
        <v>13526</v>
      </c>
      <c r="H1286" s="1" t="s">
        <v>10</v>
      </c>
      <c r="I1286" s="1">
        <f t="shared" si="5"/>
        <v>3.75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2"/>
    </row>
    <row r="1287" spans="1:19" x14ac:dyDescent="0.2">
      <c r="A1287" s="1">
        <v>489560</v>
      </c>
      <c r="B1287" s="1">
        <v>84901</v>
      </c>
      <c r="C1287" s="1" t="s">
        <v>920</v>
      </c>
      <c r="D1287" s="1">
        <v>1</v>
      </c>
      <c r="E1287" s="3">
        <v>40148.538888888892</v>
      </c>
      <c r="F1287" s="1">
        <v>3.75</v>
      </c>
      <c r="G1287" s="1">
        <v>13526</v>
      </c>
      <c r="H1287" s="1" t="s">
        <v>10</v>
      </c>
      <c r="I1287" s="1">
        <f t="shared" si="5"/>
        <v>3.75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 x14ac:dyDescent="0.2">
      <c r="A1288" s="1">
        <v>489560</v>
      </c>
      <c r="B1288" s="1">
        <v>21034</v>
      </c>
      <c r="C1288" s="1" t="s">
        <v>606</v>
      </c>
      <c r="D1288" s="1">
        <v>1</v>
      </c>
      <c r="E1288" s="3">
        <v>40148.538888888892</v>
      </c>
      <c r="F1288" s="1">
        <v>0.95</v>
      </c>
      <c r="G1288" s="1">
        <v>13526</v>
      </c>
      <c r="H1288" s="1" t="s">
        <v>10</v>
      </c>
      <c r="I1288" s="1">
        <f t="shared" si="5"/>
        <v>0.95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 x14ac:dyDescent="0.2">
      <c r="A1289" s="1">
        <v>489561</v>
      </c>
      <c r="B1289" s="1">
        <v>22153</v>
      </c>
      <c r="C1289" s="1" t="s">
        <v>921</v>
      </c>
      <c r="D1289" s="1">
        <v>48</v>
      </c>
      <c r="E1289" s="3">
        <v>40148.539583333331</v>
      </c>
      <c r="F1289" s="1">
        <v>0.42</v>
      </c>
      <c r="G1289" s="1">
        <v>14654</v>
      </c>
      <c r="H1289" s="1" t="s">
        <v>10</v>
      </c>
      <c r="I1289" s="1">
        <f t="shared" si="5"/>
        <v>20.16</v>
      </c>
      <c r="J1289" s="2"/>
      <c r="K1289" s="2"/>
      <c r="L1289" s="2"/>
      <c r="M1289" s="2"/>
      <c r="N1289" s="2"/>
      <c r="O1289" s="2"/>
      <c r="P1289" s="2"/>
      <c r="Q1289" s="2"/>
      <c r="R1289" s="2"/>
      <c r="S1289" s="2"/>
    </row>
    <row r="1290" spans="1:19" x14ac:dyDescent="0.2">
      <c r="A1290" s="1">
        <v>489561</v>
      </c>
      <c r="B1290" s="1">
        <v>84077</v>
      </c>
      <c r="C1290" s="1" t="s">
        <v>922</v>
      </c>
      <c r="D1290" s="1">
        <v>48</v>
      </c>
      <c r="E1290" s="3">
        <v>40148.539583333331</v>
      </c>
      <c r="F1290" s="1">
        <v>0.21</v>
      </c>
      <c r="G1290" s="1">
        <v>14654</v>
      </c>
      <c r="H1290" s="1" t="s">
        <v>10</v>
      </c>
      <c r="I1290" s="1">
        <f t="shared" si="5"/>
        <v>10.08</v>
      </c>
      <c r="J1290" s="2"/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 x14ac:dyDescent="0.2">
      <c r="A1291" s="1">
        <v>489561</v>
      </c>
      <c r="B1291" s="1" t="s">
        <v>884</v>
      </c>
      <c r="C1291" s="1" t="s">
        <v>885</v>
      </c>
      <c r="D1291" s="1">
        <v>25</v>
      </c>
      <c r="E1291" s="3">
        <v>40148.539583333331</v>
      </c>
      <c r="F1291" s="1">
        <v>0.42</v>
      </c>
      <c r="G1291" s="1">
        <v>14654</v>
      </c>
      <c r="H1291" s="1" t="s">
        <v>10</v>
      </c>
      <c r="I1291" s="1">
        <f t="shared" si="5"/>
        <v>10.5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</row>
    <row r="1292" spans="1:19" x14ac:dyDescent="0.2">
      <c r="A1292" s="1">
        <v>489561</v>
      </c>
      <c r="B1292" s="1">
        <v>20979</v>
      </c>
      <c r="C1292" s="1" t="s">
        <v>862</v>
      </c>
      <c r="D1292" s="1">
        <v>16</v>
      </c>
      <c r="E1292" s="3">
        <v>40148.539583333331</v>
      </c>
      <c r="F1292" s="1">
        <v>1.25</v>
      </c>
      <c r="G1292" s="1">
        <v>14654</v>
      </c>
      <c r="H1292" s="1" t="s">
        <v>10</v>
      </c>
      <c r="I1292" s="1">
        <f t="shared" si="5"/>
        <v>20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 x14ac:dyDescent="0.2">
      <c r="A1293" s="1">
        <v>489561</v>
      </c>
      <c r="B1293" s="1">
        <v>20978</v>
      </c>
      <c r="C1293" s="1" t="s">
        <v>923</v>
      </c>
      <c r="D1293" s="1">
        <v>16</v>
      </c>
      <c r="E1293" s="3">
        <v>40148.539583333331</v>
      </c>
      <c r="F1293" s="1">
        <v>1.25</v>
      </c>
      <c r="G1293" s="1">
        <v>14654</v>
      </c>
      <c r="H1293" s="1" t="s">
        <v>10</v>
      </c>
      <c r="I1293" s="1">
        <f t="shared" si="5"/>
        <v>20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</row>
    <row r="1294" spans="1:19" x14ac:dyDescent="0.2">
      <c r="A1294" s="1">
        <v>489561</v>
      </c>
      <c r="B1294" s="1">
        <v>84670</v>
      </c>
      <c r="C1294" s="1" t="s">
        <v>805</v>
      </c>
      <c r="D1294" s="1">
        <v>12</v>
      </c>
      <c r="E1294" s="3">
        <v>40148.539583333331</v>
      </c>
      <c r="F1294" s="1">
        <v>0.42</v>
      </c>
      <c r="G1294" s="1">
        <v>14654</v>
      </c>
      <c r="H1294" s="1" t="s">
        <v>10</v>
      </c>
      <c r="I1294" s="1">
        <f t="shared" si="5"/>
        <v>5.04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</row>
    <row r="1295" spans="1:19" x14ac:dyDescent="0.2">
      <c r="A1295" s="1">
        <v>489561</v>
      </c>
      <c r="B1295" s="1">
        <v>22113</v>
      </c>
      <c r="C1295" s="1" t="s">
        <v>465</v>
      </c>
      <c r="D1295" s="1">
        <v>8</v>
      </c>
      <c r="E1295" s="3">
        <v>40148.539583333331</v>
      </c>
      <c r="F1295" s="1">
        <v>3.45</v>
      </c>
      <c r="G1295" s="1">
        <v>14654</v>
      </c>
      <c r="H1295" s="1" t="s">
        <v>10</v>
      </c>
      <c r="I1295" s="1">
        <f t="shared" si="5"/>
        <v>27.6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</row>
    <row r="1296" spans="1:19" x14ac:dyDescent="0.2">
      <c r="A1296" s="1">
        <v>489561</v>
      </c>
      <c r="B1296" s="1" t="s">
        <v>924</v>
      </c>
      <c r="C1296" s="1" t="s">
        <v>925</v>
      </c>
      <c r="D1296" s="1">
        <v>7</v>
      </c>
      <c r="E1296" s="3">
        <v>40148.539583333331</v>
      </c>
      <c r="F1296" s="1">
        <v>3.75</v>
      </c>
      <c r="G1296" s="1">
        <v>14654</v>
      </c>
      <c r="H1296" s="1" t="s">
        <v>10</v>
      </c>
      <c r="I1296" s="1">
        <f t="shared" si="5"/>
        <v>26.25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 x14ac:dyDescent="0.2">
      <c r="A1297" s="1">
        <v>489561</v>
      </c>
      <c r="B1297" s="1">
        <v>21805</v>
      </c>
      <c r="C1297" s="1" t="s">
        <v>907</v>
      </c>
      <c r="D1297" s="1">
        <v>6</v>
      </c>
      <c r="E1297" s="3">
        <v>40148.539583333331</v>
      </c>
      <c r="F1297" s="1">
        <v>0.42</v>
      </c>
      <c r="G1297" s="1">
        <v>14654</v>
      </c>
      <c r="H1297" s="1" t="s">
        <v>10</v>
      </c>
      <c r="I1297" s="1">
        <f t="shared" si="5"/>
        <v>2.52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 x14ac:dyDescent="0.2">
      <c r="A1298" s="1">
        <v>489561</v>
      </c>
      <c r="B1298" s="1">
        <v>21807</v>
      </c>
      <c r="C1298" s="1" t="s">
        <v>926</v>
      </c>
      <c r="D1298" s="1">
        <v>6</v>
      </c>
      <c r="E1298" s="3">
        <v>40148.539583333331</v>
      </c>
      <c r="F1298" s="1">
        <v>0.42</v>
      </c>
      <c r="G1298" s="1">
        <v>14654</v>
      </c>
      <c r="H1298" s="1" t="s">
        <v>10</v>
      </c>
      <c r="I1298" s="1">
        <f t="shared" si="5"/>
        <v>2.52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 x14ac:dyDescent="0.2">
      <c r="A1299" s="1">
        <v>489561</v>
      </c>
      <c r="B1299" s="1">
        <v>21806</v>
      </c>
      <c r="C1299" s="1" t="s">
        <v>927</v>
      </c>
      <c r="D1299" s="1">
        <v>6</v>
      </c>
      <c r="E1299" s="3">
        <v>40148.539583333331</v>
      </c>
      <c r="F1299" s="1">
        <v>0.42</v>
      </c>
      <c r="G1299" s="1">
        <v>14654</v>
      </c>
      <c r="H1299" s="1" t="s">
        <v>10</v>
      </c>
      <c r="I1299" s="1">
        <f t="shared" si="5"/>
        <v>2.52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 x14ac:dyDescent="0.2">
      <c r="A1300" s="1">
        <v>489561</v>
      </c>
      <c r="B1300" s="1">
        <v>22294</v>
      </c>
      <c r="C1300" s="1" t="s">
        <v>175</v>
      </c>
      <c r="D1300" s="1">
        <v>6</v>
      </c>
      <c r="E1300" s="3">
        <v>40148.539583333331</v>
      </c>
      <c r="F1300" s="1">
        <v>1.25</v>
      </c>
      <c r="G1300" s="1">
        <v>14654</v>
      </c>
      <c r="H1300" s="1" t="s">
        <v>10</v>
      </c>
      <c r="I1300" s="1">
        <f t="shared" si="5"/>
        <v>7.5</v>
      </c>
      <c r="J1300" s="2"/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 x14ac:dyDescent="0.2">
      <c r="A1301" s="1">
        <v>489561</v>
      </c>
      <c r="B1301" s="1">
        <v>21815</v>
      </c>
      <c r="C1301" s="1" t="s">
        <v>928</v>
      </c>
      <c r="D1301" s="1">
        <v>6</v>
      </c>
      <c r="E1301" s="3">
        <v>40148.539583333331</v>
      </c>
      <c r="F1301" s="1">
        <v>1.45</v>
      </c>
      <c r="G1301" s="1">
        <v>14654</v>
      </c>
      <c r="H1301" s="1" t="s">
        <v>10</v>
      </c>
      <c r="I1301" s="1">
        <f t="shared" si="5"/>
        <v>8.6999999999999993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</row>
    <row r="1302" spans="1:19" x14ac:dyDescent="0.2">
      <c r="A1302" s="1">
        <v>489561</v>
      </c>
      <c r="B1302" s="1">
        <v>21816</v>
      </c>
      <c r="C1302" s="1" t="s">
        <v>929</v>
      </c>
      <c r="D1302" s="1">
        <v>6</v>
      </c>
      <c r="E1302" s="3">
        <v>40148.539583333331</v>
      </c>
      <c r="F1302" s="1">
        <v>1.45</v>
      </c>
      <c r="G1302" s="1">
        <v>14654</v>
      </c>
      <c r="H1302" s="1" t="s">
        <v>10</v>
      </c>
      <c r="I1302" s="1">
        <f t="shared" si="5"/>
        <v>8.6999999999999993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 x14ac:dyDescent="0.2">
      <c r="A1303" s="1">
        <v>489561</v>
      </c>
      <c r="B1303" s="1" t="s">
        <v>930</v>
      </c>
      <c r="C1303" s="1" t="s">
        <v>931</v>
      </c>
      <c r="D1303" s="1">
        <v>6</v>
      </c>
      <c r="E1303" s="3">
        <v>40148.539583333331</v>
      </c>
      <c r="F1303" s="1">
        <v>0.42</v>
      </c>
      <c r="G1303" s="1">
        <v>14654</v>
      </c>
      <c r="H1303" s="1" t="s">
        <v>10</v>
      </c>
      <c r="I1303" s="1">
        <f t="shared" si="5"/>
        <v>2.52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</row>
    <row r="1304" spans="1:19" x14ac:dyDescent="0.2">
      <c r="A1304" s="1">
        <v>489561</v>
      </c>
      <c r="B1304" s="1">
        <v>20943</v>
      </c>
      <c r="C1304" s="1" t="s">
        <v>932</v>
      </c>
      <c r="D1304" s="1">
        <v>6</v>
      </c>
      <c r="E1304" s="3">
        <v>40148.539583333331</v>
      </c>
      <c r="F1304" s="1">
        <v>1.25</v>
      </c>
      <c r="G1304" s="1">
        <v>14654</v>
      </c>
      <c r="H1304" s="1" t="s">
        <v>10</v>
      </c>
      <c r="I1304" s="1">
        <f t="shared" si="5"/>
        <v>7.5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</row>
    <row r="1305" spans="1:19" x14ac:dyDescent="0.2">
      <c r="A1305" s="1">
        <v>489561</v>
      </c>
      <c r="B1305" s="1">
        <v>72816</v>
      </c>
      <c r="C1305" s="1" t="s">
        <v>933</v>
      </c>
      <c r="D1305" s="1">
        <v>6</v>
      </c>
      <c r="E1305" s="3">
        <v>40148.539583333331</v>
      </c>
      <c r="F1305" s="1">
        <v>1.25</v>
      </c>
      <c r="G1305" s="1">
        <v>14654</v>
      </c>
      <c r="H1305" s="1" t="s">
        <v>10</v>
      </c>
      <c r="I1305" s="1">
        <f t="shared" si="5"/>
        <v>7.5</v>
      </c>
      <c r="J1305" s="2"/>
      <c r="K1305" s="2"/>
      <c r="L1305" s="2"/>
      <c r="M1305" s="2"/>
      <c r="N1305" s="2"/>
      <c r="O1305" s="2"/>
      <c r="P1305" s="2"/>
      <c r="Q1305" s="2"/>
      <c r="R1305" s="2"/>
      <c r="S1305" s="2"/>
    </row>
    <row r="1306" spans="1:19" x14ac:dyDescent="0.2">
      <c r="A1306" s="1">
        <v>489561</v>
      </c>
      <c r="B1306" s="1">
        <v>85038</v>
      </c>
      <c r="C1306" s="1" t="s">
        <v>934</v>
      </c>
      <c r="D1306" s="1">
        <v>6</v>
      </c>
      <c r="E1306" s="3">
        <v>40148.539583333331</v>
      </c>
      <c r="F1306" s="1">
        <v>2.1</v>
      </c>
      <c r="G1306" s="1">
        <v>14654</v>
      </c>
      <c r="H1306" s="1" t="s">
        <v>10</v>
      </c>
      <c r="I1306" s="1">
        <f t="shared" si="5"/>
        <v>12.600000000000001</v>
      </c>
      <c r="J1306" s="2"/>
      <c r="K1306" s="2"/>
      <c r="L1306" s="2"/>
      <c r="M1306" s="2"/>
      <c r="N1306" s="2"/>
      <c r="O1306" s="2"/>
      <c r="P1306" s="2"/>
      <c r="Q1306" s="2"/>
      <c r="R1306" s="2"/>
      <c r="S1306" s="2"/>
    </row>
    <row r="1307" spans="1:19" x14ac:dyDescent="0.2">
      <c r="A1307" s="1">
        <v>489561</v>
      </c>
      <c r="B1307" s="1" t="s">
        <v>935</v>
      </c>
      <c r="C1307" s="1" t="s">
        <v>936</v>
      </c>
      <c r="D1307" s="1">
        <v>6</v>
      </c>
      <c r="E1307" s="3">
        <v>40148.539583333331</v>
      </c>
      <c r="F1307" s="1">
        <v>0.85</v>
      </c>
      <c r="G1307" s="1">
        <v>14654</v>
      </c>
      <c r="H1307" s="1" t="s">
        <v>10</v>
      </c>
      <c r="I1307" s="1">
        <f t="shared" si="5"/>
        <v>5.0999999999999996</v>
      </c>
      <c r="J1307" s="2"/>
      <c r="K1307" s="2"/>
      <c r="L1307" s="2"/>
      <c r="M1307" s="2"/>
      <c r="N1307" s="2"/>
      <c r="O1307" s="2"/>
      <c r="P1307" s="2"/>
      <c r="Q1307" s="2"/>
      <c r="R1307" s="2"/>
      <c r="S1307" s="2"/>
    </row>
    <row r="1308" spans="1:19" x14ac:dyDescent="0.2">
      <c r="A1308" s="1">
        <v>489561</v>
      </c>
      <c r="B1308" s="1">
        <v>84466</v>
      </c>
      <c r="C1308" s="1" t="s">
        <v>937</v>
      </c>
      <c r="D1308" s="1">
        <v>6</v>
      </c>
      <c r="E1308" s="3">
        <v>40148.539583333331</v>
      </c>
      <c r="F1308" s="1">
        <v>1.25</v>
      </c>
      <c r="G1308" s="1">
        <v>14654</v>
      </c>
      <c r="H1308" s="1" t="s">
        <v>10</v>
      </c>
      <c r="I1308" s="1">
        <f t="shared" si="5"/>
        <v>7.5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</row>
    <row r="1309" spans="1:19" x14ac:dyDescent="0.2">
      <c r="A1309" s="1">
        <v>489561</v>
      </c>
      <c r="B1309" s="1">
        <v>70006</v>
      </c>
      <c r="C1309" s="1" t="s">
        <v>694</v>
      </c>
      <c r="D1309" s="1">
        <v>6</v>
      </c>
      <c r="E1309" s="3">
        <v>40148.539583333331</v>
      </c>
      <c r="F1309" s="1">
        <v>1.65</v>
      </c>
      <c r="G1309" s="1">
        <v>14654</v>
      </c>
      <c r="H1309" s="1" t="s">
        <v>10</v>
      </c>
      <c r="I1309" s="1">
        <f t="shared" si="5"/>
        <v>9.8999999999999986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</row>
    <row r="1310" spans="1:19" x14ac:dyDescent="0.2">
      <c r="A1310" s="1">
        <v>489561</v>
      </c>
      <c r="B1310" s="1">
        <v>70007</v>
      </c>
      <c r="C1310" s="1" t="s">
        <v>693</v>
      </c>
      <c r="D1310" s="1">
        <v>6</v>
      </c>
      <c r="E1310" s="3">
        <v>40148.539583333331</v>
      </c>
      <c r="F1310" s="1">
        <v>1.65</v>
      </c>
      <c r="G1310" s="1">
        <v>14654</v>
      </c>
      <c r="H1310" s="1" t="s">
        <v>10</v>
      </c>
      <c r="I1310" s="1">
        <f t="shared" si="5"/>
        <v>9.8999999999999986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</row>
    <row r="1311" spans="1:19" x14ac:dyDescent="0.2">
      <c r="A1311" s="1">
        <v>489561</v>
      </c>
      <c r="B1311" s="1">
        <v>20994</v>
      </c>
      <c r="C1311" s="1" t="s">
        <v>938</v>
      </c>
      <c r="D1311" s="1">
        <v>3</v>
      </c>
      <c r="E1311" s="3">
        <v>40148.539583333331</v>
      </c>
      <c r="F1311" s="1">
        <v>0.85</v>
      </c>
      <c r="G1311" s="1">
        <v>14654</v>
      </c>
      <c r="H1311" s="1" t="s">
        <v>10</v>
      </c>
      <c r="I1311" s="1">
        <f t="shared" si="5"/>
        <v>2.5499999999999998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</row>
    <row r="1312" spans="1:19" x14ac:dyDescent="0.2">
      <c r="A1312" s="1">
        <v>489561</v>
      </c>
      <c r="B1312" s="1">
        <v>20992</v>
      </c>
      <c r="C1312" s="1" t="s">
        <v>939</v>
      </c>
      <c r="D1312" s="1">
        <v>3</v>
      </c>
      <c r="E1312" s="3">
        <v>40148.539583333331</v>
      </c>
      <c r="F1312" s="1">
        <v>0.85</v>
      </c>
      <c r="G1312" s="1">
        <v>14654</v>
      </c>
      <c r="H1312" s="1" t="s">
        <v>10</v>
      </c>
      <c r="I1312" s="1">
        <f t="shared" si="5"/>
        <v>2.5499999999999998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2"/>
    </row>
    <row r="1313" spans="1:19" x14ac:dyDescent="0.2">
      <c r="A1313" s="1">
        <v>489561</v>
      </c>
      <c r="B1313" s="1">
        <v>20942</v>
      </c>
      <c r="C1313" s="1" t="s">
        <v>940</v>
      </c>
      <c r="D1313" s="1">
        <v>1</v>
      </c>
      <c r="E1313" s="3">
        <v>40148.539583333331</v>
      </c>
      <c r="F1313" s="1">
        <v>1.25</v>
      </c>
      <c r="G1313" s="1">
        <v>14654</v>
      </c>
      <c r="H1313" s="1" t="s">
        <v>10</v>
      </c>
      <c r="I1313" s="1">
        <f t="shared" si="5"/>
        <v>1.25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</row>
    <row r="1314" spans="1:19" x14ac:dyDescent="0.2">
      <c r="A1314" s="1">
        <v>489561</v>
      </c>
      <c r="B1314" s="1">
        <v>22111</v>
      </c>
      <c r="C1314" s="1" t="s">
        <v>24</v>
      </c>
      <c r="D1314" s="1">
        <v>1</v>
      </c>
      <c r="E1314" s="3">
        <v>40148.539583333331</v>
      </c>
      <c r="F1314" s="1">
        <v>4.95</v>
      </c>
      <c r="G1314" s="1">
        <v>14654</v>
      </c>
      <c r="H1314" s="1" t="s">
        <v>10</v>
      </c>
      <c r="I1314" s="1">
        <f t="shared" si="5"/>
        <v>4.95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</row>
    <row r="1315" spans="1:19" x14ac:dyDescent="0.2">
      <c r="A1315" s="1">
        <v>489561</v>
      </c>
      <c r="B1315" s="1">
        <v>21034</v>
      </c>
      <c r="C1315" s="1" t="s">
        <v>606</v>
      </c>
      <c r="D1315" s="1">
        <v>1</v>
      </c>
      <c r="E1315" s="3">
        <v>40148.539583333331</v>
      </c>
      <c r="F1315" s="1">
        <v>0.95</v>
      </c>
      <c r="G1315" s="1">
        <v>14654</v>
      </c>
      <c r="H1315" s="1" t="s">
        <v>10</v>
      </c>
      <c r="I1315" s="1">
        <f t="shared" si="5"/>
        <v>0.95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</row>
    <row r="1316" spans="1:19" x14ac:dyDescent="0.2">
      <c r="A1316" s="1">
        <v>489562</v>
      </c>
      <c r="B1316" s="1">
        <v>84270</v>
      </c>
      <c r="C1316" s="1" t="s">
        <v>610</v>
      </c>
      <c r="D1316" s="1">
        <v>30</v>
      </c>
      <c r="E1316" s="3">
        <v>40148.546527777777</v>
      </c>
      <c r="F1316" s="1">
        <v>0.21</v>
      </c>
      <c r="G1316" s="1">
        <v>17998</v>
      </c>
      <c r="H1316" s="1" t="s">
        <v>10</v>
      </c>
      <c r="I1316" s="1">
        <f t="shared" si="5"/>
        <v>6.3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</row>
    <row r="1317" spans="1:19" x14ac:dyDescent="0.2">
      <c r="A1317" s="1">
        <v>489562</v>
      </c>
      <c r="B1317" s="1">
        <v>22151</v>
      </c>
      <c r="C1317" s="1" t="s">
        <v>941</v>
      </c>
      <c r="D1317" s="1">
        <v>24</v>
      </c>
      <c r="E1317" s="3">
        <v>40148.546527777777</v>
      </c>
      <c r="F1317" s="1">
        <v>0.42</v>
      </c>
      <c r="G1317" s="1">
        <v>17998</v>
      </c>
      <c r="H1317" s="1" t="s">
        <v>10</v>
      </c>
      <c r="I1317" s="1">
        <f t="shared" si="5"/>
        <v>10.08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</row>
    <row r="1318" spans="1:19" x14ac:dyDescent="0.2">
      <c r="A1318" s="1">
        <v>489562</v>
      </c>
      <c r="B1318" s="1">
        <v>21700</v>
      </c>
      <c r="C1318" s="1" t="s">
        <v>747</v>
      </c>
      <c r="D1318" s="1">
        <v>12</v>
      </c>
      <c r="E1318" s="3">
        <v>40148.546527777777</v>
      </c>
      <c r="F1318" s="1">
        <v>0.85</v>
      </c>
      <c r="G1318" s="1">
        <v>17998</v>
      </c>
      <c r="H1318" s="1" t="s">
        <v>10</v>
      </c>
      <c r="I1318" s="1">
        <f t="shared" si="5"/>
        <v>10.199999999999999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</row>
    <row r="1319" spans="1:19" x14ac:dyDescent="0.2">
      <c r="A1319" s="1">
        <v>489562</v>
      </c>
      <c r="B1319" s="1">
        <v>21890</v>
      </c>
      <c r="C1319" s="1" t="s">
        <v>684</v>
      </c>
      <c r="D1319" s="1">
        <v>2</v>
      </c>
      <c r="E1319" s="3">
        <v>40148.546527777777</v>
      </c>
      <c r="F1319" s="1">
        <v>2.95</v>
      </c>
      <c r="G1319" s="1">
        <v>17998</v>
      </c>
      <c r="H1319" s="1" t="s">
        <v>10</v>
      </c>
      <c r="I1319" s="1">
        <f t="shared" si="5"/>
        <v>5.9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</row>
    <row r="1320" spans="1:19" x14ac:dyDescent="0.2">
      <c r="A1320" s="1">
        <v>489562</v>
      </c>
      <c r="B1320" s="1">
        <v>21891</v>
      </c>
      <c r="C1320" s="1" t="s">
        <v>896</v>
      </c>
      <c r="D1320" s="1">
        <v>2</v>
      </c>
      <c r="E1320" s="3">
        <v>40148.546527777777</v>
      </c>
      <c r="F1320" s="1">
        <v>1.25</v>
      </c>
      <c r="G1320" s="1">
        <v>17998</v>
      </c>
      <c r="H1320" s="1" t="s">
        <v>10</v>
      </c>
      <c r="I1320" s="1">
        <f t="shared" si="5"/>
        <v>2.5</v>
      </c>
      <c r="J1320" s="2"/>
      <c r="K1320" s="2"/>
      <c r="L1320" s="2"/>
      <c r="M1320" s="2"/>
      <c r="N1320" s="2"/>
      <c r="O1320" s="2"/>
      <c r="P1320" s="2"/>
      <c r="Q1320" s="2"/>
      <c r="R1320" s="2"/>
      <c r="S1320" s="2"/>
    </row>
    <row r="1321" spans="1:19" x14ac:dyDescent="0.2">
      <c r="A1321" s="1">
        <v>489562</v>
      </c>
      <c r="B1321" s="1" t="s">
        <v>178</v>
      </c>
      <c r="C1321" s="1" t="s">
        <v>179</v>
      </c>
      <c r="D1321" s="1">
        <v>2</v>
      </c>
      <c r="E1321" s="3">
        <v>40148.546527777777</v>
      </c>
      <c r="F1321" s="1">
        <v>1.95</v>
      </c>
      <c r="G1321" s="1">
        <v>17998</v>
      </c>
      <c r="H1321" s="1" t="s">
        <v>10</v>
      </c>
      <c r="I1321" s="1">
        <f t="shared" si="5"/>
        <v>3.9</v>
      </c>
      <c r="J1321" s="2"/>
      <c r="K1321" s="2"/>
      <c r="L1321" s="2"/>
      <c r="M1321" s="2"/>
      <c r="N1321" s="2"/>
      <c r="O1321" s="2"/>
      <c r="P1321" s="2"/>
      <c r="Q1321" s="2"/>
      <c r="R1321" s="2"/>
      <c r="S1321" s="2"/>
    </row>
    <row r="1322" spans="1:19" x14ac:dyDescent="0.2">
      <c r="A1322" s="1">
        <v>489562</v>
      </c>
      <c r="B1322" s="1">
        <v>21929</v>
      </c>
      <c r="C1322" s="1" t="s">
        <v>168</v>
      </c>
      <c r="D1322" s="1">
        <v>2</v>
      </c>
      <c r="E1322" s="3">
        <v>40148.546527777777</v>
      </c>
      <c r="F1322" s="1">
        <v>1.95</v>
      </c>
      <c r="G1322" s="1">
        <v>17998</v>
      </c>
      <c r="H1322" s="1" t="s">
        <v>10</v>
      </c>
      <c r="I1322" s="1">
        <f t="shared" si="5"/>
        <v>3.9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</row>
    <row r="1323" spans="1:19" x14ac:dyDescent="0.2">
      <c r="A1323" s="1">
        <v>489562</v>
      </c>
      <c r="B1323" s="1">
        <v>84622</v>
      </c>
      <c r="C1323" s="1" t="s">
        <v>942</v>
      </c>
      <c r="D1323" s="1">
        <v>2</v>
      </c>
      <c r="E1323" s="3">
        <v>40148.546527777777</v>
      </c>
      <c r="F1323" s="1">
        <v>5.95</v>
      </c>
      <c r="G1323" s="1">
        <v>17998</v>
      </c>
      <c r="H1323" s="1" t="s">
        <v>10</v>
      </c>
      <c r="I1323" s="1">
        <f t="shared" si="5"/>
        <v>11.9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</row>
    <row r="1324" spans="1:19" x14ac:dyDescent="0.2">
      <c r="A1324" s="1">
        <v>489562</v>
      </c>
      <c r="B1324" s="1">
        <v>22336</v>
      </c>
      <c r="C1324" s="1" t="s">
        <v>943</v>
      </c>
      <c r="D1324" s="1">
        <v>1</v>
      </c>
      <c r="E1324" s="3">
        <v>40148.546527777777</v>
      </c>
      <c r="F1324" s="1">
        <v>0.65</v>
      </c>
      <c r="G1324" s="1">
        <v>17998</v>
      </c>
      <c r="H1324" s="1" t="s">
        <v>10</v>
      </c>
      <c r="I1324" s="1">
        <f t="shared" si="5"/>
        <v>0.65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</row>
    <row r="1325" spans="1:19" x14ac:dyDescent="0.2">
      <c r="A1325" s="1">
        <v>489562</v>
      </c>
      <c r="B1325" s="1">
        <v>21817</v>
      </c>
      <c r="C1325" s="1" t="s">
        <v>459</v>
      </c>
      <c r="D1325" s="1">
        <v>1</v>
      </c>
      <c r="E1325" s="3">
        <v>40148.546527777777</v>
      </c>
      <c r="F1325" s="1">
        <v>0.85</v>
      </c>
      <c r="G1325" s="1">
        <v>17998</v>
      </c>
      <c r="H1325" s="1" t="s">
        <v>10</v>
      </c>
      <c r="I1325" s="1">
        <f t="shared" si="5"/>
        <v>0.85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</row>
    <row r="1326" spans="1:19" x14ac:dyDescent="0.2">
      <c r="A1326" s="1">
        <v>489562</v>
      </c>
      <c r="B1326" s="1">
        <v>22156</v>
      </c>
      <c r="C1326" s="1" t="s">
        <v>944</v>
      </c>
      <c r="D1326" s="1">
        <v>1</v>
      </c>
      <c r="E1326" s="3">
        <v>40148.546527777777</v>
      </c>
      <c r="F1326" s="1">
        <v>0.85</v>
      </c>
      <c r="G1326" s="1">
        <v>17998</v>
      </c>
      <c r="H1326" s="1" t="s">
        <v>10</v>
      </c>
      <c r="I1326" s="1">
        <f t="shared" si="5"/>
        <v>0.85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</row>
    <row r="1327" spans="1:19" x14ac:dyDescent="0.2">
      <c r="A1327" s="1">
        <v>489562</v>
      </c>
      <c r="B1327" s="1">
        <v>22338</v>
      </c>
      <c r="C1327" s="1" t="s">
        <v>945</v>
      </c>
      <c r="D1327" s="1">
        <v>1</v>
      </c>
      <c r="E1327" s="3">
        <v>40148.546527777777</v>
      </c>
      <c r="F1327" s="1">
        <v>0.65</v>
      </c>
      <c r="G1327" s="1">
        <v>17998</v>
      </c>
      <c r="H1327" s="1" t="s">
        <v>10</v>
      </c>
      <c r="I1327" s="1">
        <f t="shared" si="5"/>
        <v>0.65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</row>
    <row r="1328" spans="1:19" x14ac:dyDescent="0.2">
      <c r="A1328" s="1">
        <v>489562</v>
      </c>
      <c r="B1328" s="1">
        <v>21825</v>
      </c>
      <c r="C1328" s="1" t="s">
        <v>946</v>
      </c>
      <c r="D1328" s="1">
        <v>1</v>
      </c>
      <c r="E1328" s="3">
        <v>40148.546527777777</v>
      </c>
      <c r="F1328" s="1">
        <v>1.45</v>
      </c>
      <c r="G1328" s="1">
        <v>17998</v>
      </c>
      <c r="H1328" s="1" t="s">
        <v>10</v>
      </c>
      <c r="I1328" s="1">
        <f t="shared" si="5"/>
        <v>1.45</v>
      </c>
      <c r="J1328" s="2"/>
      <c r="K1328" s="2"/>
      <c r="L1328" s="2"/>
      <c r="M1328" s="2"/>
      <c r="N1328" s="2"/>
      <c r="O1328" s="2"/>
      <c r="P1328" s="2"/>
      <c r="Q1328" s="2"/>
      <c r="R1328" s="2"/>
      <c r="S1328" s="2"/>
    </row>
    <row r="1329" spans="1:19" x14ac:dyDescent="0.2">
      <c r="A1329" s="1">
        <v>489562</v>
      </c>
      <c r="B1329" s="1">
        <v>21822</v>
      </c>
      <c r="C1329" s="1" t="s">
        <v>947</v>
      </c>
      <c r="D1329" s="1">
        <v>1</v>
      </c>
      <c r="E1329" s="3">
        <v>40148.546527777777</v>
      </c>
      <c r="F1329" s="1">
        <v>1.95</v>
      </c>
      <c r="G1329" s="1">
        <v>17998</v>
      </c>
      <c r="H1329" s="1" t="s">
        <v>10</v>
      </c>
      <c r="I1329" s="1">
        <f t="shared" si="5"/>
        <v>1.95</v>
      </c>
      <c r="J1329" s="2"/>
      <c r="K1329" s="2"/>
      <c r="L1329" s="2"/>
      <c r="M1329" s="2"/>
      <c r="N1329" s="2"/>
      <c r="O1329" s="2"/>
      <c r="P1329" s="2"/>
      <c r="Q1329" s="2"/>
      <c r="R1329" s="2"/>
      <c r="S1329" s="2"/>
    </row>
    <row r="1330" spans="1:19" x14ac:dyDescent="0.2">
      <c r="A1330" s="1">
        <v>489562</v>
      </c>
      <c r="B1330" s="1">
        <v>22276</v>
      </c>
      <c r="C1330" s="1" t="s">
        <v>385</v>
      </c>
      <c r="D1330" s="1">
        <v>1</v>
      </c>
      <c r="E1330" s="3">
        <v>40148.546527777777</v>
      </c>
      <c r="F1330" s="1">
        <v>2.5499999999999998</v>
      </c>
      <c r="G1330" s="1">
        <v>17998</v>
      </c>
      <c r="H1330" s="1" t="s">
        <v>10</v>
      </c>
      <c r="I1330" s="1">
        <f t="shared" si="5"/>
        <v>2.5499999999999998</v>
      </c>
      <c r="J1330" s="2"/>
      <c r="K1330" s="2"/>
      <c r="L1330" s="2"/>
      <c r="M1330" s="2"/>
      <c r="N1330" s="2"/>
      <c r="O1330" s="2"/>
      <c r="P1330" s="2"/>
      <c r="Q1330" s="2"/>
      <c r="R1330" s="2"/>
      <c r="S1330" s="2"/>
    </row>
    <row r="1331" spans="1:19" x14ac:dyDescent="0.2">
      <c r="A1331" s="1">
        <v>489562</v>
      </c>
      <c r="B1331" s="1">
        <v>22277</v>
      </c>
      <c r="C1331" s="1" t="s">
        <v>948</v>
      </c>
      <c r="D1331" s="1">
        <v>1</v>
      </c>
      <c r="E1331" s="3">
        <v>40148.546527777777</v>
      </c>
      <c r="F1331" s="1">
        <v>2.1</v>
      </c>
      <c r="G1331" s="1">
        <v>17998</v>
      </c>
      <c r="H1331" s="1" t="s">
        <v>10</v>
      </c>
      <c r="I1331" s="1">
        <f t="shared" si="5"/>
        <v>2.1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</row>
    <row r="1332" spans="1:19" x14ac:dyDescent="0.2">
      <c r="A1332" s="1">
        <v>489562</v>
      </c>
      <c r="B1332" s="1">
        <v>35979</v>
      </c>
      <c r="C1332" s="1" t="s">
        <v>949</v>
      </c>
      <c r="D1332" s="1">
        <v>1</v>
      </c>
      <c r="E1332" s="3">
        <v>40148.546527777777</v>
      </c>
      <c r="F1332" s="1">
        <v>2.95</v>
      </c>
      <c r="G1332" s="1">
        <v>17998</v>
      </c>
      <c r="H1332" s="1" t="s">
        <v>10</v>
      </c>
      <c r="I1332" s="1">
        <f t="shared" si="5"/>
        <v>2.95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</row>
    <row r="1333" spans="1:19" x14ac:dyDescent="0.2">
      <c r="A1333" s="1">
        <v>489562</v>
      </c>
      <c r="B1333" s="1">
        <v>22169</v>
      </c>
      <c r="C1333" s="1" t="s">
        <v>788</v>
      </c>
      <c r="D1333" s="1">
        <v>1</v>
      </c>
      <c r="E1333" s="3">
        <v>40148.546527777777</v>
      </c>
      <c r="F1333" s="1">
        <v>8.5</v>
      </c>
      <c r="G1333" s="1">
        <v>17998</v>
      </c>
      <c r="H1333" s="1" t="s">
        <v>10</v>
      </c>
      <c r="I1333" s="1">
        <f t="shared" si="5"/>
        <v>8.5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</row>
    <row r="1334" spans="1:19" x14ac:dyDescent="0.2">
      <c r="A1334" s="1">
        <v>489562</v>
      </c>
      <c r="B1334" s="1">
        <v>35071</v>
      </c>
      <c r="C1334" s="1" t="s">
        <v>426</v>
      </c>
      <c r="D1334" s="1">
        <v>1</v>
      </c>
      <c r="E1334" s="3">
        <v>40148.546527777777</v>
      </c>
      <c r="F1334" s="1">
        <v>0.85</v>
      </c>
      <c r="G1334" s="1">
        <v>17998</v>
      </c>
      <c r="H1334" s="1" t="s">
        <v>10</v>
      </c>
      <c r="I1334" s="1">
        <f t="shared" si="5"/>
        <v>0.85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</row>
    <row r="1335" spans="1:19" x14ac:dyDescent="0.2">
      <c r="A1335" s="1">
        <v>489562</v>
      </c>
      <c r="B1335" s="1">
        <v>47566</v>
      </c>
      <c r="C1335" s="1" t="s">
        <v>950</v>
      </c>
      <c r="D1335" s="1">
        <v>1</v>
      </c>
      <c r="E1335" s="3">
        <v>40148.546527777777</v>
      </c>
      <c r="F1335" s="1">
        <v>4.6500000000000004</v>
      </c>
      <c r="G1335" s="1">
        <v>17998</v>
      </c>
      <c r="H1335" s="1" t="s">
        <v>10</v>
      </c>
      <c r="I1335" s="1">
        <f t="shared" si="5"/>
        <v>4.6500000000000004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</row>
    <row r="1336" spans="1:19" x14ac:dyDescent="0.2">
      <c r="A1336" s="1">
        <v>489562</v>
      </c>
      <c r="B1336" s="1">
        <v>21344</v>
      </c>
      <c r="C1336" s="1" t="s">
        <v>951</v>
      </c>
      <c r="D1336" s="1">
        <v>1</v>
      </c>
      <c r="E1336" s="3">
        <v>40148.546527777777</v>
      </c>
      <c r="F1336" s="1">
        <v>9.9499999999999993</v>
      </c>
      <c r="G1336" s="1">
        <v>17998</v>
      </c>
      <c r="H1336" s="1" t="s">
        <v>10</v>
      </c>
      <c r="I1336" s="1">
        <f t="shared" si="5"/>
        <v>9.9499999999999993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</row>
    <row r="1337" spans="1:19" x14ac:dyDescent="0.2">
      <c r="A1337" s="1">
        <v>489562</v>
      </c>
      <c r="B1337" s="1">
        <v>21755</v>
      </c>
      <c r="C1337" s="1" t="s">
        <v>25</v>
      </c>
      <c r="D1337" s="1">
        <v>1</v>
      </c>
      <c r="E1337" s="3">
        <v>40148.546527777777</v>
      </c>
      <c r="F1337" s="1">
        <v>5.95</v>
      </c>
      <c r="G1337" s="1">
        <v>17998</v>
      </c>
      <c r="H1337" s="1" t="s">
        <v>10</v>
      </c>
      <c r="I1337" s="1">
        <f t="shared" si="5"/>
        <v>5.95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</row>
    <row r="1338" spans="1:19" x14ac:dyDescent="0.2">
      <c r="A1338" s="1">
        <v>489562</v>
      </c>
      <c r="B1338" s="1">
        <v>21477</v>
      </c>
      <c r="C1338" s="1" t="s">
        <v>952</v>
      </c>
      <c r="D1338" s="1">
        <v>1</v>
      </c>
      <c r="E1338" s="3">
        <v>40148.546527777777</v>
      </c>
      <c r="F1338" s="1">
        <v>12.75</v>
      </c>
      <c r="G1338" s="1">
        <v>17998</v>
      </c>
      <c r="H1338" s="1" t="s">
        <v>10</v>
      </c>
      <c r="I1338" s="1">
        <f t="shared" si="5"/>
        <v>12.75</v>
      </c>
      <c r="J1338" s="2"/>
      <c r="K1338" s="2"/>
      <c r="L1338" s="2"/>
      <c r="M1338" s="2"/>
      <c r="N1338" s="2"/>
      <c r="O1338" s="2"/>
      <c r="P1338" s="2"/>
      <c r="Q1338" s="2"/>
      <c r="R1338" s="2"/>
      <c r="S1338" s="2"/>
    </row>
    <row r="1339" spans="1:19" x14ac:dyDescent="0.2">
      <c r="A1339" s="1">
        <v>489562</v>
      </c>
      <c r="B1339" s="1">
        <v>22143</v>
      </c>
      <c r="C1339" s="1" t="s">
        <v>55</v>
      </c>
      <c r="D1339" s="1">
        <v>1</v>
      </c>
      <c r="E1339" s="3">
        <v>40148.546527777777</v>
      </c>
      <c r="F1339" s="1">
        <v>2.1</v>
      </c>
      <c r="G1339" s="1">
        <v>17998</v>
      </c>
      <c r="H1339" s="1" t="s">
        <v>10</v>
      </c>
      <c r="I1339" s="1">
        <f t="shared" si="5"/>
        <v>2.1</v>
      </c>
      <c r="J1339" s="2"/>
      <c r="K1339" s="2"/>
      <c r="L1339" s="2"/>
      <c r="M1339" s="2"/>
      <c r="N1339" s="2"/>
      <c r="O1339" s="2"/>
      <c r="P1339" s="2"/>
      <c r="Q1339" s="2"/>
      <c r="R1339" s="2"/>
      <c r="S1339" s="2"/>
    </row>
    <row r="1340" spans="1:19" x14ac:dyDescent="0.2">
      <c r="A1340" s="1">
        <v>489562</v>
      </c>
      <c r="B1340" s="1">
        <v>22142</v>
      </c>
      <c r="C1340" s="1" t="s">
        <v>28</v>
      </c>
      <c r="D1340" s="1">
        <v>1</v>
      </c>
      <c r="E1340" s="3">
        <v>40148.546527777777</v>
      </c>
      <c r="F1340" s="1">
        <v>1.45</v>
      </c>
      <c r="G1340" s="1">
        <v>17998</v>
      </c>
      <c r="H1340" s="1" t="s">
        <v>10</v>
      </c>
      <c r="I1340" s="1">
        <f t="shared" si="5"/>
        <v>1.45</v>
      </c>
      <c r="J1340" s="2"/>
      <c r="K1340" s="2"/>
      <c r="L1340" s="2"/>
      <c r="M1340" s="2"/>
      <c r="N1340" s="2"/>
      <c r="O1340" s="2"/>
      <c r="P1340" s="2"/>
      <c r="Q1340" s="2"/>
      <c r="R1340" s="2"/>
      <c r="S1340" s="2"/>
    </row>
    <row r="1341" spans="1:19" x14ac:dyDescent="0.2">
      <c r="A1341" s="1">
        <v>489562</v>
      </c>
      <c r="B1341" s="1">
        <v>85047</v>
      </c>
      <c r="C1341" s="1" t="s">
        <v>953</v>
      </c>
      <c r="D1341" s="1">
        <v>1</v>
      </c>
      <c r="E1341" s="3">
        <v>40148.546527777777</v>
      </c>
      <c r="F1341" s="1">
        <v>6.35</v>
      </c>
      <c r="G1341" s="1">
        <v>17998</v>
      </c>
      <c r="H1341" s="1" t="s">
        <v>10</v>
      </c>
      <c r="I1341" s="1">
        <f t="shared" si="5"/>
        <v>6.35</v>
      </c>
      <c r="J1341" s="2"/>
      <c r="K1341" s="2"/>
      <c r="L1341" s="2"/>
      <c r="M1341" s="2"/>
      <c r="N1341" s="2"/>
      <c r="O1341" s="2"/>
      <c r="P1341" s="2"/>
      <c r="Q1341" s="2"/>
      <c r="R1341" s="2"/>
      <c r="S1341" s="2"/>
    </row>
    <row r="1342" spans="1:19" x14ac:dyDescent="0.2">
      <c r="A1342" s="1">
        <v>489562</v>
      </c>
      <c r="B1342" s="1">
        <v>22139</v>
      </c>
      <c r="C1342" s="1" t="s">
        <v>110</v>
      </c>
      <c r="D1342" s="1">
        <v>1</v>
      </c>
      <c r="E1342" s="3">
        <v>40148.546527777777</v>
      </c>
      <c r="F1342" s="1">
        <v>4.95</v>
      </c>
      <c r="G1342" s="1">
        <v>17998</v>
      </c>
      <c r="H1342" s="1" t="s">
        <v>10</v>
      </c>
      <c r="I1342" s="1">
        <f t="shared" si="5"/>
        <v>4.95</v>
      </c>
      <c r="J1342" s="2"/>
      <c r="K1342" s="2"/>
      <c r="L1342" s="2"/>
      <c r="M1342" s="2"/>
      <c r="N1342" s="2"/>
      <c r="O1342" s="2"/>
      <c r="P1342" s="2"/>
      <c r="Q1342" s="2"/>
      <c r="R1342" s="2"/>
      <c r="S1342" s="2"/>
    </row>
    <row r="1343" spans="1:19" x14ac:dyDescent="0.2">
      <c r="A1343" s="1">
        <v>489562</v>
      </c>
      <c r="B1343" s="1">
        <v>20681</v>
      </c>
      <c r="C1343" s="1" t="s">
        <v>954</v>
      </c>
      <c r="D1343" s="1">
        <v>1</v>
      </c>
      <c r="E1343" s="3">
        <v>40148.546527777777</v>
      </c>
      <c r="F1343" s="1">
        <v>3.25</v>
      </c>
      <c r="G1343" s="1">
        <v>17998</v>
      </c>
      <c r="H1343" s="1" t="s">
        <v>10</v>
      </c>
      <c r="I1343" s="1">
        <f t="shared" si="5"/>
        <v>3.25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</row>
    <row r="1344" spans="1:19" x14ac:dyDescent="0.2">
      <c r="A1344" s="1">
        <v>489562</v>
      </c>
      <c r="B1344" s="1" t="s">
        <v>404</v>
      </c>
      <c r="C1344" s="1" t="s">
        <v>405</v>
      </c>
      <c r="D1344" s="1">
        <v>1</v>
      </c>
      <c r="E1344" s="3">
        <v>40148.546527777777</v>
      </c>
      <c r="F1344" s="1">
        <v>5.95</v>
      </c>
      <c r="G1344" s="1">
        <v>17998</v>
      </c>
      <c r="H1344" s="1" t="s">
        <v>10</v>
      </c>
      <c r="I1344" s="1">
        <f t="shared" si="5"/>
        <v>5.95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</row>
    <row r="1345" spans="1:19" x14ac:dyDescent="0.2">
      <c r="A1345" s="1">
        <v>489562</v>
      </c>
      <c r="B1345" s="1">
        <v>84837</v>
      </c>
      <c r="C1345" s="1" t="s">
        <v>882</v>
      </c>
      <c r="D1345" s="1">
        <v>1</v>
      </c>
      <c r="E1345" s="3">
        <v>40148.546527777777</v>
      </c>
      <c r="F1345" s="1">
        <v>12.75</v>
      </c>
      <c r="G1345" s="1">
        <v>17998</v>
      </c>
      <c r="H1345" s="1" t="s">
        <v>10</v>
      </c>
      <c r="I1345" s="1">
        <f t="shared" si="5"/>
        <v>12.75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</row>
    <row r="1346" spans="1:19" x14ac:dyDescent="0.2">
      <c r="A1346" s="1">
        <v>489562</v>
      </c>
      <c r="B1346" s="1" t="s">
        <v>396</v>
      </c>
      <c r="C1346" s="1" t="s">
        <v>397</v>
      </c>
      <c r="D1346" s="1">
        <v>1</v>
      </c>
      <c r="E1346" s="3">
        <v>40148.546527777777</v>
      </c>
      <c r="F1346" s="1">
        <v>3.95</v>
      </c>
      <c r="G1346" s="1">
        <v>17998</v>
      </c>
      <c r="H1346" s="1" t="s">
        <v>10</v>
      </c>
      <c r="I1346" s="1">
        <f t="shared" si="5"/>
        <v>3.95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</row>
    <row r="1347" spans="1:19" x14ac:dyDescent="0.2">
      <c r="A1347" s="1">
        <v>489562</v>
      </c>
      <c r="B1347" s="1">
        <v>84648</v>
      </c>
      <c r="C1347" s="1" t="s">
        <v>955</v>
      </c>
      <c r="D1347" s="1">
        <v>1</v>
      </c>
      <c r="E1347" s="3">
        <v>40148.546527777777</v>
      </c>
      <c r="F1347" s="1">
        <v>12.75</v>
      </c>
      <c r="G1347" s="1">
        <v>17998</v>
      </c>
      <c r="H1347" s="1" t="s">
        <v>10</v>
      </c>
      <c r="I1347" s="1">
        <f t="shared" si="5"/>
        <v>12.75</v>
      </c>
      <c r="J1347" s="2"/>
      <c r="K1347" s="2"/>
      <c r="L1347" s="2"/>
      <c r="M1347" s="2"/>
      <c r="N1347" s="2"/>
      <c r="O1347" s="2"/>
      <c r="P1347" s="2"/>
      <c r="Q1347" s="2"/>
      <c r="R1347" s="2"/>
      <c r="S1347" s="2"/>
    </row>
    <row r="1348" spans="1:19" x14ac:dyDescent="0.2">
      <c r="A1348" s="1">
        <v>489562</v>
      </c>
      <c r="B1348" s="1">
        <v>84472</v>
      </c>
      <c r="C1348" s="1" t="s">
        <v>956</v>
      </c>
      <c r="D1348" s="1">
        <v>1</v>
      </c>
      <c r="E1348" s="3">
        <v>40148.546527777777</v>
      </c>
      <c r="F1348" s="1">
        <v>45.95</v>
      </c>
      <c r="G1348" s="1">
        <v>17998</v>
      </c>
      <c r="H1348" s="1" t="s">
        <v>10</v>
      </c>
      <c r="I1348" s="1">
        <f t="shared" si="5"/>
        <v>45.95</v>
      </c>
      <c r="J1348" s="2"/>
      <c r="K1348" s="2"/>
      <c r="L1348" s="2"/>
      <c r="M1348" s="2"/>
      <c r="N1348" s="2"/>
      <c r="O1348" s="2"/>
      <c r="P1348" s="2"/>
      <c r="Q1348" s="2"/>
      <c r="R1348" s="2"/>
      <c r="S1348" s="2"/>
    </row>
    <row r="1349" spans="1:19" x14ac:dyDescent="0.2">
      <c r="A1349" s="1">
        <v>489562</v>
      </c>
      <c r="B1349" s="1" t="s">
        <v>957</v>
      </c>
      <c r="C1349" s="1" t="s">
        <v>958</v>
      </c>
      <c r="D1349" s="1">
        <v>1</v>
      </c>
      <c r="E1349" s="3">
        <v>40148.546527777777</v>
      </c>
      <c r="F1349" s="1">
        <v>5.95</v>
      </c>
      <c r="G1349" s="1">
        <v>17998</v>
      </c>
      <c r="H1349" s="1" t="s">
        <v>10</v>
      </c>
      <c r="I1349" s="1">
        <f t="shared" si="5"/>
        <v>5.95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2"/>
    </row>
    <row r="1350" spans="1:19" x14ac:dyDescent="0.2">
      <c r="A1350" s="1">
        <v>489562</v>
      </c>
      <c r="B1350" s="1">
        <v>84656</v>
      </c>
      <c r="C1350" s="1" t="s">
        <v>959</v>
      </c>
      <c r="D1350" s="1">
        <v>1</v>
      </c>
      <c r="E1350" s="3">
        <v>40148.546527777777</v>
      </c>
      <c r="F1350" s="1">
        <v>5.95</v>
      </c>
      <c r="G1350" s="1">
        <v>17998</v>
      </c>
      <c r="H1350" s="1" t="s">
        <v>10</v>
      </c>
      <c r="I1350" s="1">
        <f t="shared" si="5"/>
        <v>5.95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</row>
    <row r="1351" spans="1:19" x14ac:dyDescent="0.2">
      <c r="A1351" s="1">
        <v>489562</v>
      </c>
      <c r="B1351" s="1">
        <v>84580</v>
      </c>
      <c r="C1351" s="1" t="s">
        <v>960</v>
      </c>
      <c r="D1351" s="1">
        <v>1</v>
      </c>
      <c r="E1351" s="3">
        <v>40148.546527777777</v>
      </c>
      <c r="F1351" s="1">
        <v>3.75</v>
      </c>
      <c r="G1351" s="1">
        <v>17998</v>
      </c>
      <c r="H1351" s="1" t="s">
        <v>10</v>
      </c>
      <c r="I1351" s="1">
        <f t="shared" si="5"/>
        <v>3.75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</row>
    <row r="1352" spans="1:19" x14ac:dyDescent="0.2">
      <c r="A1352" s="1">
        <v>489562</v>
      </c>
      <c r="B1352" s="1">
        <v>35957</v>
      </c>
      <c r="C1352" s="1" t="s">
        <v>766</v>
      </c>
      <c r="D1352" s="1">
        <v>1</v>
      </c>
      <c r="E1352" s="3">
        <v>40148.546527777777</v>
      </c>
      <c r="F1352" s="1">
        <v>0.42</v>
      </c>
      <c r="G1352" s="1">
        <v>17998</v>
      </c>
      <c r="H1352" s="1" t="s">
        <v>10</v>
      </c>
      <c r="I1352" s="1">
        <f t="shared" si="5"/>
        <v>0.42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</row>
    <row r="1353" spans="1:19" x14ac:dyDescent="0.2">
      <c r="A1353" s="1">
        <v>489562</v>
      </c>
      <c r="B1353" s="1">
        <v>35962</v>
      </c>
      <c r="C1353" s="1" t="s">
        <v>961</v>
      </c>
      <c r="D1353" s="1">
        <v>1</v>
      </c>
      <c r="E1353" s="3">
        <v>40148.546527777777</v>
      </c>
      <c r="F1353" s="1">
        <v>2.1</v>
      </c>
      <c r="G1353" s="1">
        <v>17998</v>
      </c>
      <c r="H1353" s="1" t="s">
        <v>10</v>
      </c>
      <c r="I1353" s="1">
        <f t="shared" si="5"/>
        <v>2.1</v>
      </c>
      <c r="J1353" s="2"/>
      <c r="K1353" s="2"/>
      <c r="L1353" s="2"/>
      <c r="M1353" s="2"/>
      <c r="N1353" s="2"/>
      <c r="O1353" s="2"/>
      <c r="P1353" s="2"/>
      <c r="Q1353" s="2"/>
      <c r="R1353" s="2"/>
      <c r="S1353" s="2"/>
    </row>
    <row r="1354" spans="1:19" x14ac:dyDescent="0.2">
      <c r="A1354" s="1">
        <v>489562</v>
      </c>
      <c r="B1354" s="1">
        <v>22337</v>
      </c>
      <c r="C1354" s="1" t="s">
        <v>962</v>
      </c>
      <c r="D1354" s="1">
        <v>1</v>
      </c>
      <c r="E1354" s="3">
        <v>40148.546527777777</v>
      </c>
      <c r="F1354" s="1">
        <v>0.65</v>
      </c>
      <c r="G1354" s="1">
        <v>17998</v>
      </c>
      <c r="H1354" s="1" t="s">
        <v>10</v>
      </c>
      <c r="I1354" s="1">
        <f t="shared" si="5"/>
        <v>0.65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</row>
    <row r="1355" spans="1:19" x14ac:dyDescent="0.2">
      <c r="A1355" s="1" t="s">
        <v>963</v>
      </c>
      <c r="B1355" s="1">
        <v>90092</v>
      </c>
      <c r="C1355" s="1" t="s">
        <v>908</v>
      </c>
      <c r="D1355" s="1">
        <v>-3</v>
      </c>
      <c r="E1355" s="3">
        <v>40148.54791666667</v>
      </c>
      <c r="F1355" s="1">
        <v>0.85</v>
      </c>
      <c r="G1355" s="1">
        <v>13526</v>
      </c>
      <c r="H1355" s="1" t="s">
        <v>10</v>
      </c>
      <c r="I1355" s="1">
        <f t="shared" si="5"/>
        <v>-2.5499999999999998</v>
      </c>
      <c r="J1355" s="2"/>
      <c r="K1355" s="2"/>
      <c r="L1355" s="2"/>
      <c r="M1355" s="2"/>
      <c r="N1355" s="2"/>
      <c r="O1355" s="2"/>
      <c r="P1355" s="2"/>
      <c r="Q1355" s="2"/>
      <c r="R1355" s="2"/>
      <c r="S1355" s="2"/>
    </row>
    <row r="1356" spans="1:19" x14ac:dyDescent="0.2">
      <c r="A1356" s="1" t="s">
        <v>963</v>
      </c>
      <c r="B1356" s="1">
        <v>90084</v>
      </c>
      <c r="C1356" s="1" t="s">
        <v>916</v>
      </c>
      <c r="D1356" s="1">
        <v>-12</v>
      </c>
      <c r="E1356" s="3">
        <v>40148.54791666667</v>
      </c>
      <c r="F1356" s="1">
        <v>0.85</v>
      </c>
      <c r="G1356" s="1">
        <v>13526</v>
      </c>
      <c r="H1356" s="1" t="s">
        <v>10</v>
      </c>
      <c r="I1356" s="1">
        <f t="shared" si="5"/>
        <v>-10.199999999999999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</row>
    <row r="1357" spans="1:19" x14ac:dyDescent="0.2">
      <c r="A1357" s="1" t="s">
        <v>963</v>
      </c>
      <c r="B1357" s="1">
        <v>90090</v>
      </c>
      <c r="C1357" s="1" t="s">
        <v>910</v>
      </c>
      <c r="D1357" s="1">
        <v>-12</v>
      </c>
      <c r="E1357" s="3">
        <v>40148.54791666667</v>
      </c>
      <c r="F1357" s="1">
        <v>0.85</v>
      </c>
      <c r="G1357" s="1">
        <v>13526</v>
      </c>
      <c r="H1357" s="1" t="s">
        <v>10</v>
      </c>
      <c r="I1357" s="1">
        <f t="shared" si="5"/>
        <v>-10.199999999999999</v>
      </c>
      <c r="J1357" s="2"/>
      <c r="K1357" s="2"/>
      <c r="L1357" s="2"/>
      <c r="M1357" s="2"/>
      <c r="N1357" s="2"/>
      <c r="O1357" s="2"/>
      <c r="P1357" s="2"/>
      <c r="Q1357" s="2"/>
      <c r="R1357" s="2"/>
      <c r="S1357" s="2"/>
    </row>
    <row r="1358" spans="1:19" x14ac:dyDescent="0.2">
      <c r="A1358" s="1" t="s">
        <v>963</v>
      </c>
      <c r="B1358" s="1">
        <v>90088</v>
      </c>
      <c r="C1358" s="1" t="s">
        <v>911</v>
      </c>
      <c r="D1358" s="1">
        <v>-24</v>
      </c>
      <c r="E1358" s="3">
        <v>40148.54791666667</v>
      </c>
      <c r="F1358" s="1">
        <v>0.85</v>
      </c>
      <c r="G1358" s="1">
        <v>13526</v>
      </c>
      <c r="H1358" s="1" t="s">
        <v>10</v>
      </c>
      <c r="I1358" s="1">
        <f t="shared" si="5"/>
        <v>-20.399999999999999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</row>
    <row r="1359" spans="1:19" x14ac:dyDescent="0.2">
      <c r="A1359" s="1" t="s">
        <v>963</v>
      </c>
      <c r="B1359" s="1">
        <v>90090</v>
      </c>
      <c r="C1359" s="1" t="s">
        <v>910</v>
      </c>
      <c r="D1359" s="1">
        <v>-24</v>
      </c>
      <c r="E1359" s="3">
        <v>40148.54791666667</v>
      </c>
      <c r="F1359" s="1">
        <v>0.85</v>
      </c>
      <c r="G1359" s="1">
        <v>13526</v>
      </c>
      <c r="H1359" s="1" t="s">
        <v>10</v>
      </c>
      <c r="I1359" s="1">
        <f t="shared" si="5"/>
        <v>-20.399999999999999</v>
      </c>
      <c r="J1359" s="2"/>
      <c r="K1359" s="2"/>
      <c r="L1359" s="2"/>
      <c r="M1359" s="2"/>
      <c r="N1359" s="2"/>
      <c r="O1359" s="2"/>
      <c r="P1359" s="2"/>
      <c r="Q1359" s="2"/>
      <c r="R1359" s="2"/>
      <c r="S1359" s="2"/>
    </row>
    <row r="1360" spans="1:19" x14ac:dyDescent="0.2">
      <c r="A1360" s="1" t="s">
        <v>963</v>
      </c>
      <c r="B1360" s="1">
        <v>90093</v>
      </c>
      <c r="C1360" s="1" t="s">
        <v>909</v>
      </c>
      <c r="D1360" s="1">
        <v>-24</v>
      </c>
      <c r="E1360" s="3">
        <v>40148.54791666667</v>
      </c>
      <c r="F1360" s="1">
        <v>0.85</v>
      </c>
      <c r="G1360" s="1">
        <v>13526</v>
      </c>
      <c r="H1360" s="1" t="s">
        <v>10</v>
      </c>
      <c r="I1360" s="1">
        <f t="shared" si="5"/>
        <v>-20.399999999999999</v>
      </c>
      <c r="J1360" s="2"/>
      <c r="K1360" s="2"/>
      <c r="L1360" s="2"/>
      <c r="M1360" s="2"/>
      <c r="N1360" s="2"/>
      <c r="O1360" s="2"/>
      <c r="P1360" s="2"/>
      <c r="Q1360" s="2"/>
      <c r="R1360" s="2"/>
      <c r="S1360" s="2"/>
    </row>
    <row r="1361" spans="1:19" x14ac:dyDescent="0.2">
      <c r="A1361" s="1" t="s">
        <v>963</v>
      </c>
      <c r="B1361" s="1">
        <v>90092</v>
      </c>
      <c r="C1361" s="1" t="s">
        <v>908</v>
      </c>
      <c r="D1361" s="1">
        <v>-24</v>
      </c>
      <c r="E1361" s="3">
        <v>40148.54791666667</v>
      </c>
      <c r="F1361" s="1">
        <v>0.85</v>
      </c>
      <c r="G1361" s="1">
        <v>13526</v>
      </c>
      <c r="H1361" s="1" t="s">
        <v>10</v>
      </c>
      <c r="I1361" s="1">
        <f t="shared" si="5"/>
        <v>-20.399999999999999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2"/>
    </row>
    <row r="1362" spans="1:19" x14ac:dyDescent="0.2">
      <c r="A1362" s="1" t="s">
        <v>963</v>
      </c>
      <c r="B1362" s="1">
        <v>90087</v>
      </c>
      <c r="C1362" s="1" t="s">
        <v>906</v>
      </c>
      <c r="D1362" s="1">
        <v>-48</v>
      </c>
      <c r="E1362" s="3">
        <v>40148.54791666667</v>
      </c>
      <c r="F1362" s="1">
        <v>0.85</v>
      </c>
      <c r="G1362" s="1">
        <v>13526</v>
      </c>
      <c r="H1362" s="1" t="s">
        <v>10</v>
      </c>
      <c r="I1362" s="1">
        <f t="shared" si="5"/>
        <v>-40.799999999999997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2"/>
    </row>
    <row r="1363" spans="1:19" x14ac:dyDescent="0.2">
      <c r="A1363" s="1" t="s">
        <v>963</v>
      </c>
      <c r="B1363" s="1">
        <v>90085</v>
      </c>
      <c r="C1363" s="1" t="s">
        <v>903</v>
      </c>
      <c r="D1363" s="1">
        <v>-81</v>
      </c>
      <c r="E1363" s="3">
        <v>40148.54791666667</v>
      </c>
      <c r="F1363" s="1">
        <v>0.85</v>
      </c>
      <c r="G1363" s="1">
        <v>13526</v>
      </c>
      <c r="H1363" s="1" t="s">
        <v>10</v>
      </c>
      <c r="I1363" s="1">
        <f t="shared" si="5"/>
        <v>-68.849999999999994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</row>
    <row r="1364" spans="1:19" x14ac:dyDescent="0.2">
      <c r="A1364" s="1">
        <v>489564</v>
      </c>
      <c r="B1364" s="1">
        <v>90085</v>
      </c>
      <c r="C1364" s="1" t="s">
        <v>903</v>
      </c>
      <c r="D1364" s="1">
        <v>81</v>
      </c>
      <c r="E1364" s="3">
        <v>40148.550694444442</v>
      </c>
      <c r="F1364" s="1">
        <v>0.85</v>
      </c>
      <c r="G1364" s="1">
        <v>13526</v>
      </c>
      <c r="H1364" s="1" t="s">
        <v>10</v>
      </c>
      <c r="I1364" s="1">
        <f t="shared" si="5"/>
        <v>68.849999999999994</v>
      </c>
      <c r="J1364" s="2"/>
      <c r="K1364" s="2"/>
      <c r="L1364" s="2"/>
      <c r="M1364" s="2"/>
      <c r="N1364" s="2"/>
      <c r="O1364" s="2"/>
      <c r="P1364" s="2"/>
      <c r="Q1364" s="2"/>
      <c r="R1364" s="2"/>
      <c r="S1364" s="2"/>
    </row>
    <row r="1365" spans="1:19" x14ac:dyDescent="0.2">
      <c r="A1365" s="1">
        <v>489564</v>
      </c>
      <c r="B1365" s="1">
        <v>90087</v>
      </c>
      <c r="C1365" s="1" t="s">
        <v>906</v>
      </c>
      <c r="D1365" s="1">
        <v>48</v>
      </c>
      <c r="E1365" s="3">
        <v>40148.550694444442</v>
      </c>
      <c r="F1365" s="1">
        <v>0.85</v>
      </c>
      <c r="G1365" s="1">
        <v>13526</v>
      </c>
      <c r="H1365" s="1" t="s">
        <v>10</v>
      </c>
      <c r="I1365" s="1">
        <f t="shared" si="5"/>
        <v>40.799999999999997</v>
      </c>
      <c r="J1365" s="2"/>
      <c r="K1365" s="2"/>
      <c r="L1365" s="2"/>
      <c r="M1365" s="2"/>
      <c r="N1365" s="2"/>
      <c r="O1365" s="2"/>
      <c r="P1365" s="2"/>
      <c r="Q1365" s="2"/>
      <c r="R1365" s="2"/>
      <c r="S1365" s="2"/>
    </row>
    <row r="1366" spans="1:19" x14ac:dyDescent="0.2">
      <c r="A1366" s="1">
        <v>489564</v>
      </c>
      <c r="B1366" s="1">
        <v>90090</v>
      </c>
      <c r="C1366" s="1" t="s">
        <v>910</v>
      </c>
      <c r="D1366" s="1">
        <v>36</v>
      </c>
      <c r="E1366" s="3">
        <v>40148.550694444442</v>
      </c>
      <c r="F1366" s="1">
        <v>0.85</v>
      </c>
      <c r="G1366" s="1">
        <v>13526</v>
      </c>
      <c r="H1366" s="1" t="s">
        <v>10</v>
      </c>
      <c r="I1366" s="1">
        <f t="shared" si="5"/>
        <v>30.599999999999998</v>
      </c>
      <c r="J1366" s="2"/>
      <c r="K1366" s="2"/>
      <c r="L1366" s="2"/>
      <c r="M1366" s="2"/>
      <c r="N1366" s="2"/>
      <c r="O1366" s="2"/>
      <c r="P1366" s="2"/>
      <c r="Q1366" s="2"/>
      <c r="R1366" s="2"/>
      <c r="S1366" s="2"/>
    </row>
    <row r="1367" spans="1:19" x14ac:dyDescent="0.2">
      <c r="A1367" s="1">
        <v>489564</v>
      </c>
      <c r="B1367" s="1">
        <v>90092</v>
      </c>
      <c r="C1367" s="1" t="s">
        <v>908</v>
      </c>
      <c r="D1367" s="1">
        <v>24</v>
      </c>
      <c r="E1367" s="3">
        <v>40148.550694444442</v>
      </c>
      <c r="F1367" s="1">
        <v>0.85</v>
      </c>
      <c r="G1367" s="1">
        <v>13526</v>
      </c>
      <c r="H1367" s="1" t="s">
        <v>10</v>
      </c>
      <c r="I1367" s="1">
        <f t="shared" si="5"/>
        <v>20.399999999999999</v>
      </c>
      <c r="J1367" s="2"/>
      <c r="K1367" s="2"/>
      <c r="L1367" s="2"/>
      <c r="M1367" s="2"/>
      <c r="N1367" s="2"/>
      <c r="O1367" s="2"/>
      <c r="P1367" s="2"/>
      <c r="Q1367" s="2"/>
      <c r="R1367" s="2"/>
      <c r="S1367" s="2"/>
    </row>
    <row r="1368" spans="1:19" x14ac:dyDescent="0.2">
      <c r="A1368" s="1">
        <v>489564</v>
      </c>
      <c r="B1368" s="1">
        <v>90088</v>
      </c>
      <c r="C1368" s="1" t="s">
        <v>911</v>
      </c>
      <c r="D1368" s="1">
        <v>24</v>
      </c>
      <c r="E1368" s="3">
        <v>40148.550694444442</v>
      </c>
      <c r="F1368" s="1">
        <v>0.85</v>
      </c>
      <c r="G1368" s="1">
        <v>13526</v>
      </c>
      <c r="H1368" s="1" t="s">
        <v>10</v>
      </c>
      <c r="I1368" s="1">
        <f t="shared" si="5"/>
        <v>20.399999999999999</v>
      </c>
      <c r="J1368" s="2"/>
      <c r="K1368" s="2"/>
      <c r="L1368" s="2"/>
      <c r="M1368" s="2"/>
      <c r="N1368" s="2"/>
      <c r="O1368" s="2"/>
      <c r="P1368" s="2"/>
      <c r="Q1368" s="2"/>
      <c r="R1368" s="2"/>
      <c r="S1368" s="2"/>
    </row>
    <row r="1369" spans="1:19" x14ac:dyDescent="0.2">
      <c r="A1369" s="1">
        <v>489564</v>
      </c>
      <c r="B1369" s="1">
        <v>90090</v>
      </c>
      <c r="C1369" s="1" t="s">
        <v>910</v>
      </c>
      <c r="D1369" s="1">
        <v>24</v>
      </c>
      <c r="E1369" s="3">
        <v>40148.550694444442</v>
      </c>
      <c r="F1369" s="1">
        <v>0.85</v>
      </c>
      <c r="G1369" s="1">
        <v>13526</v>
      </c>
      <c r="H1369" s="1" t="s">
        <v>10</v>
      </c>
      <c r="I1369" s="1">
        <f t="shared" si="5"/>
        <v>20.399999999999999</v>
      </c>
      <c r="J1369" s="2"/>
      <c r="K1369" s="2"/>
      <c r="L1369" s="2"/>
      <c r="M1369" s="2"/>
      <c r="N1369" s="2"/>
      <c r="O1369" s="2"/>
      <c r="P1369" s="2"/>
      <c r="Q1369" s="2"/>
      <c r="R1369" s="2"/>
      <c r="S1369" s="2"/>
    </row>
    <row r="1370" spans="1:19" x14ac:dyDescent="0.2">
      <c r="A1370" s="1">
        <v>489564</v>
      </c>
      <c r="B1370" s="1">
        <v>90093</v>
      </c>
      <c r="C1370" s="1" t="s">
        <v>909</v>
      </c>
      <c r="D1370" s="1">
        <v>24</v>
      </c>
      <c r="E1370" s="3">
        <v>40148.550694444442</v>
      </c>
      <c r="F1370" s="1">
        <v>0.85</v>
      </c>
      <c r="G1370" s="1">
        <v>13526</v>
      </c>
      <c r="H1370" s="1" t="s">
        <v>10</v>
      </c>
      <c r="I1370" s="1">
        <f t="shared" si="5"/>
        <v>20.399999999999999</v>
      </c>
      <c r="J1370" s="2"/>
      <c r="K1370" s="2"/>
      <c r="L1370" s="2"/>
      <c r="M1370" s="2"/>
      <c r="N1370" s="2"/>
      <c r="O1370" s="2"/>
      <c r="P1370" s="2"/>
      <c r="Q1370" s="2"/>
      <c r="R1370" s="2"/>
      <c r="S1370" s="2"/>
    </row>
    <row r="1371" spans="1:19" x14ac:dyDescent="0.2">
      <c r="A1371" s="1">
        <v>489564</v>
      </c>
      <c r="B1371" s="1" t="s">
        <v>964</v>
      </c>
      <c r="C1371" s="1" t="s">
        <v>965</v>
      </c>
      <c r="D1371" s="1">
        <v>12</v>
      </c>
      <c r="E1371" s="3">
        <v>40148.550694444442</v>
      </c>
      <c r="F1371" s="1">
        <v>2.1</v>
      </c>
      <c r="G1371" s="1">
        <v>13526</v>
      </c>
      <c r="H1371" s="1" t="s">
        <v>10</v>
      </c>
      <c r="I1371" s="1">
        <f t="shared" si="5"/>
        <v>25.200000000000003</v>
      </c>
      <c r="J1371" s="2"/>
      <c r="K1371" s="2"/>
      <c r="L1371" s="2"/>
      <c r="M1371" s="2"/>
      <c r="N1371" s="2"/>
      <c r="O1371" s="2"/>
      <c r="P1371" s="2"/>
      <c r="Q1371" s="2"/>
      <c r="R1371" s="2"/>
      <c r="S1371" s="2"/>
    </row>
    <row r="1372" spans="1:19" x14ac:dyDescent="0.2">
      <c r="A1372" s="1">
        <v>489564</v>
      </c>
      <c r="B1372" s="1" t="s">
        <v>966</v>
      </c>
      <c r="C1372" s="1" t="s">
        <v>967</v>
      </c>
      <c r="D1372" s="1">
        <v>12</v>
      </c>
      <c r="E1372" s="3">
        <v>40148.550694444442</v>
      </c>
      <c r="F1372" s="1">
        <v>2.1</v>
      </c>
      <c r="G1372" s="1">
        <v>13526</v>
      </c>
      <c r="H1372" s="1" t="s">
        <v>10</v>
      </c>
      <c r="I1372" s="1">
        <f t="shared" si="5"/>
        <v>25.200000000000003</v>
      </c>
      <c r="J1372" s="2"/>
      <c r="K1372" s="2"/>
      <c r="L1372" s="2"/>
      <c r="M1372" s="2"/>
      <c r="N1372" s="2"/>
      <c r="O1372" s="2"/>
      <c r="P1372" s="2"/>
      <c r="Q1372" s="2"/>
      <c r="R1372" s="2"/>
      <c r="S1372" s="2"/>
    </row>
    <row r="1373" spans="1:19" x14ac:dyDescent="0.2">
      <c r="A1373" s="1">
        <v>489564</v>
      </c>
      <c r="B1373" s="1" t="s">
        <v>914</v>
      </c>
      <c r="C1373" s="1" t="s">
        <v>915</v>
      </c>
      <c r="D1373" s="1">
        <v>12</v>
      </c>
      <c r="E1373" s="3">
        <v>40148.550694444442</v>
      </c>
      <c r="F1373" s="1">
        <v>2.1</v>
      </c>
      <c r="G1373" s="1">
        <v>13526</v>
      </c>
      <c r="H1373" s="1" t="s">
        <v>10</v>
      </c>
      <c r="I1373" s="1">
        <f t="shared" si="5"/>
        <v>25.200000000000003</v>
      </c>
      <c r="J1373" s="2"/>
      <c r="K1373" s="2"/>
      <c r="L1373" s="2"/>
      <c r="M1373" s="2"/>
      <c r="N1373" s="2"/>
      <c r="O1373" s="2"/>
      <c r="P1373" s="2"/>
      <c r="Q1373" s="2"/>
      <c r="R1373" s="2"/>
      <c r="S1373" s="2"/>
    </row>
    <row r="1374" spans="1:19" x14ac:dyDescent="0.2">
      <c r="A1374" s="1">
        <v>489564</v>
      </c>
      <c r="B1374" s="1">
        <v>90090</v>
      </c>
      <c r="C1374" s="1" t="s">
        <v>910</v>
      </c>
      <c r="D1374" s="1">
        <v>12</v>
      </c>
      <c r="E1374" s="3">
        <v>40148.550694444442</v>
      </c>
      <c r="F1374" s="1">
        <v>0.85</v>
      </c>
      <c r="G1374" s="1">
        <v>13526</v>
      </c>
      <c r="H1374" s="1" t="s">
        <v>10</v>
      </c>
      <c r="I1374" s="1">
        <f t="shared" si="5"/>
        <v>10.199999999999999</v>
      </c>
      <c r="J1374" s="2"/>
      <c r="K1374" s="2"/>
      <c r="L1374" s="2"/>
      <c r="M1374" s="2"/>
      <c r="N1374" s="2"/>
      <c r="O1374" s="2"/>
      <c r="P1374" s="2"/>
      <c r="Q1374" s="2"/>
      <c r="R1374" s="2"/>
      <c r="S1374" s="2"/>
    </row>
    <row r="1375" spans="1:19" x14ac:dyDescent="0.2">
      <c r="A1375" s="1">
        <v>489564</v>
      </c>
      <c r="B1375" s="1">
        <v>90084</v>
      </c>
      <c r="C1375" s="1" t="s">
        <v>916</v>
      </c>
      <c r="D1375" s="1">
        <v>12</v>
      </c>
      <c r="E1375" s="3">
        <v>40148.550694444442</v>
      </c>
      <c r="F1375" s="1">
        <v>0.85</v>
      </c>
      <c r="G1375" s="1">
        <v>13526</v>
      </c>
      <c r="H1375" s="1" t="s">
        <v>10</v>
      </c>
      <c r="I1375" s="1">
        <f t="shared" si="5"/>
        <v>10.199999999999999</v>
      </c>
      <c r="J1375" s="2"/>
      <c r="K1375" s="2"/>
      <c r="L1375" s="2"/>
      <c r="M1375" s="2"/>
      <c r="N1375" s="2"/>
      <c r="O1375" s="2"/>
      <c r="P1375" s="2"/>
      <c r="Q1375" s="2"/>
      <c r="R1375" s="2"/>
      <c r="S1375" s="2"/>
    </row>
    <row r="1376" spans="1:19" x14ac:dyDescent="0.2">
      <c r="A1376" s="1">
        <v>489564</v>
      </c>
      <c r="B1376" s="1">
        <v>90092</v>
      </c>
      <c r="C1376" s="1" t="s">
        <v>908</v>
      </c>
      <c r="D1376" s="1">
        <v>3</v>
      </c>
      <c r="E1376" s="3">
        <v>40148.550694444442</v>
      </c>
      <c r="F1376" s="1">
        <v>0.85</v>
      </c>
      <c r="G1376" s="1">
        <v>13526</v>
      </c>
      <c r="H1376" s="1" t="s">
        <v>10</v>
      </c>
      <c r="I1376" s="1">
        <f t="shared" si="5"/>
        <v>2.5499999999999998</v>
      </c>
      <c r="J1376" s="2"/>
      <c r="K1376" s="2"/>
      <c r="L1376" s="2"/>
      <c r="M1376" s="2"/>
      <c r="N1376" s="2"/>
      <c r="O1376" s="2"/>
      <c r="P1376" s="2"/>
      <c r="Q1376" s="2"/>
      <c r="R1376" s="2"/>
      <c r="S1376" s="2"/>
    </row>
    <row r="1377" spans="1:19" x14ac:dyDescent="0.2">
      <c r="A1377" s="1">
        <v>489564</v>
      </c>
      <c r="B1377" s="1" t="s">
        <v>968</v>
      </c>
      <c r="C1377" s="1" t="s">
        <v>969</v>
      </c>
      <c r="D1377" s="1">
        <v>2</v>
      </c>
      <c r="E1377" s="3">
        <v>40148.550694444442</v>
      </c>
      <c r="F1377" s="1">
        <v>1.25</v>
      </c>
      <c r="G1377" s="1">
        <v>13526</v>
      </c>
      <c r="H1377" s="1" t="s">
        <v>10</v>
      </c>
      <c r="I1377" s="1">
        <f t="shared" si="5"/>
        <v>2.5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2"/>
    </row>
    <row r="1378" spans="1:19" x14ac:dyDescent="0.2">
      <c r="A1378" s="1" t="s">
        <v>970</v>
      </c>
      <c r="B1378" s="1" t="s">
        <v>914</v>
      </c>
      <c r="C1378" s="1" t="s">
        <v>915</v>
      </c>
      <c r="D1378" s="1">
        <v>-12</v>
      </c>
      <c r="E1378" s="3">
        <v>40148.551388888889</v>
      </c>
      <c r="F1378" s="1">
        <v>2.1</v>
      </c>
      <c r="G1378" s="1">
        <v>13526</v>
      </c>
      <c r="H1378" s="1" t="s">
        <v>10</v>
      </c>
      <c r="I1378" s="1">
        <f t="shared" si="5"/>
        <v>-25.200000000000003</v>
      </c>
      <c r="J1378" s="2"/>
      <c r="K1378" s="2"/>
      <c r="L1378" s="2"/>
      <c r="M1378" s="2"/>
      <c r="N1378" s="2"/>
      <c r="O1378" s="2"/>
      <c r="P1378" s="2"/>
      <c r="Q1378" s="2"/>
      <c r="R1378" s="2"/>
      <c r="S1378" s="2"/>
    </row>
    <row r="1379" spans="1:19" x14ac:dyDescent="0.2">
      <c r="A1379" s="1">
        <v>489566</v>
      </c>
      <c r="B1379" s="1">
        <v>21156</v>
      </c>
      <c r="C1379" s="1" t="s">
        <v>971</v>
      </c>
      <c r="D1379" s="1">
        <v>8</v>
      </c>
      <c r="E1379" s="3">
        <v>40148.552777777775</v>
      </c>
      <c r="F1379" s="1">
        <v>1.95</v>
      </c>
      <c r="G1379" s="1">
        <v>17742</v>
      </c>
      <c r="H1379" s="1" t="s">
        <v>10</v>
      </c>
      <c r="I1379" s="1">
        <f t="shared" si="5"/>
        <v>15.6</v>
      </c>
      <c r="J1379" s="2"/>
      <c r="K1379" s="2"/>
      <c r="L1379" s="2"/>
      <c r="M1379" s="2"/>
      <c r="N1379" s="2"/>
      <c r="O1379" s="2"/>
      <c r="P1379" s="2"/>
      <c r="Q1379" s="2"/>
      <c r="R1379" s="2"/>
      <c r="S1379" s="2"/>
    </row>
    <row r="1380" spans="1:19" x14ac:dyDescent="0.2">
      <c r="A1380" s="1">
        <v>489566</v>
      </c>
      <c r="B1380" s="1" t="s">
        <v>325</v>
      </c>
      <c r="C1380" s="1" t="s">
        <v>326</v>
      </c>
      <c r="D1380" s="1">
        <v>8</v>
      </c>
      <c r="E1380" s="3">
        <v>40148.552777777775</v>
      </c>
      <c r="F1380" s="1">
        <v>1.95</v>
      </c>
      <c r="G1380" s="1">
        <v>17742</v>
      </c>
      <c r="H1380" s="1" t="s">
        <v>10</v>
      </c>
      <c r="I1380" s="1">
        <f t="shared" si="5"/>
        <v>15.6</v>
      </c>
      <c r="J1380" s="2"/>
      <c r="K1380" s="2"/>
      <c r="L1380" s="2"/>
      <c r="M1380" s="2"/>
      <c r="N1380" s="2"/>
      <c r="O1380" s="2"/>
      <c r="P1380" s="2"/>
      <c r="Q1380" s="2"/>
      <c r="R1380" s="2"/>
      <c r="S1380" s="2"/>
    </row>
    <row r="1381" spans="1:19" x14ac:dyDescent="0.2">
      <c r="A1381" s="1">
        <v>489566</v>
      </c>
      <c r="B1381" s="1">
        <v>20901</v>
      </c>
      <c r="C1381" s="1" t="s">
        <v>972</v>
      </c>
      <c r="D1381" s="1">
        <v>6</v>
      </c>
      <c r="E1381" s="3">
        <v>40148.552777777775</v>
      </c>
      <c r="F1381" s="1">
        <v>6.35</v>
      </c>
      <c r="G1381" s="1">
        <v>17742</v>
      </c>
      <c r="H1381" s="1" t="s">
        <v>10</v>
      </c>
      <c r="I1381" s="1">
        <f t="shared" si="5"/>
        <v>38.099999999999994</v>
      </c>
      <c r="J1381" s="2"/>
      <c r="K1381" s="2"/>
      <c r="L1381" s="2"/>
      <c r="M1381" s="2"/>
      <c r="N1381" s="2"/>
      <c r="O1381" s="2"/>
      <c r="P1381" s="2"/>
      <c r="Q1381" s="2"/>
      <c r="R1381" s="2"/>
      <c r="S1381" s="2"/>
    </row>
    <row r="1382" spans="1:19" x14ac:dyDescent="0.2">
      <c r="A1382" s="1">
        <v>489566</v>
      </c>
      <c r="B1382" s="1">
        <v>22282</v>
      </c>
      <c r="C1382" s="1" t="s">
        <v>435</v>
      </c>
      <c r="D1382" s="1">
        <v>4</v>
      </c>
      <c r="E1382" s="3">
        <v>40148.552777777775</v>
      </c>
      <c r="F1382" s="1">
        <v>12.75</v>
      </c>
      <c r="G1382" s="1">
        <v>17742</v>
      </c>
      <c r="H1382" s="1" t="s">
        <v>10</v>
      </c>
      <c r="I1382" s="1">
        <f t="shared" si="5"/>
        <v>51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</row>
    <row r="1383" spans="1:19" x14ac:dyDescent="0.2">
      <c r="A1383" s="1">
        <v>489566</v>
      </c>
      <c r="B1383" s="1">
        <v>82483</v>
      </c>
      <c r="C1383" s="1" t="s">
        <v>266</v>
      </c>
      <c r="D1383" s="1">
        <v>3</v>
      </c>
      <c r="E1383" s="3">
        <v>40148.552777777775</v>
      </c>
      <c r="F1383" s="1">
        <v>5.95</v>
      </c>
      <c r="G1383" s="1">
        <v>17742</v>
      </c>
      <c r="H1383" s="1" t="s">
        <v>10</v>
      </c>
      <c r="I1383" s="1">
        <f t="shared" si="5"/>
        <v>17.850000000000001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</row>
    <row r="1384" spans="1:19" x14ac:dyDescent="0.2">
      <c r="A1384" s="1">
        <v>489566</v>
      </c>
      <c r="B1384" s="1">
        <v>22172</v>
      </c>
      <c r="C1384" s="1" t="s">
        <v>973</v>
      </c>
      <c r="D1384" s="1">
        <v>2</v>
      </c>
      <c r="E1384" s="3">
        <v>40148.552777777775</v>
      </c>
      <c r="F1384" s="1">
        <v>8.5</v>
      </c>
      <c r="G1384" s="1">
        <v>17742</v>
      </c>
      <c r="H1384" s="1" t="s">
        <v>10</v>
      </c>
      <c r="I1384" s="1">
        <f t="shared" si="5"/>
        <v>17</v>
      </c>
      <c r="J1384" s="2"/>
      <c r="K1384" s="2"/>
      <c r="L1384" s="2"/>
      <c r="M1384" s="2"/>
      <c r="N1384" s="2"/>
      <c r="O1384" s="2"/>
      <c r="P1384" s="2"/>
      <c r="Q1384" s="2"/>
      <c r="R1384" s="2"/>
      <c r="S1384" s="2"/>
    </row>
    <row r="1385" spans="1:19" x14ac:dyDescent="0.2">
      <c r="A1385" s="1">
        <v>489566</v>
      </c>
      <c r="B1385" s="1">
        <v>85067</v>
      </c>
      <c r="C1385" s="1" t="s">
        <v>974</v>
      </c>
      <c r="D1385" s="1">
        <v>2</v>
      </c>
      <c r="E1385" s="3">
        <v>40148.552777777775</v>
      </c>
      <c r="F1385" s="1">
        <v>18.95</v>
      </c>
      <c r="G1385" s="1">
        <v>17742</v>
      </c>
      <c r="H1385" s="1" t="s">
        <v>10</v>
      </c>
      <c r="I1385" s="1">
        <f t="shared" si="5"/>
        <v>37.9</v>
      </c>
      <c r="J1385" s="2"/>
      <c r="K1385" s="2"/>
      <c r="L1385" s="2"/>
      <c r="M1385" s="2"/>
      <c r="N1385" s="2"/>
      <c r="O1385" s="2"/>
      <c r="P1385" s="2"/>
      <c r="Q1385" s="2"/>
      <c r="R1385" s="2"/>
      <c r="S1385" s="2"/>
    </row>
    <row r="1386" spans="1:19" x14ac:dyDescent="0.2">
      <c r="A1386" s="1">
        <v>489566</v>
      </c>
      <c r="B1386" s="1">
        <v>21299</v>
      </c>
      <c r="C1386" s="1" t="s">
        <v>173</v>
      </c>
      <c r="D1386" s="1">
        <v>2</v>
      </c>
      <c r="E1386" s="3">
        <v>40148.552777777775</v>
      </c>
      <c r="F1386" s="1">
        <v>12.75</v>
      </c>
      <c r="G1386" s="1">
        <v>17742</v>
      </c>
      <c r="H1386" s="1" t="s">
        <v>10</v>
      </c>
      <c r="I1386" s="1">
        <f t="shared" si="5"/>
        <v>25.5</v>
      </c>
      <c r="J1386" s="2"/>
      <c r="K1386" s="2"/>
      <c r="L1386" s="2"/>
      <c r="M1386" s="2"/>
      <c r="N1386" s="2"/>
      <c r="O1386" s="2"/>
      <c r="P1386" s="2"/>
      <c r="Q1386" s="2"/>
      <c r="R1386" s="2"/>
      <c r="S1386" s="2"/>
    </row>
    <row r="1387" spans="1:19" x14ac:dyDescent="0.2">
      <c r="A1387" s="1">
        <v>489567</v>
      </c>
      <c r="B1387" s="1">
        <v>21976</v>
      </c>
      <c r="C1387" s="1" t="s">
        <v>529</v>
      </c>
      <c r="D1387" s="1">
        <v>24</v>
      </c>
      <c r="E1387" s="3">
        <v>40148.554861111108</v>
      </c>
      <c r="F1387" s="1">
        <v>0.55000000000000004</v>
      </c>
      <c r="G1387" s="1">
        <v>15326</v>
      </c>
      <c r="H1387" s="1" t="s">
        <v>10</v>
      </c>
      <c r="I1387" s="1">
        <f t="shared" si="5"/>
        <v>13.200000000000001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2"/>
    </row>
    <row r="1388" spans="1:19" x14ac:dyDescent="0.2">
      <c r="A1388" s="1">
        <v>489567</v>
      </c>
      <c r="B1388" s="1">
        <v>84992</v>
      </c>
      <c r="C1388" s="1" t="s">
        <v>975</v>
      </c>
      <c r="D1388" s="1">
        <v>24</v>
      </c>
      <c r="E1388" s="3">
        <v>40148.554861111108</v>
      </c>
      <c r="F1388" s="1">
        <v>0.55000000000000004</v>
      </c>
      <c r="G1388" s="1">
        <v>15326</v>
      </c>
      <c r="H1388" s="1" t="s">
        <v>10</v>
      </c>
      <c r="I1388" s="1">
        <f t="shared" si="5"/>
        <v>13.200000000000001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2"/>
    </row>
    <row r="1389" spans="1:19" x14ac:dyDescent="0.2">
      <c r="A1389" s="1">
        <v>489567</v>
      </c>
      <c r="B1389" s="1">
        <v>84929</v>
      </c>
      <c r="C1389" s="1" t="s">
        <v>976</v>
      </c>
      <c r="D1389" s="1">
        <v>24</v>
      </c>
      <c r="E1389" s="3">
        <v>40148.554861111108</v>
      </c>
      <c r="F1389" s="1">
        <v>0.55000000000000004</v>
      </c>
      <c r="G1389" s="1">
        <v>15326</v>
      </c>
      <c r="H1389" s="1" t="s">
        <v>10</v>
      </c>
      <c r="I1389" s="1">
        <f t="shared" si="5"/>
        <v>13.200000000000001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2"/>
    </row>
    <row r="1390" spans="1:19" x14ac:dyDescent="0.2">
      <c r="A1390" s="1">
        <v>489567</v>
      </c>
      <c r="B1390" s="1">
        <v>21172</v>
      </c>
      <c r="C1390" s="1" t="s">
        <v>424</v>
      </c>
      <c r="D1390" s="1">
        <v>12</v>
      </c>
      <c r="E1390" s="3">
        <v>40148.554861111108</v>
      </c>
      <c r="F1390" s="1">
        <v>1.45</v>
      </c>
      <c r="G1390" s="1">
        <v>15326</v>
      </c>
      <c r="H1390" s="1" t="s">
        <v>10</v>
      </c>
      <c r="I1390" s="1">
        <f t="shared" si="5"/>
        <v>17.399999999999999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2"/>
    </row>
    <row r="1391" spans="1:19" x14ac:dyDescent="0.2">
      <c r="A1391" s="1">
        <v>489567</v>
      </c>
      <c r="B1391" s="1">
        <v>85216</v>
      </c>
      <c r="C1391" s="1" t="s">
        <v>106</v>
      </c>
      <c r="D1391" s="1">
        <v>12</v>
      </c>
      <c r="E1391" s="3">
        <v>40148.554861111108</v>
      </c>
      <c r="F1391" s="1">
        <v>0.65</v>
      </c>
      <c r="G1391" s="1">
        <v>15326</v>
      </c>
      <c r="H1391" s="1" t="s">
        <v>10</v>
      </c>
      <c r="I1391" s="1">
        <f t="shared" si="5"/>
        <v>7.8000000000000007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/>
    </row>
    <row r="1392" spans="1:19" x14ac:dyDescent="0.2">
      <c r="A1392" s="1">
        <v>489567</v>
      </c>
      <c r="B1392" s="1">
        <v>85150</v>
      </c>
      <c r="C1392" s="1" t="s">
        <v>151</v>
      </c>
      <c r="D1392" s="1">
        <v>6</v>
      </c>
      <c r="E1392" s="3">
        <v>40148.554861111108</v>
      </c>
      <c r="F1392" s="1">
        <v>2.5499999999999998</v>
      </c>
      <c r="G1392" s="1">
        <v>15326</v>
      </c>
      <c r="H1392" s="1" t="s">
        <v>10</v>
      </c>
      <c r="I1392" s="1">
        <f t="shared" si="5"/>
        <v>15.299999999999999</v>
      </c>
      <c r="J1392" s="2"/>
      <c r="K1392" s="2"/>
      <c r="L1392" s="2"/>
      <c r="M1392" s="2"/>
      <c r="N1392" s="2"/>
      <c r="O1392" s="2"/>
      <c r="P1392" s="2"/>
      <c r="Q1392" s="2"/>
      <c r="R1392" s="2"/>
      <c r="S1392" s="2"/>
    </row>
    <row r="1393" spans="1:19" x14ac:dyDescent="0.2">
      <c r="A1393" s="1">
        <v>489567</v>
      </c>
      <c r="B1393" s="1">
        <v>21908</v>
      </c>
      <c r="C1393" s="1" t="s">
        <v>387</v>
      </c>
      <c r="D1393" s="1">
        <v>6</v>
      </c>
      <c r="E1393" s="3">
        <v>40148.554861111108</v>
      </c>
      <c r="F1393" s="1">
        <v>2.1</v>
      </c>
      <c r="G1393" s="1">
        <v>15326</v>
      </c>
      <c r="H1393" s="1" t="s">
        <v>10</v>
      </c>
      <c r="I1393" s="1">
        <f t="shared" si="5"/>
        <v>12.600000000000001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/>
    </row>
    <row r="1394" spans="1:19" x14ac:dyDescent="0.2">
      <c r="A1394" s="1">
        <v>489567</v>
      </c>
      <c r="B1394" s="1">
        <v>21480</v>
      </c>
      <c r="C1394" s="1" t="s">
        <v>664</v>
      </c>
      <c r="D1394" s="1">
        <v>6</v>
      </c>
      <c r="E1394" s="3">
        <v>40148.554861111108</v>
      </c>
      <c r="F1394" s="1">
        <v>2.95</v>
      </c>
      <c r="G1394" s="1">
        <v>15326</v>
      </c>
      <c r="H1394" s="1" t="s">
        <v>10</v>
      </c>
      <c r="I1394" s="1">
        <f t="shared" si="5"/>
        <v>17.700000000000003</v>
      </c>
      <c r="J1394" s="2"/>
      <c r="K1394" s="2"/>
      <c r="L1394" s="2"/>
      <c r="M1394" s="2"/>
      <c r="N1394" s="2"/>
      <c r="O1394" s="2"/>
      <c r="P1394" s="2"/>
      <c r="Q1394" s="2"/>
      <c r="R1394" s="2"/>
      <c r="S1394" s="2"/>
    </row>
    <row r="1395" spans="1:19" x14ac:dyDescent="0.2">
      <c r="A1395" s="1">
        <v>489567</v>
      </c>
      <c r="B1395" s="1">
        <v>72127</v>
      </c>
      <c r="C1395" s="1" t="s">
        <v>977</v>
      </c>
      <c r="D1395" s="1">
        <v>6</v>
      </c>
      <c r="E1395" s="3">
        <v>40148.554861111108</v>
      </c>
      <c r="F1395" s="1">
        <v>1.25</v>
      </c>
      <c r="G1395" s="1">
        <v>15326</v>
      </c>
      <c r="H1395" s="1" t="s">
        <v>10</v>
      </c>
      <c r="I1395" s="1">
        <f t="shared" si="5"/>
        <v>7.5</v>
      </c>
      <c r="J1395" s="2"/>
      <c r="K1395" s="2"/>
      <c r="L1395" s="2"/>
      <c r="M1395" s="2"/>
      <c r="N1395" s="2"/>
      <c r="O1395" s="2"/>
      <c r="P1395" s="2"/>
      <c r="Q1395" s="2"/>
      <c r="R1395" s="2"/>
      <c r="S1395" s="2"/>
    </row>
    <row r="1396" spans="1:19" x14ac:dyDescent="0.2">
      <c r="A1396" s="1">
        <v>489567</v>
      </c>
      <c r="B1396" s="1">
        <v>21649</v>
      </c>
      <c r="C1396" s="1" t="s">
        <v>978</v>
      </c>
      <c r="D1396" s="1">
        <v>6</v>
      </c>
      <c r="E1396" s="3">
        <v>40148.554861111108</v>
      </c>
      <c r="F1396" s="1">
        <v>2.95</v>
      </c>
      <c r="G1396" s="1">
        <v>15326</v>
      </c>
      <c r="H1396" s="1" t="s">
        <v>10</v>
      </c>
      <c r="I1396" s="1">
        <f t="shared" si="5"/>
        <v>17.700000000000003</v>
      </c>
      <c r="J1396" s="2"/>
      <c r="K1396" s="2"/>
      <c r="L1396" s="2"/>
      <c r="M1396" s="2"/>
      <c r="N1396" s="2"/>
      <c r="O1396" s="2"/>
      <c r="P1396" s="2"/>
      <c r="Q1396" s="2"/>
      <c r="R1396" s="2"/>
      <c r="S1396" s="2"/>
    </row>
    <row r="1397" spans="1:19" x14ac:dyDescent="0.2">
      <c r="A1397" s="1">
        <v>489567</v>
      </c>
      <c r="B1397" s="1">
        <v>22113</v>
      </c>
      <c r="C1397" s="1" t="s">
        <v>465</v>
      </c>
      <c r="D1397" s="1">
        <v>4</v>
      </c>
      <c r="E1397" s="3">
        <v>40148.554861111108</v>
      </c>
      <c r="F1397" s="1">
        <v>3.45</v>
      </c>
      <c r="G1397" s="1">
        <v>15326</v>
      </c>
      <c r="H1397" s="1" t="s">
        <v>10</v>
      </c>
      <c r="I1397" s="1">
        <f t="shared" si="5"/>
        <v>13.8</v>
      </c>
      <c r="J1397" s="2"/>
      <c r="K1397" s="2"/>
      <c r="L1397" s="2"/>
      <c r="M1397" s="2"/>
      <c r="N1397" s="2"/>
      <c r="O1397" s="2"/>
      <c r="P1397" s="2"/>
      <c r="Q1397" s="2"/>
      <c r="R1397" s="2"/>
      <c r="S1397" s="2"/>
    </row>
    <row r="1398" spans="1:19" x14ac:dyDescent="0.2">
      <c r="A1398" s="1">
        <v>489567</v>
      </c>
      <c r="B1398" s="1" t="s">
        <v>122</v>
      </c>
      <c r="C1398" s="1" t="s">
        <v>123</v>
      </c>
      <c r="D1398" s="1">
        <v>4</v>
      </c>
      <c r="E1398" s="3">
        <v>40148.554861111108</v>
      </c>
      <c r="F1398" s="1">
        <v>3.75</v>
      </c>
      <c r="G1398" s="1">
        <v>15326</v>
      </c>
      <c r="H1398" s="1" t="s">
        <v>10</v>
      </c>
      <c r="I1398" s="1">
        <f t="shared" si="5"/>
        <v>15</v>
      </c>
      <c r="J1398" s="2"/>
      <c r="K1398" s="2"/>
      <c r="L1398" s="2"/>
      <c r="M1398" s="2"/>
      <c r="N1398" s="2"/>
      <c r="O1398" s="2"/>
      <c r="P1398" s="2"/>
      <c r="Q1398" s="2"/>
      <c r="R1398" s="2"/>
      <c r="S1398" s="2"/>
    </row>
    <row r="1399" spans="1:19" x14ac:dyDescent="0.2">
      <c r="A1399" s="1">
        <v>489567</v>
      </c>
      <c r="B1399" s="1">
        <v>85042</v>
      </c>
      <c r="C1399" s="1" t="s">
        <v>270</v>
      </c>
      <c r="D1399" s="1">
        <v>4</v>
      </c>
      <c r="E1399" s="3">
        <v>40148.554861111108</v>
      </c>
      <c r="F1399" s="1">
        <v>4.95</v>
      </c>
      <c r="G1399" s="1">
        <v>15326</v>
      </c>
      <c r="H1399" s="1" t="s">
        <v>10</v>
      </c>
      <c r="I1399" s="1">
        <f t="shared" si="5"/>
        <v>19.8</v>
      </c>
      <c r="J1399" s="2"/>
      <c r="K1399" s="2"/>
      <c r="L1399" s="2"/>
      <c r="M1399" s="2"/>
      <c r="N1399" s="2"/>
      <c r="O1399" s="2"/>
      <c r="P1399" s="2"/>
      <c r="Q1399" s="2"/>
      <c r="R1399" s="2"/>
      <c r="S1399" s="2"/>
    </row>
    <row r="1400" spans="1:19" x14ac:dyDescent="0.2">
      <c r="A1400" s="1">
        <v>489567</v>
      </c>
      <c r="B1400" s="1">
        <v>84352</v>
      </c>
      <c r="C1400" s="1" t="s">
        <v>627</v>
      </c>
      <c r="D1400" s="1">
        <v>2</v>
      </c>
      <c r="E1400" s="3">
        <v>40148.554861111108</v>
      </c>
      <c r="F1400" s="1">
        <v>16.95</v>
      </c>
      <c r="G1400" s="1">
        <v>15326</v>
      </c>
      <c r="H1400" s="1" t="s">
        <v>10</v>
      </c>
      <c r="I1400" s="1">
        <f t="shared" si="5"/>
        <v>33.9</v>
      </c>
      <c r="J1400" s="2"/>
      <c r="K1400" s="2"/>
      <c r="L1400" s="2"/>
      <c r="M1400" s="2"/>
      <c r="N1400" s="2"/>
      <c r="O1400" s="2"/>
      <c r="P1400" s="2"/>
      <c r="Q1400" s="2"/>
      <c r="R1400" s="2"/>
      <c r="S1400" s="2"/>
    </row>
    <row r="1401" spans="1:19" x14ac:dyDescent="0.2">
      <c r="A1401" s="1">
        <v>489567</v>
      </c>
      <c r="B1401" s="1">
        <v>48195</v>
      </c>
      <c r="C1401" s="1" t="s">
        <v>440</v>
      </c>
      <c r="D1401" s="1">
        <v>2</v>
      </c>
      <c r="E1401" s="3">
        <v>40148.554861111108</v>
      </c>
      <c r="F1401" s="1">
        <v>6.75</v>
      </c>
      <c r="G1401" s="1">
        <v>15326</v>
      </c>
      <c r="H1401" s="1" t="s">
        <v>10</v>
      </c>
      <c r="I1401" s="1">
        <f t="shared" si="5"/>
        <v>13.5</v>
      </c>
      <c r="J1401" s="2"/>
      <c r="K1401" s="2"/>
      <c r="L1401" s="2"/>
      <c r="M1401" s="2"/>
      <c r="N1401" s="2"/>
      <c r="O1401" s="2"/>
      <c r="P1401" s="2"/>
      <c r="Q1401" s="2"/>
      <c r="R1401" s="2"/>
      <c r="S1401" s="2"/>
    </row>
    <row r="1402" spans="1:19" x14ac:dyDescent="0.2">
      <c r="A1402" s="1">
        <v>489567</v>
      </c>
      <c r="B1402" s="1">
        <v>21463</v>
      </c>
      <c r="C1402" s="1" t="s">
        <v>979</v>
      </c>
      <c r="D1402" s="1">
        <v>2</v>
      </c>
      <c r="E1402" s="3">
        <v>40148.554861111108</v>
      </c>
      <c r="F1402" s="1">
        <v>5.95</v>
      </c>
      <c r="G1402" s="1">
        <v>15326</v>
      </c>
      <c r="H1402" s="1" t="s">
        <v>10</v>
      </c>
      <c r="I1402" s="1">
        <f t="shared" si="5"/>
        <v>11.9</v>
      </c>
      <c r="J1402" s="2"/>
      <c r="K1402" s="2"/>
      <c r="L1402" s="2"/>
      <c r="M1402" s="2"/>
      <c r="N1402" s="2"/>
      <c r="O1402" s="2"/>
      <c r="P1402" s="2"/>
      <c r="Q1402" s="2"/>
      <c r="R1402" s="2"/>
      <c r="S1402" s="2"/>
    </row>
    <row r="1403" spans="1:19" x14ac:dyDescent="0.2">
      <c r="A1403" s="1">
        <v>489567</v>
      </c>
      <c r="B1403" s="1">
        <v>84839</v>
      </c>
      <c r="C1403" s="1" t="s">
        <v>980</v>
      </c>
      <c r="D1403" s="1">
        <v>2</v>
      </c>
      <c r="E1403" s="3">
        <v>40148.554861111108</v>
      </c>
      <c r="F1403" s="1">
        <v>6.75</v>
      </c>
      <c r="G1403" s="1">
        <v>15326</v>
      </c>
      <c r="H1403" s="1" t="s">
        <v>10</v>
      </c>
      <c r="I1403" s="1">
        <f t="shared" si="5"/>
        <v>13.5</v>
      </c>
      <c r="J1403" s="2"/>
      <c r="K1403" s="2"/>
      <c r="L1403" s="2"/>
      <c r="M1403" s="2"/>
      <c r="N1403" s="2"/>
      <c r="O1403" s="2"/>
      <c r="P1403" s="2"/>
      <c r="Q1403" s="2"/>
      <c r="R1403" s="2"/>
      <c r="S1403" s="2"/>
    </row>
    <row r="1404" spans="1:19" x14ac:dyDescent="0.2">
      <c r="A1404" s="1">
        <v>489567</v>
      </c>
      <c r="B1404" s="1">
        <v>85064</v>
      </c>
      <c r="C1404" s="1" t="s">
        <v>981</v>
      </c>
      <c r="D1404" s="1">
        <v>2</v>
      </c>
      <c r="E1404" s="3">
        <v>40148.554861111108</v>
      </c>
      <c r="F1404" s="1">
        <v>5.45</v>
      </c>
      <c r="G1404" s="1">
        <v>15326</v>
      </c>
      <c r="H1404" s="1" t="s">
        <v>10</v>
      </c>
      <c r="I1404" s="1">
        <f t="shared" si="5"/>
        <v>10.9</v>
      </c>
      <c r="J1404" s="2"/>
      <c r="K1404" s="2"/>
      <c r="L1404" s="2"/>
      <c r="M1404" s="2"/>
      <c r="N1404" s="2"/>
      <c r="O1404" s="2"/>
      <c r="P1404" s="2"/>
      <c r="Q1404" s="2"/>
      <c r="R1404" s="2"/>
      <c r="S1404" s="2"/>
    </row>
    <row r="1405" spans="1:19" x14ac:dyDescent="0.2">
      <c r="A1405" s="1">
        <v>489567</v>
      </c>
      <c r="B1405" s="1" t="s">
        <v>982</v>
      </c>
      <c r="C1405" s="1" t="s">
        <v>983</v>
      </c>
      <c r="D1405" s="1">
        <v>1</v>
      </c>
      <c r="E1405" s="3">
        <v>40148.554861111108</v>
      </c>
      <c r="F1405" s="1">
        <v>9.9499999999999993</v>
      </c>
      <c r="G1405" s="1">
        <v>15326</v>
      </c>
      <c r="H1405" s="1" t="s">
        <v>10</v>
      </c>
      <c r="I1405" s="1">
        <f t="shared" si="5"/>
        <v>9.9499999999999993</v>
      </c>
      <c r="J1405" s="2"/>
      <c r="K1405" s="2"/>
      <c r="L1405" s="2"/>
      <c r="M1405" s="2"/>
      <c r="N1405" s="2"/>
      <c r="O1405" s="2"/>
      <c r="P1405" s="2"/>
      <c r="Q1405" s="2"/>
      <c r="R1405" s="2"/>
      <c r="S1405" s="2"/>
    </row>
    <row r="1406" spans="1:19" x14ac:dyDescent="0.2">
      <c r="A1406" s="1">
        <v>489567</v>
      </c>
      <c r="B1406" s="1">
        <v>21761</v>
      </c>
      <c r="C1406" s="1" t="s">
        <v>984</v>
      </c>
      <c r="D1406" s="1">
        <v>1</v>
      </c>
      <c r="E1406" s="3">
        <v>40148.554861111108</v>
      </c>
      <c r="F1406" s="1">
        <v>29.95</v>
      </c>
      <c r="G1406" s="1">
        <v>15326</v>
      </c>
      <c r="H1406" s="1" t="s">
        <v>10</v>
      </c>
      <c r="I1406" s="1">
        <f t="shared" si="5"/>
        <v>29.95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</row>
    <row r="1407" spans="1:19" x14ac:dyDescent="0.2">
      <c r="A1407" s="1">
        <v>489569</v>
      </c>
      <c r="B1407" s="1">
        <v>22154</v>
      </c>
      <c r="C1407" s="1" t="s">
        <v>454</v>
      </c>
      <c r="D1407" s="1">
        <v>48</v>
      </c>
      <c r="E1407" s="3">
        <v>40148.555555555555</v>
      </c>
      <c r="F1407" s="1">
        <v>0.42</v>
      </c>
      <c r="G1407" s="1">
        <v>14478</v>
      </c>
      <c r="H1407" s="1" t="s">
        <v>10</v>
      </c>
      <c r="I1407" s="1">
        <f t="shared" si="5"/>
        <v>20.16</v>
      </c>
      <c r="J1407" s="2"/>
      <c r="K1407" s="2"/>
      <c r="L1407" s="2"/>
      <c r="M1407" s="2"/>
      <c r="N1407" s="2"/>
      <c r="O1407" s="2"/>
      <c r="P1407" s="2"/>
      <c r="Q1407" s="2"/>
      <c r="R1407" s="2"/>
      <c r="S1407" s="2"/>
    </row>
    <row r="1408" spans="1:19" x14ac:dyDescent="0.2">
      <c r="A1408" s="1">
        <v>489569</v>
      </c>
      <c r="B1408" s="1">
        <v>22155</v>
      </c>
      <c r="C1408" s="1" t="s">
        <v>455</v>
      </c>
      <c r="D1408" s="1">
        <v>48</v>
      </c>
      <c r="E1408" s="3">
        <v>40148.555555555555</v>
      </c>
      <c r="F1408" s="1">
        <v>0.42</v>
      </c>
      <c r="G1408" s="1">
        <v>14478</v>
      </c>
      <c r="H1408" s="1" t="s">
        <v>10</v>
      </c>
      <c r="I1408" s="1">
        <f t="shared" si="5"/>
        <v>20.16</v>
      </c>
      <c r="J1408" s="2"/>
      <c r="K1408" s="2"/>
      <c r="L1408" s="2"/>
      <c r="M1408" s="2"/>
      <c r="N1408" s="2"/>
      <c r="O1408" s="2"/>
      <c r="P1408" s="2"/>
      <c r="Q1408" s="2"/>
      <c r="R1408" s="2"/>
      <c r="S1408" s="2"/>
    </row>
    <row r="1409" spans="1:19" x14ac:dyDescent="0.2">
      <c r="A1409" s="1">
        <v>489569</v>
      </c>
      <c r="B1409" s="1">
        <v>22156</v>
      </c>
      <c r="C1409" s="1" t="s">
        <v>944</v>
      </c>
      <c r="D1409" s="1">
        <v>36</v>
      </c>
      <c r="E1409" s="3">
        <v>40148.555555555555</v>
      </c>
      <c r="F1409" s="1">
        <v>0.85</v>
      </c>
      <c r="G1409" s="1">
        <v>14478</v>
      </c>
      <c r="H1409" s="1" t="s">
        <v>10</v>
      </c>
      <c r="I1409" s="1">
        <f t="shared" si="5"/>
        <v>30.599999999999998</v>
      </c>
      <c r="J1409" s="2"/>
      <c r="K1409" s="2"/>
      <c r="L1409" s="2"/>
      <c r="M1409" s="2"/>
      <c r="N1409" s="2"/>
      <c r="O1409" s="2"/>
      <c r="P1409" s="2"/>
      <c r="Q1409" s="2"/>
      <c r="R1409" s="2"/>
      <c r="S1409" s="2"/>
    </row>
    <row r="1410" spans="1:19" x14ac:dyDescent="0.2">
      <c r="A1410" s="1">
        <v>489569</v>
      </c>
      <c r="B1410" s="1">
        <v>21807</v>
      </c>
      <c r="C1410" s="1" t="s">
        <v>926</v>
      </c>
      <c r="D1410" s="1">
        <v>36</v>
      </c>
      <c r="E1410" s="3">
        <v>40148.555555555555</v>
      </c>
      <c r="F1410" s="1">
        <v>0.42</v>
      </c>
      <c r="G1410" s="1">
        <v>14478</v>
      </c>
      <c r="H1410" s="1" t="s">
        <v>10</v>
      </c>
      <c r="I1410" s="1">
        <f t="shared" si="5"/>
        <v>15.12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/>
    </row>
    <row r="1411" spans="1:19" x14ac:dyDescent="0.2">
      <c r="A1411" s="1">
        <v>489569</v>
      </c>
      <c r="B1411" s="1">
        <v>21805</v>
      </c>
      <c r="C1411" s="1" t="s">
        <v>907</v>
      </c>
      <c r="D1411" s="1">
        <v>36</v>
      </c>
      <c r="E1411" s="3">
        <v>40148.555555555555</v>
      </c>
      <c r="F1411" s="1">
        <v>0.42</v>
      </c>
      <c r="G1411" s="1">
        <v>14478</v>
      </c>
      <c r="H1411" s="1" t="s">
        <v>10</v>
      </c>
      <c r="I1411" s="1">
        <f t="shared" si="5"/>
        <v>15.12</v>
      </c>
      <c r="J1411" s="2"/>
      <c r="K1411" s="2"/>
      <c r="L1411" s="2"/>
      <c r="M1411" s="2"/>
      <c r="N1411" s="2"/>
      <c r="O1411" s="2"/>
      <c r="P1411" s="2"/>
      <c r="Q1411" s="2"/>
      <c r="R1411" s="2"/>
      <c r="S1411" s="2"/>
    </row>
    <row r="1412" spans="1:19" x14ac:dyDescent="0.2">
      <c r="A1412" s="1">
        <v>489569</v>
      </c>
      <c r="B1412" s="1">
        <v>21806</v>
      </c>
      <c r="C1412" s="1" t="s">
        <v>927</v>
      </c>
      <c r="D1412" s="1">
        <v>36</v>
      </c>
      <c r="E1412" s="3">
        <v>40148.555555555555</v>
      </c>
      <c r="F1412" s="1">
        <v>0.42</v>
      </c>
      <c r="G1412" s="1">
        <v>14478</v>
      </c>
      <c r="H1412" s="1" t="s">
        <v>10</v>
      </c>
      <c r="I1412" s="1">
        <f t="shared" si="5"/>
        <v>15.12</v>
      </c>
      <c r="J1412" s="2"/>
      <c r="K1412" s="2"/>
      <c r="L1412" s="2"/>
      <c r="M1412" s="2"/>
      <c r="N1412" s="2"/>
      <c r="O1412" s="2"/>
      <c r="P1412" s="2"/>
      <c r="Q1412" s="2"/>
      <c r="R1412" s="2"/>
      <c r="S1412" s="2"/>
    </row>
    <row r="1413" spans="1:19" x14ac:dyDescent="0.2">
      <c r="A1413" s="1">
        <v>489569</v>
      </c>
      <c r="B1413" s="1">
        <v>22294</v>
      </c>
      <c r="C1413" s="1" t="s">
        <v>175</v>
      </c>
      <c r="D1413" s="1">
        <v>24</v>
      </c>
      <c r="E1413" s="3">
        <v>40148.555555555555</v>
      </c>
      <c r="F1413" s="1">
        <v>1.25</v>
      </c>
      <c r="G1413" s="1">
        <v>14478</v>
      </c>
      <c r="H1413" s="1" t="s">
        <v>10</v>
      </c>
      <c r="I1413" s="1">
        <f t="shared" si="5"/>
        <v>30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2"/>
    </row>
    <row r="1414" spans="1:19" x14ac:dyDescent="0.2">
      <c r="A1414" s="1">
        <v>489569</v>
      </c>
      <c r="B1414" s="1">
        <v>22178</v>
      </c>
      <c r="C1414" s="1" t="s">
        <v>180</v>
      </c>
      <c r="D1414" s="1">
        <v>12</v>
      </c>
      <c r="E1414" s="3">
        <v>40148.555555555555</v>
      </c>
      <c r="F1414" s="1">
        <v>1.25</v>
      </c>
      <c r="G1414" s="1">
        <v>14478</v>
      </c>
      <c r="H1414" s="1" t="s">
        <v>10</v>
      </c>
      <c r="I1414" s="1">
        <f t="shared" si="5"/>
        <v>15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</row>
    <row r="1415" spans="1:19" x14ac:dyDescent="0.2">
      <c r="A1415" s="1">
        <v>489569</v>
      </c>
      <c r="B1415" s="1">
        <v>21804</v>
      </c>
      <c r="C1415" s="1" t="s">
        <v>985</v>
      </c>
      <c r="D1415" s="1">
        <v>12</v>
      </c>
      <c r="E1415" s="3">
        <v>40148.555555555555</v>
      </c>
      <c r="F1415" s="1">
        <v>3.75</v>
      </c>
      <c r="G1415" s="1">
        <v>14478</v>
      </c>
      <c r="H1415" s="1" t="s">
        <v>10</v>
      </c>
      <c r="I1415" s="1">
        <f t="shared" si="5"/>
        <v>45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2"/>
    </row>
    <row r="1416" spans="1:19" x14ac:dyDescent="0.2">
      <c r="A1416" s="1">
        <v>489569</v>
      </c>
      <c r="B1416" s="1" t="s">
        <v>714</v>
      </c>
      <c r="C1416" s="1" t="s">
        <v>715</v>
      </c>
      <c r="D1416" s="1">
        <v>6</v>
      </c>
      <c r="E1416" s="3">
        <v>40148.555555555555</v>
      </c>
      <c r="F1416" s="1">
        <v>1.25</v>
      </c>
      <c r="G1416" s="1">
        <v>14478</v>
      </c>
      <c r="H1416" s="1" t="s">
        <v>10</v>
      </c>
      <c r="I1416" s="1">
        <f t="shared" si="5"/>
        <v>7.5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2"/>
    </row>
    <row r="1417" spans="1:19" x14ac:dyDescent="0.2">
      <c r="A1417" s="1">
        <v>489569</v>
      </c>
      <c r="B1417" s="1">
        <v>21868</v>
      </c>
      <c r="C1417" s="1" t="s">
        <v>500</v>
      </c>
      <c r="D1417" s="1">
        <v>6</v>
      </c>
      <c r="E1417" s="3">
        <v>40148.555555555555</v>
      </c>
      <c r="F1417" s="1">
        <v>1.25</v>
      </c>
      <c r="G1417" s="1">
        <v>14478</v>
      </c>
      <c r="H1417" s="1" t="s">
        <v>10</v>
      </c>
      <c r="I1417" s="1">
        <f t="shared" si="5"/>
        <v>7.5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2"/>
    </row>
    <row r="1418" spans="1:19" x14ac:dyDescent="0.2">
      <c r="A1418" s="1">
        <v>489569</v>
      </c>
      <c r="B1418" s="1">
        <v>22086</v>
      </c>
      <c r="C1418" s="1" t="s">
        <v>183</v>
      </c>
      <c r="D1418" s="1">
        <v>5</v>
      </c>
      <c r="E1418" s="3">
        <v>40148.555555555555</v>
      </c>
      <c r="F1418" s="1">
        <v>2.95</v>
      </c>
      <c r="G1418" s="1">
        <v>14478</v>
      </c>
      <c r="H1418" s="1" t="s">
        <v>10</v>
      </c>
      <c r="I1418" s="1">
        <f t="shared" si="5"/>
        <v>14.75</v>
      </c>
      <c r="J1418" s="2"/>
      <c r="K1418" s="2"/>
      <c r="L1418" s="2"/>
      <c r="M1418" s="2"/>
      <c r="N1418" s="2"/>
      <c r="O1418" s="2"/>
      <c r="P1418" s="2"/>
      <c r="Q1418" s="2"/>
      <c r="R1418" s="2"/>
      <c r="S1418" s="2"/>
    </row>
    <row r="1419" spans="1:19" x14ac:dyDescent="0.2">
      <c r="A1419" s="1">
        <v>489569</v>
      </c>
      <c r="B1419" s="1">
        <v>84839</v>
      </c>
      <c r="C1419" s="1" t="s">
        <v>980</v>
      </c>
      <c r="D1419" s="1">
        <v>2</v>
      </c>
      <c r="E1419" s="3">
        <v>40148.555555555555</v>
      </c>
      <c r="F1419" s="1">
        <v>6.75</v>
      </c>
      <c r="G1419" s="1">
        <v>14478</v>
      </c>
      <c r="H1419" s="1" t="s">
        <v>10</v>
      </c>
      <c r="I1419" s="1">
        <f t="shared" si="5"/>
        <v>13.5</v>
      </c>
      <c r="J1419" s="2"/>
      <c r="K1419" s="2"/>
      <c r="L1419" s="2"/>
      <c r="M1419" s="2"/>
      <c r="N1419" s="2"/>
      <c r="O1419" s="2"/>
      <c r="P1419" s="2"/>
      <c r="Q1419" s="2"/>
      <c r="R1419" s="2"/>
      <c r="S1419" s="2"/>
    </row>
    <row r="1420" spans="1:19" x14ac:dyDescent="0.2">
      <c r="A1420" s="1">
        <v>489569</v>
      </c>
      <c r="B1420" s="1">
        <v>22415</v>
      </c>
      <c r="C1420" s="1" t="s">
        <v>895</v>
      </c>
      <c r="D1420" s="1">
        <v>1</v>
      </c>
      <c r="E1420" s="3">
        <v>40148.555555555555</v>
      </c>
      <c r="F1420" s="1">
        <v>7.95</v>
      </c>
      <c r="G1420" s="1">
        <v>14478</v>
      </c>
      <c r="H1420" s="1" t="s">
        <v>10</v>
      </c>
      <c r="I1420" s="1">
        <f t="shared" si="5"/>
        <v>7.95</v>
      </c>
      <c r="J1420" s="2"/>
      <c r="K1420" s="2"/>
      <c r="L1420" s="2"/>
      <c r="M1420" s="2"/>
      <c r="N1420" s="2"/>
      <c r="O1420" s="2"/>
      <c r="P1420" s="2"/>
      <c r="Q1420" s="2"/>
      <c r="R1420" s="2"/>
      <c r="S1420" s="2"/>
    </row>
    <row r="1421" spans="1:19" x14ac:dyDescent="0.2">
      <c r="A1421" s="1">
        <v>489569</v>
      </c>
      <c r="B1421" s="1" t="s">
        <v>986</v>
      </c>
      <c r="C1421" s="1" t="s">
        <v>987</v>
      </c>
      <c r="D1421" s="1">
        <v>1</v>
      </c>
      <c r="E1421" s="3">
        <v>40148.555555555555</v>
      </c>
      <c r="F1421" s="1">
        <v>8.9499999999999993</v>
      </c>
      <c r="G1421" s="1">
        <v>14478</v>
      </c>
      <c r="H1421" s="1" t="s">
        <v>10</v>
      </c>
      <c r="I1421" s="1">
        <f t="shared" si="5"/>
        <v>8.9499999999999993</v>
      </c>
      <c r="J1421" s="2"/>
      <c r="K1421" s="2"/>
      <c r="L1421" s="2"/>
      <c r="M1421" s="2"/>
      <c r="N1421" s="2"/>
      <c r="O1421" s="2"/>
      <c r="P1421" s="2"/>
      <c r="Q1421" s="2"/>
      <c r="R1421" s="2"/>
      <c r="S1421" s="2"/>
    </row>
    <row r="1422" spans="1:19" x14ac:dyDescent="0.2">
      <c r="A1422" s="1">
        <v>489569</v>
      </c>
      <c r="B1422" s="1" t="s">
        <v>282</v>
      </c>
      <c r="C1422" s="1" t="s">
        <v>283</v>
      </c>
      <c r="D1422" s="1">
        <v>1</v>
      </c>
      <c r="E1422" s="3">
        <v>40148.555555555555</v>
      </c>
      <c r="F1422" s="1">
        <v>9.9499999999999993</v>
      </c>
      <c r="G1422" s="1">
        <v>14478</v>
      </c>
      <c r="H1422" s="1" t="s">
        <v>10</v>
      </c>
      <c r="I1422" s="1">
        <f t="shared" si="5"/>
        <v>9.9499999999999993</v>
      </c>
      <c r="J1422" s="2"/>
      <c r="K1422" s="2"/>
      <c r="L1422" s="2"/>
      <c r="M1422" s="2"/>
      <c r="N1422" s="2"/>
      <c r="O1422" s="2"/>
      <c r="P1422" s="2"/>
      <c r="Q1422" s="2"/>
      <c r="R1422" s="2"/>
      <c r="S1422" s="2"/>
    </row>
    <row r="1423" spans="1:19" x14ac:dyDescent="0.2">
      <c r="A1423" s="1">
        <v>489569</v>
      </c>
      <c r="B1423" s="1">
        <v>21707</v>
      </c>
      <c r="C1423" s="1" t="s">
        <v>271</v>
      </c>
      <c r="D1423" s="1">
        <v>1</v>
      </c>
      <c r="E1423" s="3">
        <v>40148.555555555555</v>
      </c>
      <c r="F1423" s="1">
        <v>4.95</v>
      </c>
      <c r="G1423" s="1">
        <v>14478</v>
      </c>
      <c r="H1423" s="1" t="s">
        <v>10</v>
      </c>
      <c r="I1423" s="1">
        <f t="shared" si="5"/>
        <v>4.95</v>
      </c>
      <c r="J1423" s="2"/>
      <c r="K1423" s="2"/>
      <c r="L1423" s="2"/>
      <c r="M1423" s="2"/>
      <c r="N1423" s="2"/>
      <c r="O1423" s="2"/>
      <c r="P1423" s="2"/>
      <c r="Q1423" s="2"/>
      <c r="R1423" s="2"/>
      <c r="S1423" s="2"/>
    </row>
    <row r="1424" spans="1:19" x14ac:dyDescent="0.2">
      <c r="A1424" s="1">
        <v>489569</v>
      </c>
      <c r="B1424" s="1">
        <v>21034</v>
      </c>
      <c r="C1424" s="1" t="s">
        <v>606</v>
      </c>
      <c r="D1424" s="1">
        <v>1</v>
      </c>
      <c r="E1424" s="3">
        <v>40148.555555555555</v>
      </c>
      <c r="F1424" s="1">
        <v>0.95</v>
      </c>
      <c r="G1424" s="1">
        <v>14478</v>
      </c>
      <c r="H1424" s="1" t="s">
        <v>10</v>
      </c>
      <c r="I1424" s="1">
        <f t="shared" si="5"/>
        <v>0.95</v>
      </c>
      <c r="J1424" s="2"/>
      <c r="K1424" s="2"/>
      <c r="L1424" s="2"/>
      <c r="M1424" s="2"/>
      <c r="N1424" s="2"/>
      <c r="O1424" s="2"/>
      <c r="P1424" s="2"/>
      <c r="Q1424" s="2"/>
      <c r="R1424" s="2"/>
      <c r="S1424" s="2"/>
    </row>
    <row r="1425" spans="1:19" x14ac:dyDescent="0.2">
      <c r="A1425" s="1" t="s">
        <v>988</v>
      </c>
      <c r="B1425" s="1">
        <v>22107</v>
      </c>
      <c r="C1425" s="1" t="s">
        <v>42</v>
      </c>
      <c r="D1425" s="1">
        <v>-1</v>
      </c>
      <c r="E1425" s="3">
        <v>40148.555555555555</v>
      </c>
      <c r="F1425" s="1">
        <v>3.75</v>
      </c>
      <c r="G1425" s="1">
        <v>15005</v>
      </c>
      <c r="H1425" s="1" t="s">
        <v>10</v>
      </c>
      <c r="I1425" s="1">
        <f t="shared" si="5"/>
        <v>-3.75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/>
    </row>
    <row r="1426" spans="1:19" x14ac:dyDescent="0.2">
      <c r="A1426" s="1" t="s">
        <v>988</v>
      </c>
      <c r="B1426" s="1">
        <v>82483</v>
      </c>
      <c r="C1426" s="1" t="s">
        <v>266</v>
      </c>
      <c r="D1426" s="1">
        <v>-1</v>
      </c>
      <c r="E1426" s="3">
        <v>40148.555555555555</v>
      </c>
      <c r="F1426" s="1">
        <v>5.95</v>
      </c>
      <c r="G1426" s="1">
        <v>15005</v>
      </c>
      <c r="H1426" s="1" t="s">
        <v>10</v>
      </c>
      <c r="I1426" s="1">
        <f t="shared" si="5"/>
        <v>-5.95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2"/>
    </row>
    <row r="1427" spans="1:19" x14ac:dyDescent="0.2">
      <c r="A1427" s="1" t="s">
        <v>988</v>
      </c>
      <c r="B1427" s="1">
        <v>22138</v>
      </c>
      <c r="C1427" s="1" t="s">
        <v>109</v>
      </c>
      <c r="D1427" s="1">
        <v>-1</v>
      </c>
      <c r="E1427" s="3">
        <v>40148.555555555555</v>
      </c>
      <c r="F1427" s="1">
        <v>4.95</v>
      </c>
      <c r="G1427" s="1">
        <v>15005</v>
      </c>
      <c r="H1427" s="1" t="s">
        <v>10</v>
      </c>
      <c r="I1427" s="1">
        <f t="shared" si="5"/>
        <v>-4.95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2"/>
    </row>
    <row r="1428" spans="1:19" x14ac:dyDescent="0.2">
      <c r="A1428" s="1" t="s">
        <v>988</v>
      </c>
      <c r="B1428" s="1">
        <v>21218</v>
      </c>
      <c r="C1428" s="1" t="s">
        <v>989</v>
      </c>
      <c r="D1428" s="1">
        <v>-1</v>
      </c>
      <c r="E1428" s="3">
        <v>40148.555555555555</v>
      </c>
      <c r="F1428" s="1">
        <v>3.75</v>
      </c>
      <c r="G1428" s="1">
        <v>15005</v>
      </c>
      <c r="H1428" s="1" t="s">
        <v>10</v>
      </c>
      <c r="I1428" s="1">
        <f t="shared" si="5"/>
        <v>-3.75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2"/>
    </row>
    <row r="1429" spans="1:19" x14ac:dyDescent="0.2">
      <c r="A1429" s="1" t="s">
        <v>990</v>
      </c>
      <c r="B1429" s="1" t="s">
        <v>17</v>
      </c>
      <c r="C1429" s="1" t="s">
        <v>18</v>
      </c>
      <c r="D1429" s="1">
        <v>-1</v>
      </c>
      <c r="E1429" s="3">
        <v>40148.561111111114</v>
      </c>
      <c r="F1429" s="1">
        <v>6.75</v>
      </c>
      <c r="G1429" s="1">
        <v>15967</v>
      </c>
      <c r="H1429" s="1" t="s">
        <v>10</v>
      </c>
      <c r="I1429" s="1">
        <f t="shared" si="5"/>
        <v>-6.75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</row>
    <row r="1430" spans="1:19" x14ac:dyDescent="0.2">
      <c r="A1430" s="1" t="s">
        <v>990</v>
      </c>
      <c r="B1430" s="1" t="s">
        <v>545</v>
      </c>
      <c r="C1430" s="1" t="s">
        <v>546</v>
      </c>
      <c r="D1430" s="1">
        <v>-1</v>
      </c>
      <c r="E1430" s="3">
        <v>40148.561111111114</v>
      </c>
      <c r="F1430" s="1">
        <v>5.95</v>
      </c>
      <c r="G1430" s="1">
        <v>15967</v>
      </c>
      <c r="H1430" s="1" t="s">
        <v>10</v>
      </c>
      <c r="I1430" s="1">
        <f t="shared" si="5"/>
        <v>-5.95</v>
      </c>
      <c r="J1430" s="2"/>
      <c r="K1430" s="2"/>
      <c r="L1430" s="2"/>
      <c r="M1430" s="2"/>
      <c r="N1430" s="2"/>
      <c r="O1430" s="2"/>
      <c r="P1430" s="2"/>
      <c r="Q1430" s="2"/>
      <c r="R1430" s="2"/>
      <c r="S1430" s="2"/>
    </row>
    <row r="1431" spans="1:19" x14ac:dyDescent="0.2">
      <c r="A1431" s="1" t="s">
        <v>990</v>
      </c>
      <c r="B1431" s="1">
        <v>85103</v>
      </c>
      <c r="C1431" s="1" t="s">
        <v>991</v>
      </c>
      <c r="D1431" s="1">
        <v>-1</v>
      </c>
      <c r="E1431" s="3">
        <v>40148.561111111114</v>
      </c>
      <c r="F1431" s="1">
        <v>6.75</v>
      </c>
      <c r="G1431" s="1">
        <v>15967</v>
      </c>
      <c r="H1431" s="1" t="s">
        <v>10</v>
      </c>
      <c r="I1431" s="1">
        <f t="shared" si="5"/>
        <v>-6.75</v>
      </c>
      <c r="J1431" s="2"/>
      <c r="K1431" s="2"/>
      <c r="L1431" s="2"/>
      <c r="M1431" s="2"/>
      <c r="N1431" s="2"/>
      <c r="O1431" s="2"/>
      <c r="P1431" s="2"/>
      <c r="Q1431" s="2"/>
      <c r="R1431" s="2"/>
      <c r="S1431" s="2"/>
    </row>
    <row r="1432" spans="1:19" x14ac:dyDescent="0.2">
      <c r="A1432" s="1" t="s">
        <v>990</v>
      </c>
      <c r="B1432" s="1">
        <v>20894</v>
      </c>
      <c r="C1432" s="1" t="s">
        <v>992</v>
      </c>
      <c r="D1432" s="1">
        <v>-1</v>
      </c>
      <c r="E1432" s="3">
        <v>40148.561111111114</v>
      </c>
      <c r="F1432" s="1">
        <v>2.95</v>
      </c>
      <c r="G1432" s="1">
        <v>15967</v>
      </c>
      <c r="H1432" s="1" t="s">
        <v>10</v>
      </c>
      <c r="I1432" s="1">
        <f t="shared" si="5"/>
        <v>-2.95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</row>
    <row r="1433" spans="1:19" x14ac:dyDescent="0.2">
      <c r="A1433" s="1">
        <v>489571</v>
      </c>
      <c r="B1433" s="1">
        <v>22297</v>
      </c>
      <c r="C1433" s="1" t="s">
        <v>993</v>
      </c>
      <c r="D1433" s="1">
        <v>8</v>
      </c>
      <c r="E1433" s="3">
        <v>40148.561805555553</v>
      </c>
      <c r="F1433" s="1">
        <v>1.25</v>
      </c>
      <c r="G1433" s="1">
        <v>15967</v>
      </c>
      <c r="H1433" s="1" t="s">
        <v>10</v>
      </c>
      <c r="I1433" s="1">
        <f t="shared" si="5"/>
        <v>10</v>
      </c>
      <c r="J1433" s="2"/>
      <c r="K1433" s="2"/>
      <c r="L1433" s="2"/>
      <c r="M1433" s="2"/>
      <c r="N1433" s="2"/>
      <c r="O1433" s="2"/>
      <c r="P1433" s="2"/>
      <c r="Q1433" s="2"/>
      <c r="R1433" s="2"/>
      <c r="S1433" s="2"/>
    </row>
    <row r="1434" spans="1:19" x14ac:dyDescent="0.2">
      <c r="A1434" s="1">
        <v>489571</v>
      </c>
      <c r="B1434" s="1">
        <v>22162</v>
      </c>
      <c r="C1434" s="1" t="s">
        <v>994</v>
      </c>
      <c r="D1434" s="1">
        <v>5</v>
      </c>
      <c r="E1434" s="3">
        <v>40148.561805555553</v>
      </c>
      <c r="F1434" s="1">
        <v>2.95</v>
      </c>
      <c r="G1434" s="1">
        <v>15967</v>
      </c>
      <c r="H1434" s="1" t="s">
        <v>10</v>
      </c>
      <c r="I1434" s="1">
        <f t="shared" si="5"/>
        <v>14.75</v>
      </c>
      <c r="J1434" s="2"/>
      <c r="K1434" s="2"/>
      <c r="L1434" s="2"/>
      <c r="M1434" s="2"/>
      <c r="N1434" s="2"/>
      <c r="O1434" s="2"/>
      <c r="P1434" s="2"/>
      <c r="Q1434" s="2"/>
      <c r="R1434" s="2"/>
      <c r="S1434" s="2"/>
    </row>
    <row r="1435" spans="1:19" x14ac:dyDescent="0.2">
      <c r="A1435" s="1">
        <v>489571</v>
      </c>
      <c r="B1435" s="1">
        <v>22296</v>
      </c>
      <c r="C1435" s="1" t="s">
        <v>29</v>
      </c>
      <c r="D1435" s="1">
        <v>4</v>
      </c>
      <c r="E1435" s="3">
        <v>40148.561805555553</v>
      </c>
      <c r="F1435" s="1">
        <v>1.65</v>
      </c>
      <c r="G1435" s="1">
        <v>15967</v>
      </c>
      <c r="H1435" s="1" t="s">
        <v>10</v>
      </c>
      <c r="I1435" s="1">
        <f t="shared" si="5"/>
        <v>6.6</v>
      </c>
      <c r="J1435" s="2"/>
      <c r="K1435" s="2"/>
      <c r="L1435" s="2"/>
      <c r="M1435" s="2"/>
      <c r="N1435" s="2"/>
      <c r="O1435" s="2"/>
      <c r="P1435" s="2"/>
      <c r="Q1435" s="2"/>
      <c r="R1435" s="2"/>
      <c r="S1435" s="2"/>
    </row>
    <row r="1436" spans="1:19" x14ac:dyDescent="0.2">
      <c r="A1436" s="1">
        <v>489571</v>
      </c>
      <c r="B1436" s="1">
        <v>22189</v>
      </c>
      <c r="C1436" s="1" t="s">
        <v>711</v>
      </c>
      <c r="D1436" s="1">
        <v>2</v>
      </c>
      <c r="E1436" s="3">
        <v>40148.561805555553</v>
      </c>
      <c r="F1436" s="1">
        <v>3.95</v>
      </c>
      <c r="G1436" s="1">
        <v>15967</v>
      </c>
      <c r="H1436" s="1" t="s">
        <v>10</v>
      </c>
      <c r="I1436" s="1">
        <f t="shared" si="5"/>
        <v>7.9</v>
      </c>
      <c r="J1436" s="2"/>
      <c r="K1436" s="2"/>
      <c r="L1436" s="2"/>
      <c r="M1436" s="2"/>
      <c r="N1436" s="2"/>
      <c r="O1436" s="2"/>
      <c r="P1436" s="2"/>
      <c r="Q1436" s="2"/>
      <c r="R1436" s="2"/>
      <c r="S1436" s="2"/>
    </row>
    <row r="1437" spans="1:19" x14ac:dyDescent="0.2">
      <c r="A1437" s="1">
        <v>489571</v>
      </c>
      <c r="B1437" s="1" t="s">
        <v>800</v>
      </c>
      <c r="C1437" s="1" t="s">
        <v>801</v>
      </c>
      <c r="D1437" s="1">
        <v>2</v>
      </c>
      <c r="E1437" s="3">
        <v>40148.561805555553</v>
      </c>
      <c r="F1437" s="1">
        <v>1.95</v>
      </c>
      <c r="G1437" s="1">
        <v>15967</v>
      </c>
      <c r="H1437" s="1" t="s">
        <v>10</v>
      </c>
      <c r="I1437" s="1">
        <f t="shared" si="5"/>
        <v>3.9</v>
      </c>
      <c r="J1437" s="2"/>
      <c r="K1437" s="2"/>
      <c r="L1437" s="2"/>
      <c r="M1437" s="2"/>
      <c r="N1437" s="2"/>
      <c r="O1437" s="2"/>
      <c r="P1437" s="2"/>
      <c r="Q1437" s="2"/>
      <c r="R1437" s="2"/>
      <c r="S1437" s="2"/>
    </row>
    <row r="1438" spans="1:19" x14ac:dyDescent="0.2">
      <c r="A1438" s="1">
        <v>489571</v>
      </c>
      <c r="B1438" s="1">
        <v>84836</v>
      </c>
      <c r="C1438" s="1" t="s">
        <v>427</v>
      </c>
      <c r="D1438" s="1">
        <v>2</v>
      </c>
      <c r="E1438" s="3">
        <v>40148.561805555553</v>
      </c>
      <c r="F1438" s="1">
        <v>1.25</v>
      </c>
      <c r="G1438" s="1">
        <v>15967</v>
      </c>
      <c r="H1438" s="1" t="s">
        <v>10</v>
      </c>
      <c r="I1438" s="1">
        <f t="shared" si="5"/>
        <v>2.5</v>
      </c>
      <c r="J1438" s="2"/>
      <c r="K1438" s="2"/>
      <c r="L1438" s="2"/>
      <c r="M1438" s="2"/>
      <c r="N1438" s="2"/>
      <c r="O1438" s="2"/>
      <c r="P1438" s="2"/>
      <c r="Q1438" s="2"/>
      <c r="R1438" s="2"/>
      <c r="S1438" s="2"/>
    </row>
    <row r="1439" spans="1:19" x14ac:dyDescent="0.2">
      <c r="A1439" s="1">
        <v>489571</v>
      </c>
      <c r="B1439" s="1">
        <v>84813</v>
      </c>
      <c r="C1439" s="1" t="s">
        <v>995</v>
      </c>
      <c r="D1439" s="1">
        <v>2</v>
      </c>
      <c r="E1439" s="3">
        <v>40148.561805555553</v>
      </c>
      <c r="F1439" s="1">
        <v>12.75</v>
      </c>
      <c r="G1439" s="1">
        <v>15967</v>
      </c>
      <c r="H1439" s="1" t="s">
        <v>10</v>
      </c>
      <c r="I1439" s="1">
        <f t="shared" si="5"/>
        <v>25.5</v>
      </c>
      <c r="J1439" s="2"/>
      <c r="K1439" s="2"/>
      <c r="L1439" s="2"/>
      <c r="M1439" s="2"/>
      <c r="N1439" s="2"/>
      <c r="O1439" s="2"/>
      <c r="P1439" s="2"/>
      <c r="Q1439" s="2"/>
      <c r="R1439" s="2"/>
      <c r="S1439" s="2"/>
    </row>
    <row r="1440" spans="1:19" x14ac:dyDescent="0.2">
      <c r="A1440" s="1">
        <v>489571</v>
      </c>
      <c r="B1440" s="1">
        <v>21621</v>
      </c>
      <c r="C1440" s="1" t="s">
        <v>878</v>
      </c>
      <c r="D1440" s="1">
        <v>2</v>
      </c>
      <c r="E1440" s="3">
        <v>40148.561805555553</v>
      </c>
      <c r="F1440" s="1">
        <v>8.5</v>
      </c>
      <c r="G1440" s="1">
        <v>15967</v>
      </c>
      <c r="H1440" s="1" t="s">
        <v>10</v>
      </c>
      <c r="I1440" s="1">
        <f t="shared" si="5"/>
        <v>17</v>
      </c>
      <c r="J1440" s="2"/>
      <c r="K1440" s="2"/>
      <c r="L1440" s="2"/>
      <c r="M1440" s="2"/>
      <c r="N1440" s="2"/>
      <c r="O1440" s="2"/>
      <c r="P1440" s="2"/>
      <c r="Q1440" s="2"/>
      <c r="R1440" s="2"/>
      <c r="S1440" s="2"/>
    </row>
    <row r="1441" spans="1:19" x14ac:dyDescent="0.2">
      <c r="A1441" s="1">
        <v>489571</v>
      </c>
      <c r="B1441" s="1" t="s">
        <v>996</v>
      </c>
      <c r="C1441" s="1" t="s">
        <v>997</v>
      </c>
      <c r="D1441" s="1">
        <v>2</v>
      </c>
      <c r="E1441" s="3">
        <v>40148.561805555553</v>
      </c>
      <c r="F1441" s="1">
        <v>2.95</v>
      </c>
      <c r="G1441" s="1">
        <v>15967</v>
      </c>
      <c r="H1441" s="1" t="s">
        <v>10</v>
      </c>
      <c r="I1441" s="1">
        <f t="shared" si="5"/>
        <v>5.9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2"/>
    </row>
    <row r="1442" spans="1:19" x14ac:dyDescent="0.2">
      <c r="A1442" s="1">
        <v>489571</v>
      </c>
      <c r="B1442" s="1" t="s">
        <v>998</v>
      </c>
      <c r="C1442" s="1" t="s">
        <v>999</v>
      </c>
      <c r="D1442" s="1">
        <v>1</v>
      </c>
      <c r="E1442" s="3">
        <v>40148.561805555553</v>
      </c>
      <c r="F1442" s="1">
        <v>4.25</v>
      </c>
      <c r="G1442" s="1">
        <v>15967</v>
      </c>
      <c r="H1442" s="1" t="s">
        <v>10</v>
      </c>
      <c r="I1442" s="1">
        <f t="shared" si="5"/>
        <v>4.25</v>
      </c>
      <c r="J1442" s="2"/>
      <c r="K1442" s="2"/>
      <c r="L1442" s="2"/>
      <c r="M1442" s="2"/>
      <c r="N1442" s="2"/>
      <c r="O1442" s="2"/>
      <c r="P1442" s="2"/>
      <c r="Q1442" s="2"/>
      <c r="R1442" s="2"/>
      <c r="S1442" s="2"/>
    </row>
    <row r="1443" spans="1:19" x14ac:dyDescent="0.2">
      <c r="A1443" s="1">
        <v>489571</v>
      </c>
      <c r="B1443" s="1">
        <v>20967</v>
      </c>
      <c r="C1443" s="1" t="s">
        <v>313</v>
      </c>
      <c r="D1443" s="1">
        <v>1</v>
      </c>
      <c r="E1443" s="3">
        <v>40148.561805555553</v>
      </c>
      <c r="F1443" s="1">
        <v>3.75</v>
      </c>
      <c r="G1443" s="1">
        <v>15967</v>
      </c>
      <c r="H1443" s="1" t="s">
        <v>10</v>
      </c>
      <c r="I1443" s="1">
        <f t="shared" si="5"/>
        <v>3.75</v>
      </c>
      <c r="J1443" s="2"/>
      <c r="K1443" s="2"/>
      <c r="L1443" s="2"/>
      <c r="M1443" s="2"/>
      <c r="N1443" s="2"/>
      <c r="O1443" s="2"/>
      <c r="P1443" s="2"/>
      <c r="Q1443" s="2"/>
      <c r="R1443" s="2"/>
      <c r="S1443" s="2"/>
    </row>
    <row r="1444" spans="1:19" x14ac:dyDescent="0.2">
      <c r="A1444" s="1">
        <v>489571</v>
      </c>
      <c r="B1444" s="1">
        <v>20975</v>
      </c>
      <c r="C1444" s="1" t="s">
        <v>638</v>
      </c>
      <c r="D1444" s="1">
        <v>1</v>
      </c>
      <c r="E1444" s="3">
        <v>40148.561805555553</v>
      </c>
      <c r="F1444" s="1">
        <v>0.65</v>
      </c>
      <c r="G1444" s="1">
        <v>15967</v>
      </c>
      <c r="H1444" s="1" t="s">
        <v>10</v>
      </c>
      <c r="I1444" s="1">
        <f t="shared" si="5"/>
        <v>0.65</v>
      </c>
      <c r="J1444" s="2"/>
      <c r="K1444" s="2"/>
      <c r="L1444" s="2"/>
      <c r="M1444" s="2"/>
      <c r="N1444" s="2"/>
      <c r="O1444" s="2"/>
      <c r="P1444" s="2"/>
      <c r="Q1444" s="2"/>
      <c r="R1444" s="2"/>
      <c r="S1444" s="2"/>
    </row>
    <row r="1445" spans="1:19" x14ac:dyDescent="0.2">
      <c r="A1445" s="1">
        <v>489571</v>
      </c>
      <c r="B1445" s="1" t="s">
        <v>17</v>
      </c>
      <c r="C1445" s="1" t="s">
        <v>18</v>
      </c>
      <c r="D1445" s="1">
        <v>1</v>
      </c>
      <c r="E1445" s="3">
        <v>40148.561805555553</v>
      </c>
      <c r="F1445" s="1">
        <v>6.75</v>
      </c>
      <c r="G1445" s="1">
        <v>15967</v>
      </c>
      <c r="H1445" s="1" t="s">
        <v>10</v>
      </c>
      <c r="I1445" s="1">
        <f t="shared" si="5"/>
        <v>6.75</v>
      </c>
      <c r="J1445" s="2"/>
      <c r="K1445" s="2"/>
      <c r="L1445" s="2"/>
      <c r="M1445" s="2"/>
      <c r="N1445" s="2"/>
      <c r="O1445" s="2"/>
      <c r="P1445" s="2"/>
      <c r="Q1445" s="2"/>
      <c r="R1445" s="2"/>
      <c r="S1445" s="2"/>
    </row>
    <row r="1446" spans="1:19" x14ac:dyDescent="0.2">
      <c r="A1446" s="1">
        <v>489571</v>
      </c>
      <c r="B1446" s="1">
        <v>16237</v>
      </c>
      <c r="C1446" s="1" t="s">
        <v>746</v>
      </c>
      <c r="D1446" s="1">
        <v>1</v>
      </c>
      <c r="E1446" s="3">
        <v>40148.561805555553</v>
      </c>
      <c r="F1446" s="1">
        <v>0.21</v>
      </c>
      <c r="G1446" s="1">
        <v>15967</v>
      </c>
      <c r="H1446" s="1" t="s">
        <v>10</v>
      </c>
      <c r="I1446" s="1">
        <f t="shared" si="5"/>
        <v>0.21</v>
      </c>
      <c r="J1446" s="2"/>
      <c r="K1446" s="2"/>
      <c r="L1446" s="2"/>
      <c r="M1446" s="2"/>
      <c r="N1446" s="2"/>
      <c r="O1446" s="2"/>
      <c r="P1446" s="2"/>
      <c r="Q1446" s="2"/>
      <c r="R1446" s="2"/>
      <c r="S1446" s="2"/>
    </row>
    <row r="1447" spans="1:19" x14ac:dyDescent="0.2">
      <c r="A1447" s="1">
        <v>489571</v>
      </c>
      <c r="B1447" s="1">
        <v>85104</v>
      </c>
      <c r="C1447" s="1" t="s">
        <v>1000</v>
      </c>
      <c r="D1447" s="1">
        <v>1</v>
      </c>
      <c r="E1447" s="3">
        <v>40148.561805555553</v>
      </c>
      <c r="F1447" s="1">
        <v>2.95</v>
      </c>
      <c r="G1447" s="1">
        <v>15967</v>
      </c>
      <c r="H1447" s="1" t="s">
        <v>10</v>
      </c>
      <c r="I1447" s="1">
        <f t="shared" si="5"/>
        <v>2.95</v>
      </c>
      <c r="J1447" s="2"/>
      <c r="K1447" s="2"/>
      <c r="L1447" s="2"/>
      <c r="M1447" s="2"/>
      <c r="N1447" s="2"/>
      <c r="O1447" s="2"/>
      <c r="P1447" s="2"/>
      <c r="Q1447" s="2"/>
      <c r="R1447" s="2"/>
      <c r="S1447" s="2"/>
    </row>
    <row r="1448" spans="1:19" x14ac:dyDescent="0.2">
      <c r="A1448" s="1">
        <v>489571</v>
      </c>
      <c r="B1448" s="1">
        <v>22273</v>
      </c>
      <c r="C1448" s="1" t="s">
        <v>242</v>
      </c>
      <c r="D1448" s="1">
        <v>1</v>
      </c>
      <c r="E1448" s="3">
        <v>40148.561805555553</v>
      </c>
      <c r="F1448" s="1">
        <v>2.95</v>
      </c>
      <c r="G1448" s="1">
        <v>15967</v>
      </c>
      <c r="H1448" s="1" t="s">
        <v>10</v>
      </c>
      <c r="I1448" s="1">
        <f t="shared" si="5"/>
        <v>2.95</v>
      </c>
      <c r="J1448" s="2"/>
      <c r="K1448" s="2"/>
      <c r="L1448" s="2"/>
      <c r="M1448" s="2"/>
      <c r="N1448" s="2"/>
      <c r="O1448" s="2"/>
      <c r="P1448" s="2"/>
      <c r="Q1448" s="2"/>
      <c r="R1448" s="2"/>
      <c r="S1448" s="2"/>
    </row>
    <row r="1449" spans="1:19" x14ac:dyDescent="0.2">
      <c r="A1449" s="1">
        <v>489571</v>
      </c>
      <c r="B1449" s="1">
        <v>22272</v>
      </c>
      <c r="C1449" s="1" t="s">
        <v>60</v>
      </c>
      <c r="D1449" s="1">
        <v>1</v>
      </c>
      <c r="E1449" s="3">
        <v>40148.561805555553</v>
      </c>
      <c r="F1449" s="1">
        <v>2.95</v>
      </c>
      <c r="G1449" s="1">
        <v>15967</v>
      </c>
      <c r="H1449" s="1" t="s">
        <v>10</v>
      </c>
      <c r="I1449" s="1">
        <f t="shared" si="5"/>
        <v>2.95</v>
      </c>
      <c r="J1449" s="2"/>
      <c r="K1449" s="2"/>
      <c r="L1449" s="2"/>
      <c r="M1449" s="2"/>
      <c r="N1449" s="2"/>
      <c r="O1449" s="2"/>
      <c r="P1449" s="2"/>
      <c r="Q1449" s="2"/>
      <c r="R1449" s="2"/>
      <c r="S1449" s="2"/>
    </row>
    <row r="1450" spans="1:19" x14ac:dyDescent="0.2">
      <c r="A1450" s="1">
        <v>489571</v>
      </c>
      <c r="B1450" s="1">
        <v>22271</v>
      </c>
      <c r="C1450" s="1" t="s">
        <v>59</v>
      </c>
      <c r="D1450" s="1">
        <v>1</v>
      </c>
      <c r="E1450" s="3">
        <v>40148.561805555553</v>
      </c>
      <c r="F1450" s="1">
        <v>2.95</v>
      </c>
      <c r="G1450" s="1">
        <v>15967</v>
      </c>
      <c r="H1450" s="1" t="s">
        <v>10</v>
      </c>
      <c r="I1450" s="1">
        <f t="shared" si="5"/>
        <v>2.95</v>
      </c>
      <c r="J1450" s="2"/>
      <c r="K1450" s="2"/>
      <c r="L1450" s="2"/>
      <c r="M1450" s="2"/>
      <c r="N1450" s="2"/>
      <c r="O1450" s="2"/>
      <c r="P1450" s="2"/>
      <c r="Q1450" s="2"/>
      <c r="R1450" s="2"/>
      <c r="S1450" s="2"/>
    </row>
    <row r="1451" spans="1:19" x14ac:dyDescent="0.2">
      <c r="A1451" s="1">
        <v>489571</v>
      </c>
      <c r="B1451" s="1">
        <v>21181</v>
      </c>
      <c r="C1451" s="1" t="s">
        <v>34</v>
      </c>
      <c r="D1451" s="1">
        <v>1</v>
      </c>
      <c r="E1451" s="3">
        <v>40148.561805555553</v>
      </c>
      <c r="F1451" s="1">
        <v>2.1</v>
      </c>
      <c r="G1451" s="1">
        <v>15967</v>
      </c>
      <c r="H1451" s="1" t="s">
        <v>10</v>
      </c>
      <c r="I1451" s="1">
        <f t="shared" si="5"/>
        <v>2.1</v>
      </c>
      <c r="J1451" s="2"/>
      <c r="K1451" s="2"/>
      <c r="L1451" s="2"/>
      <c r="M1451" s="2"/>
      <c r="N1451" s="2"/>
      <c r="O1451" s="2"/>
      <c r="P1451" s="2"/>
      <c r="Q1451" s="2"/>
      <c r="R1451" s="2"/>
      <c r="S1451" s="2"/>
    </row>
    <row r="1452" spans="1:19" x14ac:dyDescent="0.2">
      <c r="A1452" s="1">
        <v>489571</v>
      </c>
      <c r="B1452" s="1">
        <v>21484</v>
      </c>
      <c r="C1452" s="1" t="s">
        <v>296</v>
      </c>
      <c r="D1452" s="1">
        <v>1</v>
      </c>
      <c r="E1452" s="3">
        <v>40148.561805555553</v>
      </c>
      <c r="F1452" s="1">
        <v>3.45</v>
      </c>
      <c r="G1452" s="1">
        <v>15967</v>
      </c>
      <c r="H1452" s="1" t="s">
        <v>10</v>
      </c>
      <c r="I1452" s="1">
        <f t="shared" si="5"/>
        <v>3.45</v>
      </c>
      <c r="J1452" s="2"/>
      <c r="K1452" s="2"/>
      <c r="L1452" s="2"/>
      <c r="M1452" s="2"/>
      <c r="N1452" s="2"/>
      <c r="O1452" s="2"/>
      <c r="P1452" s="2"/>
      <c r="Q1452" s="2"/>
      <c r="R1452" s="2"/>
      <c r="S1452" s="2"/>
    </row>
    <row r="1453" spans="1:19" x14ac:dyDescent="0.2">
      <c r="A1453" s="1">
        <v>489571</v>
      </c>
      <c r="B1453" s="1">
        <v>21479</v>
      </c>
      <c r="C1453" s="1" t="s">
        <v>323</v>
      </c>
      <c r="D1453" s="1">
        <v>1</v>
      </c>
      <c r="E1453" s="3">
        <v>40148.561805555553</v>
      </c>
      <c r="F1453" s="1">
        <v>3.75</v>
      </c>
      <c r="G1453" s="1">
        <v>15967</v>
      </c>
      <c r="H1453" s="1" t="s">
        <v>10</v>
      </c>
      <c r="I1453" s="1">
        <f t="shared" si="5"/>
        <v>3.75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2"/>
    </row>
    <row r="1454" spans="1:19" x14ac:dyDescent="0.2">
      <c r="A1454" s="1">
        <v>489571</v>
      </c>
      <c r="B1454" s="1">
        <v>21590</v>
      </c>
      <c r="C1454" s="1" t="s">
        <v>125</v>
      </c>
      <c r="D1454" s="1">
        <v>1</v>
      </c>
      <c r="E1454" s="3">
        <v>40148.561805555553</v>
      </c>
      <c r="F1454" s="1">
        <v>1.25</v>
      </c>
      <c r="G1454" s="1">
        <v>15967</v>
      </c>
      <c r="H1454" s="1" t="s">
        <v>10</v>
      </c>
      <c r="I1454" s="1">
        <f t="shared" si="5"/>
        <v>1.25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</row>
    <row r="1455" spans="1:19" x14ac:dyDescent="0.2">
      <c r="A1455" s="1">
        <v>489571</v>
      </c>
      <c r="B1455" s="1">
        <v>21587</v>
      </c>
      <c r="C1455" s="1" t="s">
        <v>456</v>
      </c>
      <c r="D1455" s="1">
        <v>1</v>
      </c>
      <c r="E1455" s="3">
        <v>40148.561805555553</v>
      </c>
      <c r="F1455" s="1">
        <v>2.5499999999999998</v>
      </c>
      <c r="G1455" s="1">
        <v>15967</v>
      </c>
      <c r="H1455" s="1" t="s">
        <v>10</v>
      </c>
      <c r="I1455" s="1">
        <f t="shared" si="5"/>
        <v>2.5499999999999998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2"/>
    </row>
    <row r="1456" spans="1:19" x14ac:dyDescent="0.2">
      <c r="A1456" s="1">
        <v>489571</v>
      </c>
      <c r="B1456" s="1">
        <v>21730</v>
      </c>
      <c r="C1456" s="1" t="s">
        <v>692</v>
      </c>
      <c r="D1456" s="1">
        <v>1</v>
      </c>
      <c r="E1456" s="3">
        <v>40148.561805555553</v>
      </c>
      <c r="F1456" s="1">
        <v>4.95</v>
      </c>
      <c r="G1456" s="1">
        <v>15967</v>
      </c>
      <c r="H1456" s="1" t="s">
        <v>10</v>
      </c>
      <c r="I1456" s="1">
        <f t="shared" si="5"/>
        <v>4.95</v>
      </c>
      <c r="J1456" s="2"/>
      <c r="K1456" s="2"/>
      <c r="L1456" s="2"/>
      <c r="M1456" s="2"/>
      <c r="N1456" s="2"/>
      <c r="O1456" s="2"/>
      <c r="P1456" s="2"/>
      <c r="Q1456" s="2"/>
      <c r="R1456" s="2"/>
      <c r="S1456" s="2"/>
    </row>
    <row r="1457" spans="1:19" x14ac:dyDescent="0.2">
      <c r="A1457" s="1">
        <v>489571</v>
      </c>
      <c r="B1457" s="1">
        <v>22138</v>
      </c>
      <c r="C1457" s="1" t="s">
        <v>109</v>
      </c>
      <c r="D1457" s="1">
        <v>1</v>
      </c>
      <c r="E1457" s="3">
        <v>40148.561805555553</v>
      </c>
      <c r="F1457" s="1">
        <v>4.95</v>
      </c>
      <c r="G1457" s="1">
        <v>15967</v>
      </c>
      <c r="H1457" s="1" t="s">
        <v>10</v>
      </c>
      <c r="I1457" s="1">
        <f t="shared" si="5"/>
        <v>4.95</v>
      </c>
      <c r="J1457" s="2"/>
      <c r="K1457" s="2"/>
      <c r="L1457" s="2"/>
      <c r="M1457" s="2"/>
      <c r="N1457" s="2"/>
      <c r="O1457" s="2"/>
      <c r="P1457" s="2"/>
      <c r="Q1457" s="2"/>
      <c r="R1457" s="2"/>
      <c r="S1457" s="2"/>
    </row>
    <row r="1458" spans="1:19" x14ac:dyDescent="0.2">
      <c r="A1458" s="1">
        <v>489571</v>
      </c>
      <c r="B1458" s="1">
        <v>20894</v>
      </c>
      <c r="C1458" s="1" t="s">
        <v>992</v>
      </c>
      <c r="D1458" s="1">
        <v>1</v>
      </c>
      <c r="E1458" s="3">
        <v>40148.561805555553</v>
      </c>
      <c r="F1458" s="1">
        <v>2.95</v>
      </c>
      <c r="G1458" s="1">
        <v>15967</v>
      </c>
      <c r="H1458" s="1" t="s">
        <v>10</v>
      </c>
      <c r="I1458" s="1">
        <f t="shared" si="5"/>
        <v>2.95</v>
      </c>
      <c r="J1458" s="2"/>
      <c r="K1458" s="2"/>
      <c r="L1458" s="2"/>
      <c r="M1458" s="2"/>
      <c r="N1458" s="2"/>
      <c r="O1458" s="2"/>
      <c r="P1458" s="2"/>
      <c r="Q1458" s="2"/>
      <c r="R1458" s="2"/>
      <c r="S1458" s="2"/>
    </row>
    <row r="1459" spans="1:19" x14ac:dyDescent="0.2">
      <c r="A1459" s="1">
        <v>489571</v>
      </c>
      <c r="B1459" s="1">
        <v>21741</v>
      </c>
      <c r="C1459" s="1" t="s">
        <v>1001</v>
      </c>
      <c r="D1459" s="1">
        <v>1</v>
      </c>
      <c r="E1459" s="3">
        <v>40148.561805555553</v>
      </c>
      <c r="F1459" s="1">
        <v>2.95</v>
      </c>
      <c r="G1459" s="1">
        <v>15967</v>
      </c>
      <c r="H1459" s="1" t="s">
        <v>10</v>
      </c>
      <c r="I1459" s="1">
        <f t="shared" si="5"/>
        <v>2.95</v>
      </c>
      <c r="J1459" s="2"/>
      <c r="K1459" s="2"/>
      <c r="L1459" s="2"/>
      <c r="M1459" s="2"/>
      <c r="N1459" s="2"/>
      <c r="O1459" s="2"/>
      <c r="P1459" s="2"/>
      <c r="Q1459" s="2"/>
      <c r="R1459" s="2"/>
      <c r="S1459" s="2"/>
    </row>
    <row r="1460" spans="1:19" x14ac:dyDescent="0.2">
      <c r="A1460" s="1">
        <v>489571</v>
      </c>
      <c r="B1460" s="1">
        <v>21740</v>
      </c>
      <c r="C1460" s="1" t="s">
        <v>870</v>
      </c>
      <c r="D1460" s="1">
        <v>1</v>
      </c>
      <c r="E1460" s="3">
        <v>40148.561805555553</v>
      </c>
      <c r="F1460" s="1">
        <v>2.95</v>
      </c>
      <c r="G1460" s="1">
        <v>15967</v>
      </c>
      <c r="H1460" s="1" t="s">
        <v>10</v>
      </c>
      <c r="I1460" s="1">
        <f t="shared" si="5"/>
        <v>2.95</v>
      </c>
      <c r="J1460" s="2"/>
      <c r="K1460" s="2"/>
      <c r="L1460" s="2"/>
      <c r="M1460" s="2"/>
      <c r="N1460" s="2"/>
      <c r="O1460" s="2"/>
      <c r="P1460" s="2"/>
      <c r="Q1460" s="2"/>
      <c r="R1460" s="2"/>
      <c r="S1460" s="2"/>
    </row>
    <row r="1461" spans="1:19" x14ac:dyDescent="0.2">
      <c r="A1461" s="1">
        <v>489571</v>
      </c>
      <c r="B1461" s="1" t="s">
        <v>1002</v>
      </c>
      <c r="C1461" s="1" t="s">
        <v>1003</v>
      </c>
      <c r="D1461" s="1">
        <v>1</v>
      </c>
      <c r="E1461" s="3">
        <v>40148.561805555553</v>
      </c>
      <c r="F1461" s="1">
        <v>2.5499999999999998</v>
      </c>
      <c r="G1461" s="1">
        <v>15967</v>
      </c>
      <c r="H1461" s="1" t="s">
        <v>10</v>
      </c>
      <c r="I1461" s="1">
        <f t="shared" si="5"/>
        <v>2.5499999999999998</v>
      </c>
      <c r="J1461" s="2"/>
      <c r="K1461" s="2"/>
      <c r="L1461" s="2"/>
      <c r="M1461" s="2"/>
      <c r="N1461" s="2"/>
      <c r="O1461" s="2"/>
      <c r="P1461" s="2"/>
      <c r="Q1461" s="2"/>
      <c r="R1461" s="2"/>
      <c r="S1461" s="2"/>
    </row>
    <row r="1462" spans="1:19" x14ac:dyDescent="0.2">
      <c r="A1462" s="1">
        <v>489571</v>
      </c>
      <c r="B1462" s="1">
        <v>21724</v>
      </c>
      <c r="C1462" s="1" t="s">
        <v>1004</v>
      </c>
      <c r="D1462" s="1">
        <v>1</v>
      </c>
      <c r="E1462" s="3">
        <v>40148.561805555553</v>
      </c>
      <c r="F1462" s="1">
        <v>0.85</v>
      </c>
      <c r="G1462" s="1">
        <v>15967</v>
      </c>
      <c r="H1462" s="1" t="s">
        <v>10</v>
      </c>
      <c r="I1462" s="1">
        <f t="shared" si="5"/>
        <v>0.85</v>
      </c>
      <c r="J1462" s="2"/>
      <c r="K1462" s="2"/>
      <c r="L1462" s="2"/>
      <c r="M1462" s="2"/>
      <c r="N1462" s="2"/>
      <c r="O1462" s="2"/>
      <c r="P1462" s="2"/>
      <c r="Q1462" s="2"/>
      <c r="R1462" s="2"/>
      <c r="S1462" s="2"/>
    </row>
    <row r="1463" spans="1:19" x14ac:dyDescent="0.2">
      <c r="A1463" s="1">
        <v>489572</v>
      </c>
      <c r="B1463" s="1">
        <v>22035</v>
      </c>
      <c r="C1463" s="1" t="s">
        <v>1005</v>
      </c>
      <c r="D1463" s="1">
        <v>12</v>
      </c>
      <c r="E1463" s="3">
        <v>40148.561805555553</v>
      </c>
      <c r="F1463" s="1">
        <v>0.42</v>
      </c>
      <c r="G1463" s="1">
        <v>17611</v>
      </c>
      <c r="H1463" s="1" t="s">
        <v>10</v>
      </c>
      <c r="I1463" s="1">
        <f t="shared" si="5"/>
        <v>5.04</v>
      </c>
      <c r="J1463" s="2"/>
      <c r="K1463" s="2"/>
      <c r="L1463" s="2"/>
      <c r="M1463" s="2"/>
      <c r="N1463" s="2"/>
      <c r="O1463" s="2"/>
      <c r="P1463" s="2"/>
      <c r="Q1463" s="2"/>
      <c r="R1463" s="2"/>
      <c r="S1463" s="2"/>
    </row>
    <row r="1464" spans="1:19" x14ac:dyDescent="0.2">
      <c r="A1464" s="1">
        <v>489572</v>
      </c>
      <c r="B1464" s="1">
        <v>21508</v>
      </c>
      <c r="C1464" s="1" t="s">
        <v>1006</v>
      </c>
      <c r="D1464" s="1">
        <v>12</v>
      </c>
      <c r="E1464" s="3">
        <v>40148.561805555553</v>
      </c>
      <c r="F1464" s="1">
        <v>0.42</v>
      </c>
      <c r="G1464" s="1">
        <v>17611</v>
      </c>
      <c r="H1464" s="1" t="s">
        <v>10</v>
      </c>
      <c r="I1464" s="1">
        <f t="shared" si="5"/>
        <v>5.04</v>
      </c>
      <c r="J1464" s="2"/>
      <c r="K1464" s="2"/>
      <c r="L1464" s="2"/>
      <c r="M1464" s="2"/>
      <c r="N1464" s="2"/>
      <c r="O1464" s="2"/>
      <c r="P1464" s="2"/>
      <c r="Q1464" s="2"/>
      <c r="R1464" s="2"/>
      <c r="S1464" s="2"/>
    </row>
    <row r="1465" spans="1:19" x14ac:dyDescent="0.2">
      <c r="A1465" s="1">
        <v>489572</v>
      </c>
      <c r="B1465" s="1">
        <v>22029</v>
      </c>
      <c r="C1465" s="1" t="s">
        <v>136</v>
      </c>
      <c r="D1465" s="1">
        <v>12</v>
      </c>
      <c r="E1465" s="3">
        <v>40148.561805555553</v>
      </c>
      <c r="F1465" s="1">
        <v>0.42</v>
      </c>
      <c r="G1465" s="1">
        <v>17611</v>
      </c>
      <c r="H1465" s="1" t="s">
        <v>10</v>
      </c>
      <c r="I1465" s="1">
        <f t="shared" si="5"/>
        <v>5.04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</row>
    <row r="1466" spans="1:19" x14ac:dyDescent="0.2">
      <c r="A1466" s="1">
        <v>489572</v>
      </c>
      <c r="B1466" s="1">
        <v>22027</v>
      </c>
      <c r="C1466" s="1" t="s">
        <v>1007</v>
      </c>
      <c r="D1466" s="1">
        <v>12</v>
      </c>
      <c r="E1466" s="3">
        <v>40148.561805555553</v>
      </c>
      <c r="F1466" s="1">
        <v>0.42</v>
      </c>
      <c r="G1466" s="1">
        <v>17611</v>
      </c>
      <c r="H1466" s="1" t="s">
        <v>10</v>
      </c>
      <c r="I1466" s="1">
        <f t="shared" si="5"/>
        <v>5.04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</row>
    <row r="1467" spans="1:19" x14ac:dyDescent="0.2">
      <c r="A1467" s="1">
        <v>489572</v>
      </c>
      <c r="B1467" s="1">
        <v>21684</v>
      </c>
      <c r="C1467" s="1" t="s">
        <v>1008</v>
      </c>
      <c r="D1467" s="1">
        <v>12</v>
      </c>
      <c r="E1467" s="3">
        <v>40148.561805555553</v>
      </c>
      <c r="F1467" s="1">
        <v>0.85</v>
      </c>
      <c r="G1467" s="1">
        <v>17611</v>
      </c>
      <c r="H1467" s="1" t="s">
        <v>10</v>
      </c>
      <c r="I1467" s="1">
        <f t="shared" si="5"/>
        <v>10.199999999999999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</row>
    <row r="1468" spans="1:19" x14ac:dyDescent="0.2">
      <c r="A1468" s="1">
        <v>489572</v>
      </c>
      <c r="B1468" s="1">
        <v>21986</v>
      </c>
      <c r="C1468" s="1" t="s">
        <v>1009</v>
      </c>
      <c r="D1468" s="1">
        <v>12</v>
      </c>
      <c r="E1468" s="3">
        <v>40148.561805555553</v>
      </c>
      <c r="F1468" s="1">
        <v>0.28999999999999998</v>
      </c>
      <c r="G1468" s="1">
        <v>17611</v>
      </c>
      <c r="H1468" s="1" t="s">
        <v>10</v>
      </c>
      <c r="I1468" s="1">
        <f t="shared" si="5"/>
        <v>3.4799999999999995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</row>
    <row r="1469" spans="1:19" x14ac:dyDescent="0.2">
      <c r="A1469" s="1">
        <v>489572</v>
      </c>
      <c r="B1469" s="1">
        <v>21985</v>
      </c>
      <c r="C1469" s="1" t="s">
        <v>608</v>
      </c>
      <c r="D1469" s="1">
        <v>12</v>
      </c>
      <c r="E1469" s="3">
        <v>40148.561805555553</v>
      </c>
      <c r="F1469" s="1">
        <v>0.28999999999999998</v>
      </c>
      <c r="G1469" s="1">
        <v>17611</v>
      </c>
      <c r="H1469" s="1" t="s">
        <v>10</v>
      </c>
      <c r="I1469" s="1">
        <f t="shared" si="5"/>
        <v>3.4799999999999995</v>
      </c>
      <c r="J1469" s="2"/>
      <c r="K1469" s="2"/>
      <c r="L1469" s="2"/>
      <c r="M1469" s="2"/>
      <c r="N1469" s="2"/>
      <c r="O1469" s="2"/>
      <c r="P1469" s="2"/>
      <c r="Q1469" s="2"/>
      <c r="R1469" s="2"/>
      <c r="S1469" s="2"/>
    </row>
    <row r="1470" spans="1:19" x14ac:dyDescent="0.2">
      <c r="A1470" s="1">
        <v>489572</v>
      </c>
      <c r="B1470" s="1">
        <v>21980</v>
      </c>
      <c r="C1470" s="1" t="s">
        <v>609</v>
      </c>
      <c r="D1470" s="1">
        <v>12</v>
      </c>
      <c r="E1470" s="3">
        <v>40148.561805555553</v>
      </c>
      <c r="F1470" s="1">
        <v>0.28999999999999998</v>
      </c>
      <c r="G1470" s="1">
        <v>17611</v>
      </c>
      <c r="H1470" s="1" t="s">
        <v>10</v>
      </c>
      <c r="I1470" s="1">
        <f t="shared" si="5"/>
        <v>3.4799999999999995</v>
      </c>
      <c r="J1470" s="2"/>
      <c r="K1470" s="2"/>
      <c r="L1470" s="2"/>
      <c r="M1470" s="2"/>
      <c r="N1470" s="2"/>
      <c r="O1470" s="2"/>
      <c r="P1470" s="2"/>
      <c r="Q1470" s="2"/>
      <c r="R1470" s="2"/>
      <c r="S1470" s="2"/>
    </row>
    <row r="1471" spans="1:19" x14ac:dyDescent="0.2">
      <c r="A1471" s="1">
        <v>489572</v>
      </c>
      <c r="B1471" s="1">
        <v>22300</v>
      </c>
      <c r="C1471" s="1" t="s">
        <v>300</v>
      </c>
      <c r="D1471" s="1">
        <v>6</v>
      </c>
      <c r="E1471" s="3">
        <v>40148.561805555553</v>
      </c>
      <c r="F1471" s="1">
        <v>2.5499999999999998</v>
      </c>
      <c r="G1471" s="1">
        <v>17611</v>
      </c>
      <c r="H1471" s="1" t="s">
        <v>10</v>
      </c>
      <c r="I1471" s="1">
        <f t="shared" si="5"/>
        <v>15.299999999999999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</row>
    <row r="1472" spans="1:19" x14ac:dyDescent="0.2">
      <c r="A1472" s="1">
        <v>489572</v>
      </c>
      <c r="B1472" s="1">
        <v>84946</v>
      </c>
      <c r="C1472" s="1" t="s">
        <v>208</v>
      </c>
      <c r="D1472" s="1">
        <v>6</v>
      </c>
      <c r="E1472" s="3">
        <v>40148.561805555553</v>
      </c>
      <c r="F1472" s="1">
        <v>1.25</v>
      </c>
      <c r="G1472" s="1">
        <v>17611</v>
      </c>
      <c r="H1472" s="1" t="s">
        <v>10</v>
      </c>
      <c r="I1472" s="1">
        <f t="shared" si="5"/>
        <v>7.5</v>
      </c>
      <c r="J1472" s="2"/>
      <c r="K1472" s="2"/>
      <c r="L1472" s="2"/>
      <c r="M1472" s="2"/>
      <c r="N1472" s="2"/>
      <c r="O1472" s="2"/>
      <c r="P1472" s="2"/>
      <c r="Q1472" s="2"/>
      <c r="R1472" s="2"/>
      <c r="S1472" s="2"/>
    </row>
    <row r="1473" spans="1:19" x14ac:dyDescent="0.2">
      <c r="A1473" s="1">
        <v>489572</v>
      </c>
      <c r="B1473" s="1">
        <v>84977</v>
      </c>
      <c r="C1473" s="1" t="s">
        <v>763</v>
      </c>
      <c r="D1473" s="1">
        <v>6</v>
      </c>
      <c r="E1473" s="3">
        <v>40148.561805555553</v>
      </c>
      <c r="F1473" s="1">
        <v>1.25</v>
      </c>
      <c r="G1473" s="1">
        <v>17611</v>
      </c>
      <c r="H1473" s="1" t="s">
        <v>10</v>
      </c>
      <c r="I1473" s="1">
        <f t="shared" si="5"/>
        <v>7.5</v>
      </c>
      <c r="J1473" s="2"/>
      <c r="K1473" s="2"/>
      <c r="L1473" s="2"/>
      <c r="M1473" s="2"/>
      <c r="N1473" s="2"/>
      <c r="O1473" s="2"/>
      <c r="P1473" s="2"/>
      <c r="Q1473" s="2"/>
      <c r="R1473" s="2"/>
      <c r="S1473" s="2"/>
    </row>
    <row r="1474" spans="1:19" x14ac:dyDescent="0.2">
      <c r="A1474" s="1">
        <v>489572</v>
      </c>
      <c r="B1474" s="1">
        <v>22178</v>
      </c>
      <c r="C1474" s="1" t="s">
        <v>180</v>
      </c>
      <c r="D1474" s="1">
        <v>6</v>
      </c>
      <c r="E1474" s="3">
        <v>40148.561805555553</v>
      </c>
      <c r="F1474" s="1">
        <v>1.25</v>
      </c>
      <c r="G1474" s="1">
        <v>17611</v>
      </c>
      <c r="H1474" s="1" t="s">
        <v>10</v>
      </c>
      <c r="I1474" s="1">
        <f t="shared" si="5"/>
        <v>7.5</v>
      </c>
      <c r="J1474" s="2"/>
      <c r="K1474" s="2"/>
      <c r="L1474" s="2"/>
      <c r="M1474" s="2"/>
      <c r="N1474" s="2"/>
      <c r="O1474" s="2"/>
      <c r="P1474" s="2"/>
      <c r="Q1474" s="2"/>
      <c r="R1474" s="2"/>
      <c r="S1474" s="2"/>
    </row>
    <row r="1475" spans="1:19" x14ac:dyDescent="0.2">
      <c r="A1475" s="1">
        <v>489572</v>
      </c>
      <c r="B1475" s="1">
        <v>84975</v>
      </c>
      <c r="C1475" s="1" t="s">
        <v>1010</v>
      </c>
      <c r="D1475" s="1">
        <v>6</v>
      </c>
      <c r="E1475" s="3">
        <v>40148.561805555553</v>
      </c>
      <c r="F1475" s="1">
        <v>1.69</v>
      </c>
      <c r="G1475" s="1">
        <v>17611</v>
      </c>
      <c r="H1475" s="1" t="s">
        <v>10</v>
      </c>
      <c r="I1475" s="1">
        <f t="shared" si="5"/>
        <v>10.14</v>
      </c>
      <c r="J1475" s="2"/>
      <c r="K1475" s="2"/>
      <c r="L1475" s="2"/>
      <c r="M1475" s="2"/>
      <c r="N1475" s="2"/>
      <c r="O1475" s="2"/>
      <c r="P1475" s="2"/>
      <c r="Q1475" s="2"/>
      <c r="R1475" s="2"/>
      <c r="S1475" s="2"/>
    </row>
    <row r="1476" spans="1:19" x14ac:dyDescent="0.2">
      <c r="A1476" s="1">
        <v>489572</v>
      </c>
      <c r="B1476" s="1">
        <v>22081</v>
      </c>
      <c r="C1476" s="1" t="s">
        <v>773</v>
      </c>
      <c r="D1476" s="1">
        <v>5</v>
      </c>
      <c r="E1476" s="3">
        <v>40148.561805555553</v>
      </c>
      <c r="F1476" s="1">
        <v>1.65</v>
      </c>
      <c r="G1476" s="1">
        <v>17611</v>
      </c>
      <c r="H1476" s="1" t="s">
        <v>10</v>
      </c>
      <c r="I1476" s="1">
        <f t="shared" si="5"/>
        <v>8.25</v>
      </c>
      <c r="J1476" s="2"/>
      <c r="K1476" s="2"/>
      <c r="L1476" s="2"/>
      <c r="M1476" s="2"/>
      <c r="N1476" s="2"/>
      <c r="O1476" s="2"/>
      <c r="P1476" s="2"/>
      <c r="Q1476" s="2"/>
      <c r="R1476" s="2"/>
      <c r="S1476" s="2"/>
    </row>
    <row r="1477" spans="1:19" x14ac:dyDescent="0.2">
      <c r="A1477" s="1">
        <v>489572</v>
      </c>
      <c r="B1477" s="1">
        <v>22297</v>
      </c>
      <c r="C1477" s="1" t="s">
        <v>993</v>
      </c>
      <c r="D1477" s="1">
        <v>5</v>
      </c>
      <c r="E1477" s="3">
        <v>40148.561805555553</v>
      </c>
      <c r="F1477" s="1">
        <v>1.25</v>
      </c>
      <c r="G1477" s="1">
        <v>17611</v>
      </c>
      <c r="H1477" s="1" t="s">
        <v>10</v>
      </c>
      <c r="I1477" s="1">
        <f t="shared" si="5"/>
        <v>6.25</v>
      </c>
      <c r="J1477" s="2"/>
      <c r="K1477" s="2"/>
      <c r="L1477" s="2"/>
      <c r="M1477" s="2"/>
      <c r="N1477" s="2"/>
      <c r="O1477" s="2"/>
      <c r="P1477" s="2"/>
      <c r="Q1477" s="2"/>
      <c r="R1477" s="2"/>
      <c r="S1477" s="2"/>
    </row>
    <row r="1478" spans="1:19" x14ac:dyDescent="0.2">
      <c r="A1478" s="1">
        <v>489572</v>
      </c>
      <c r="B1478" s="1">
        <v>21948</v>
      </c>
      <c r="C1478" s="1" t="s">
        <v>460</v>
      </c>
      <c r="D1478" s="1">
        <v>5</v>
      </c>
      <c r="E1478" s="3">
        <v>40148.561805555553</v>
      </c>
      <c r="F1478" s="1">
        <v>1.25</v>
      </c>
      <c r="G1478" s="1">
        <v>17611</v>
      </c>
      <c r="H1478" s="1" t="s">
        <v>10</v>
      </c>
      <c r="I1478" s="1">
        <f t="shared" si="5"/>
        <v>6.25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2"/>
    </row>
    <row r="1479" spans="1:19" x14ac:dyDescent="0.2">
      <c r="A1479" s="1">
        <v>489572</v>
      </c>
      <c r="B1479" s="1">
        <v>22079</v>
      </c>
      <c r="C1479" s="1" t="s">
        <v>774</v>
      </c>
      <c r="D1479" s="1">
        <v>5</v>
      </c>
      <c r="E1479" s="3">
        <v>40148.561805555553</v>
      </c>
      <c r="F1479" s="1">
        <v>1.65</v>
      </c>
      <c r="G1479" s="1">
        <v>17611</v>
      </c>
      <c r="H1479" s="1" t="s">
        <v>10</v>
      </c>
      <c r="I1479" s="1">
        <f t="shared" si="5"/>
        <v>8.25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2"/>
    </row>
    <row r="1480" spans="1:19" x14ac:dyDescent="0.2">
      <c r="A1480" s="1">
        <v>489572</v>
      </c>
      <c r="B1480" s="1">
        <v>22080</v>
      </c>
      <c r="C1480" s="1" t="s">
        <v>428</v>
      </c>
      <c r="D1480" s="1">
        <v>5</v>
      </c>
      <c r="E1480" s="3">
        <v>40148.561805555553</v>
      </c>
      <c r="F1480" s="1">
        <v>1.65</v>
      </c>
      <c r="G1480" s="1">
        <v>17611</v>
      </c>
      <c r="H1480" s="1" t="s">
        <v>10</v>
      </c>
      <c r="I1480" s="1">
        <f t="shared" si="5"/>
        <v>8.25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2"/>
    </row>
    <row r="1481" spans="1:19" x14ac:dyDescent="0.2">
      <c r="A1481" s="1">
        <v>489572</v>
      </c>
      <c r="B1481" s="1">
        <v>22082</v>
      </c>
      <c r="C1481" s="1" t="s">
        <v>429</v>
      </c>
      <c r="D1481" s="1">
        <v>5</v>
      </c>
      <c r="E1481" s="3">
        <v>40148.561805555553</v>
      </c>
      <c r="F1481" s="1">
        <v>1.65</v>
      </c>
      <c r="G1481" s="1">
        <v>17611</v>
      </c>
      <c r="H1481" s="1" t="s">
        <v>10</v>
      </c>
      <c r="I1481" s="1">
        <f t="shared" si="5"/>
        <v>8.25</v>
      </c>
      <c r="J1481" s="2"/>
      <c r="K1481" s="2"/>
      <c r="L1481" s="2"/>
      <c r="M1481" s="2"/>
      <c r="N1481" s="2"/>
      <c r="O1481" s="2"/>
      <c r="P1481" s="2"/>
      <c r="Q1481" s="2"/>
      <c r="R1481" s="2"/>
      <c r="S1481" s="2"/>
    </row>
    <row r="1482" spans="1:19" x14ac:dyDescent="0.2">
      <c r="A1482" s="1">
        <v>489572</v>
      </c>
      <c r="B1482" s="1">
        <v>21314</v>
      </c>
      <c r="C1482" s="1" t="s">
        <v>1011</v>
      </c>
      <c r="D1482" s="1">
        <v>4</v>
      </c>
      <c r="E1482" s="3">
        <v>40148.561805555553</v>
      </c>
      <c r="F1482" s="1">
        <v>2.1</v>
      </c>
      <c r="G1482" s="1">
        <v>17611</v>
      </c>
      <c r="H1482" s="1" t="s">
        <v>10</v>
      </c>
      <c r="I1482" s="1">
        <f t="shared" si="5"/>
        <v>8.4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2"/>
    </row>
    <row r="1483" spans="1:19" x14ac:dyDescent="0.2">
      <c r="A1483" s="1">
        <v>489572</v>
      </c>
      <c r="B1483" s="1" t="s">
        <v>1012</v>
      </c>
      <c r="C1483" s="1" t="s">
        <v>1013</v>
      </c>
      <c r="D1483" s="1">
        <v>4</v>
      </c>
      <c r="E1483" s="3">
        <v>40148.561805555553</v>
      </c>
      <c r="F1483" s="1">
        <v>1.25</v>
      </c>
      <c r="G1483" s="1">
        <v>17611</v>
      </c>
      <c r="H1483" s="1" t="s">
        <v>10</v>
      </c>
      <c r="I1483" s="1">
        <f t="shared" si="5"/>
        <v>5</v>
      </c>
      <c r="J1483" s="2"/>
      <c r="K1483" s="2"/>
      <c r="L1483" s="2"/>
      <c r="M1483" s="2"/>
      <c r="N1483" s="2"/>
      <c r="O1483" s="2"/>
      <c r="P1483" s="2"/>
      <c r="Q1483" s="2"/>
      <c r="R1483" s="2"/>
      <c r="S1483" s="2"/>
    </row>
    <row r="1484" spans="1:19" x14ac:dyDescent="0.2">
      <c r="A1484" s="1">
        <v>489572</v>
      </c>
      <c r="B1484" s="1">
        <v>21911</v>
      </c>
      <c r="C1484" s="1" t="s">
        <v>1014</v>
      </c>
      <c r="D1484" s="1">
        <v>4</v>
      </c>
      <c r="E1484" s="3">
        <v>40148.561805555553</v>
      </c>
      <c r="F1484" s="1">
        <v>1.65</v>
      </c>
      <c r="G1484" s="1">
        <v>17611</v>
      </c>
      <c r="H1484" s="1" t="s">
        <v>10</v>
      </c>
      <c r="I1484" s="1">
        <f t="shared" si="5"/>
        <v>6.6</v>
      </c>
      <c r="J1484" s="2"/>
      <c r="K1484" s="2"/>
      <c r="L1484" s="2"/>
      <c r="M1484" s="2"/>
      <c r="N1484" s="2"/>
      <c r="O1484" s="2"/>
      <c r="P1484" s="2"/>
      <c r="Q1484" s="2"/>
      <c r="R1484" s="2"/>
      <c r="S1484" s="2"/>
    </row>
    <row r="1485" spans="1:19" x14ac:dyDescent="0.2">
      <c r="A1485" s="1">
        <v>489572</v>
      </c>
      <c r="B1485" s="1">
        <v>21947</v>
      </c>
      <c r="C1485" s="1" t="s">
        <v>1015</v>
      </c>
      <c r="D1485" s="1">
        <v>3</v>
      </c>
      <c r="E1485" s="3">
        <v>40148.561805555553</v>
      </c>
      <c r="F1485" s="1">
        <v>1.25</v>
      </c>
      <c r="G1485" s="1">
        <v>17611</v>
      </c>
      <c r="H1485" s="1" t="s">
        <v>10</v>
      </c>
      <c r="I1485" s="1">
        <f t="shared" si="5"/>
        <v>3.75</v>
      </c>
      <c r="J1485" s="2"/>
      <c r="K1485" s="2"/>
      <c r="L1485" s="2"/>
      <c r="M1485" s="2"/>
      <c r="N1485" s="2"/>
      <c r="O1485" s="2"/>
      <c r="P1485" s="2"/>
      <c r="Q1485" s="2"/>
      <c r="R1485" s="2"/>
      <c r="S1485" s="2"/>
    </row>
    <row r="1486" spans="1:19" x14ac:dyDescent="0.2">
      <c r="A1486" s="1">
        <v>489572</v>
      </c>
      <c r="B1486" s="1">
        <v>22325</v>
      </c>
      <c r="C1486" s="1" t="s">
        <v>1016</v>
      </c>
      <c r="D1486" s="1">
        <v>3</v>
      </c>
      <c r="E1486" s="3">
        <v>40148.561805555553</v>
      </c>
      <c r="F1486" s="1">
        <v>4.95</v>
      </c>
      <c r="G1486" s="1">
        <v>17611</v>
      </c>
      <c r="H1486" s="1" t="s">
        <v>10</v>
      </c>
      <c r="I1486" s="1">
        <f t="shared" si="5"/>
        <v>14.850000000000001</v>
      </c>
      <c r="J1486" s="2"/>
      <c r="K1486" s="2"/>
      <c r="L1486" s="2"/>
      <c r="M1486" s="2"/>
      <c r="N1486" s="2"/>
      <c r="O1486" s="2"/>
      <c r="P1486" s="2"/>
      <c r="Q1486" s="2"/>
      <c r="R1486" s="2"/>
      <c r="S1486" s="2"/>
    </row>
    <row r="1487" spans="1:19" x14ac:dyDescent="0.2">
      <c r="A1487" s="1">
        <v>489572</v>
      </c>
      <c r="B1487" s="1">
        <v>22320</v>
      </c>
      <c r="C1487" s="1" t="s">
        <v>246</v>
      </c>
      <c r="D1487" s="1">
        <v>3</v>
      </c>
      <c r="E1487" s="3">
        <v>40148.561805555553</v>
      </c>
      <c r="F1487" s="1">
        <v>5.95</v>
      </c>
      <c r="G1487" s="1">
        <v>17611</v>
      </c>
      <c r="H1487" s="1" t="s">
        <v>10</v>
      </c>
      <c r="I1487" s="1">
        <f t="shared" si="5"/>
        <v>17.850000000000001</v>
      </c>
      <c r="J1487" s="2"/>
      <c r="K1487" s="2"/>
      <c r="L1487" s="2"/>
      <c r="M1487" s="2"/>
      <c r="N1487" s="2"/>
      <c r="O1487" s="2"/>
      <c r="P1487" s="2"/>
      <c r="Q1487" s="2"/>
      <c r="R1487" s="2"/>
      <c r="S1487" s="2"/>
    </row>
    <row r="1488" spans="1:19" x14ac:dyDescent="0.2">
      <c r="A1488" s="1">
        <v>489572</v>
      </c>
      <c r="B1488" s="1">
        <v>48187</v>
      </c>
      <c r="C1488" s="1" t="s">
        <v>439</v>
      </c>
      <c r="D1488" s="1">
        <v>2</v>
      </c>
      <c r="E1488" s="3">
        <v>40148.561805555553</v>
      </c>
      <c r="F1488" s="1">
        <v>6.75</v>
      </c>
      <c r="G1488" s="1">
        <v>17611</v>
      </c>
      <c r="H1488" s="1" t="s">
        <v>10</v>
      </c>
      <c r="I1488" s="1">
        <f t="shared" si="5"/>
        <v>13.5</v>
      </c>
      <c r="J1488" s="2"/>
      <c r="K1488" s="2"/>
      <c r="L1488" s="2"/>
      <c r="M1488" s="2"/>
      <c r="N1488" s="2"/>
      <c r="O1488" s="2"/>
      <c r="P1488" s="2"/>
      <c r="Q1488" s="2"/>
      <c r="R1488" s="2"/>
      <c r="S1488" s="2"/>
    </row>
    <row r="1489" spans="1:19" x14ac:dyDescent="0.2">
      <c r="A1489" s="1">
        <v>489572</v>
      </c>
      <c r="B1489" s="1">
        <v>20685</v>
      </c>
      <c r="C1489" s="1" t="s">
        <v>505</v>
      </c>
      <c r="D1489" s="1">
        <v>2</v>
      </c>
      <c r="E1489" s="3">
        <v>40148.561805555553</v>
      </c>
      <c r="F1489" s="1">
        <v>6.75</v>
      </c>
      <c r="G1489" s="1">
        <v>17611</v>
      </c>
      <c r="H1489" s="1" t="s">
        <v>10</v>
      </c>
      <c r="I1489" s="1">
        <f t="shared" si="5"/>
        <v>13.5</v>
      </c>
      <c r="J1489" s="2"/>
      <c r="K1489" s="2"/>
      <c r="L1489" s="2"/>
      <c r="M1489" s="2"/>
      <c r="N1489" s="2"/>
      <c r="O1489" s="2"/>
      <c r="P1489" s="2"/>
      <c r="Q1489" s="2"/>
      <c r="R1489" s="2"/>
      <c r="S1489" s="2"/>
    </row>
    <row r="1490" spans="1:19" x14ac:dyDescent="0.2">
      <c r="A1490" s="1">
        <v>489572</v>
      </c>
      <c r="B1490" s="1" t="s">
        <v>35</v>
      </c>
      <c r="C1490" s="1" t="s">
        <v>36</v>
      </c>
      <c r="D1490" s="1">
        <v>2</v>
      </c>
      <c r="E1490" s="3">
        <v>40148.561805555553</v>
      </c>
      <c r="F1490" s="1">
        <v>6.75</v>
      </c>
      <c r="G1490" s="1">
        <v>17611</v>
      </c>
      <c r="H1490" s="1" t="s">
        <v>10</v>
      </c>
      <c r="I1490" s="1">
        <f t="shared" si="5"/>
        <v>13.5</v>
      </c>
      <c r="J1490" s="2"/>
      <c r="K1490" s="2"/>
      <c r="L1490" s="2"/>
      <c r="M1490" s="2"/>
      <c r="N1490" s="2"/>
      <c r="O1490" s="2"/>
      <c r="P1490" s="2"/>
      <c r="Q1490" s="2"/>
      <c r="R1490" s="2"/>
      <c r="S1490" s="2"/>
    </row>
    <row r="1491" spans="1:19" x14ac:dyDescent="0.2">
      <c r="A1491" s="1">
        <v>489572</v>
      </c>
      <c r="B1491" s="1">
        <v>84684</v>
      </c>
      <c r="C1491" s="1" t="s">
        <v>1017</v>
      </c>
      <c r="D1491" s="1">
        <v>2</v>
      </c>
      <c r="E1491" s="3">
        <v>40148.561805555553</v>
      </c>
      <c r="F1491" s="1">
        <v>2.5499999999999998</v>
      </c>
      <c r="G1491" s="1">
        <v>17611</v>
      </c>
      <c r="H1491" s="1" t="s">
        <v>10</v>
      </c>
      <c r="I1491" s="1">
        <f t="shared" si="5"/>
        <v>5.0999999999999996</v>
      </c>
      <c r="J1491" s="2"/>
      <c r="K1491" s="2"/>
      <c r="L1491" s="2"/>
      <c r="M1491" s="2"/>
      <c r="N1491" s="2"/>
      <c r="O1491" s="2"/>
      <c r="P1491" s="2"/>
      <c r="Q1491" s="2"/>
      <c r="R1491" s="2"/>
      <c r="S1491" s="2"/>
    </row>
    <row r="1492" spans="1:19" x14ac:dyDescent="0.2">
      <c r="A1492" s="1">
        <v>489572</v>
      </c>
      <c r="B1492" s="1">
        <v>20812</v>
      </c>
      <c r="C1492" s="1" t="s">
        <v>1018</v>
      </c>
      <c r="D1492" s="1">
        <v>2</v>
      </c>
      <c r="E1492" s="3">
        <v>40148.561805555553</v>
      </c>
      <c r="F1492" s="1">
        <v>2.5499999999999998</v>
      </c>
      <c r="G1492" s="1">
        <v>17611</v>
      </c>
      <c r="H1492" s="1" t="s">
        <v>10</v>
      </c>
      <c r="I1492" s="1">
        <f t="shared" si="5"/>
        <v>5.0999999999999996</v>
      </c>
      <c r="J1492" s="2"/>
      <c r="K1492" s="2"/>
      <c r="L1492" s="2"/>
      <c r="M1492" s="2"/>
      <c r="N1492" s="2"/>
      <c r="O1492" s="2"/>
      <c r="P1492" s="2"/>
      <c r="Q1492" s="2"/>
      <c r="R1492" s="2"/>
      <c r="S1492" s="2"/>
    </row>
    <row r="1493" spans="1:19" x14ac:dyDescent="0.2">
      <c r="A1493" s="1">
        <v>489572</v>
      </c>
      <c r="B1493" s="1" t="s">
        <v>262</v>
      </c>
      <c r="C1493" s="1" t="s">
        <v>263</v>
      </c>
      <c r="D1493" s="1">
        <v>2</v>
      </c>
      <c r="E1493" s="3">
        <v>40148.561805555553</v>
      </c>
      <c r="F1493" s="1">
        <v>2.95</v>
      </c>
      <c r="G1493" s="1">
        <v>17611</v>
      </c>
      <c r="H1493" s="1" t="s">
        <v>10</v>
      </c>
      <c r="I1493" s="1">
        <f t="shared" si="5"/>
        <v>5.9</v>
      </c>
      <c r="J1493" s="2"/>
      <c r="K1493" s="2"/>
      <c r="L1493" s="2"/>
      <c r="M1493" s="2"/>
      <c r="N1493" s="2"/>
      <c r="O1493" s="2"/>
      <c r="P1493" s="2"/>
      <c r="Q1493" s="2"/>
      <c r="R1493" s="2"/>
      <c r="S1493" s="2"/>
    </row>
    <row r="1494" spans="1:19" x14ac:dyDescent="0.2">
      <c r="A1494" s="1">
        <v>489572</v>
      </c>
      <c r="B1494" s="1">
        <v>82482</v>
      </c>
      <c r="C1494" s="1" t="s">
        <v>863</v>
      </c>
      <c r="D1494" s="1">
        <v>2</v>
      </c>
      <c r="E1494" s="3">
        <v>40148.561805555553</v>
      </c>
      <c r="F1494" s="1">
        <v>2.5499999999999998</v>
      </c>
      <c r="G1494" s="1">
        <v>17611</v>
      </c>
      <c r="H1494" s="1" t="s">
        <v>10</v>
      </c>
      <c r="I1494" s="1">
        <f t="shared" si="5"/>
        <v>5.0999999999999996</v>
      </c>
      <c r="J1494" s="2"/>
      <c r="K1494" s="2"/>
      <c r="L1494" s="2"/>
      <c r="M1494" s="2"/>
      <c r="N1494" s="2"/>
      <c r="O1494" s="2"/>
      <c r="P1494" s="2"/>
      <c r="Q1494" s="2"/>
      <c r="R1494" s="2"/>
      <c r="S1494" s="2"/>
    </row>
    <row r="1495" spans="1:19" x14ac:dyDescent="0.2">
      <c r="A1495" s="1">
        <v>489572</v>
      </c>
      <c r="B1495" s="1">
        <v>21333</v>
      </c>
      <c r="C1495" s="1" t="s">
        <v>41</v>
      </c>
      <c r="D1495" s="1">
        <v>2</v>
      </c>
      <c r="E1495" s="3">
        <v>40148.561805555553</v>
      </c>
      <c r="F1495" s="1">
        <v>2.95</v>
      </c>
      <c r="G1495" s="1">
        <v>17611</v>
      </c>
      <c r="H1495" s="1" t="s">
        <v>10</v>
      </c>
      <c r="I1495" s="1">
        <f t="shared" si="5"/>
        <v>5.9</v>
      </c>
      <c r="J1495" s="2"/>
      <c r="K1495" s="2"/>
      <c r="L1495" s="2"/>
      <c r="M1495" s="2"/>
      <c r="N1495" s="2"/>
      <c r="O1495" s="2"/>
      <c r="P1495" s="2"/>
      <c r="Q1495" s="2"/>
      <c r="R1495" s="2"/>
      <c r="S1495" s="2"/>
    </row>
    <row r="1496" spans="1:19" x14ac:dyDescent="0.2">
      <c r="A1496" s="1">
        <v>489572</v>
      </c>
      <c r="B1496" s="1">
        <v>85059</v>
      </c>
      <c r="C1496" s="1" t="s">
        <v>1019</v>
      </c>
      <c r="D1496" s="1">
        <v>2</v>
      </c>
      <c r="E1496" s="3">
        <v>40148.561805555553</v>
      </c>
      <c r="F1496" s="1">
        <v>3.75</v>
      </c>
      <c r="G1496" s="1">
        <v>17611</v>
      </c>
      <c r="H1496" s="1" t="s">
        <v>10</v>
      </c>
      <c r="I1496" s="1">
        <f t="shared" si="5"/>
        <v>7.5</v>
      </c>
      <c r="J1496" s="2"/>
      <c r="K1496" s="2"/>
      <c r="L1496" s="2"/>
      <c r="M1496" s="2"/>
      <c r="N1496" s="2"/>
      <c r="O1496" s="2"/>
      <c r="P1496" s="2"/>
      <c r="Q1496" s="2"/>
      <c r="R1496" s="2"/>
      <c r="S1496" s="2"/>
    </row>
    <row r="1497" spans="1:19" x14ac:dyDescent="0.2">
      <c r="A1497" s="1">
        <v>489572</v>
      </c>
      <c r="B1497" s="1">
        <v>21928</v>
      </c>
      <c r="C1497" s="1" t="s">
        <v>188</v>
      </c>
      <c r="D1497" s="1">
        <v>2</v>
      </c>
      <c r="E1497" s="3">
        <v>40148.561805555553</v>
      </c>
      <c r="F1497" s="1">
        <v>1.95</v>
      </c>
      <c r="G1497" s="1">
        <v>17611</v>
      </c>
      <c r="H1497" s="1" t="s">
        <v>10</v>
      </c>
      <c r="I1497" s="1">
        <f t="shared" si="5"/>
        <v>3.9</v>
      </c>
      <c r="J1497" s="2"/>
      <c r="K1497" s="2"/>
      <c r="L1497" s="2"/>
      <c r="M1497" s="2"/>
      <c r="N1497" s="2"/>
      <c r="O1497" s="2"/>
      <c r="P1497" s="2"/>
      <c r="Q1497" s="2"/>
      <c r="R1497" s="2"/>
      <c r="S1497" s="2"/>
    </row>
    <row r="1498" spans="1:19" x14ac:dyDescent="0.2">
      <c r="A1498" s="1">
        <v>489572</v>
      </c>
      <c r="B1498" s="1" t="s">
        <v>800</v>
      </c>
      <c r="C1498" s="1" t="s">
        <v>801</v>
      </c>
      <c r="D1498" s="1">
        <v>2</v>
      </c>
      <c r="E1498" s="3">
        <v>40148.561805555553</v>
      </c>
      <c r="F1498" s="1">
        <v>1.95</v>
      </c>
      <c r="G1498" s="1">
        <v>17611</v>
      </c>
      <c r="H1498" s="1" t="s">
        <v>10</v>
      </c>
      <c r="I1498" s="1">
        <f t="shared" si="5"/>
        <v>3.9</v>
      </c>
      <c r="J1498" s="2"/>
      <c r="K1498" s="2"/>
      <c r="L1498" s="2"/>
      <c r="M1498" s="2"/>
      <c r="N1498" s="2"/>
      <c r="O1498" s="2"/>
      <c r="P1498" s="2"/>
      <c r="Q1498" s="2"/>
      <c r="R1498" s="2"/>
      <c r="S1498" s="2"/>
    </row>
    <row r="1499" spans="1:19" x14ac:dyDescent="0.2">
      <c r="A1499" s="1">
        <v>489572</v>
      </c>
      <c r="B1499" s="1">
        <v>22197</v>
      </c>
      <c r="C1499" s="1" t="s">
        <v>445</v>
      </c>
      <c r="D1499" s="1">
        <v>2</v>
      </c>
      <c r="E1499" s="3">
        <v>40148.561805555553</v>
      </c>
      <c r="F1499" s="1">
        <v>0.85</v>
      </c>
      <c r="G1499" s="1">
        <v>17611</v>
      </c>
      <c r="H1499" s="1" t="s">
        <v>10</v>
      </c>
      <c r="I1499" s="1">
        <f t="shared" si="5"/>
        <v>1.7</v>
      </c>
      <c r="J1499" s="2"/>
      <c r="K1499" s="2"/>
      <c r="L1499" s="2"/>
      <c r="M1499" s="2"/>
      <c r="N1499" s="2"/>
      <c r="O1499" s="2"/>
      <c r="P1499" s="2"/>
      <c r="Q1499" s="2"/>
      <c r="R1499" s="2"/>
      <c r="S1499" s="2"/>
    </row>
    <row r="1500" spans="1:19" x14ac:dyDescent="0.2">
      <c r="A1500" s="1">
        <v>489572</v>
      </c>
      <c r="B1500" s="1">
        <v>21538</v>
      </c>
      <c r="C1500" s="1" t="s">
        <v>630</v>
      </c>
      <c r="D1500" s="1">
        <v>2</v>
      </c>
      <c r="E1500" s="3">
        <v>40148.561805555553</v>
      </c>
      <c r="F1500" s="1">
        <v>3.75</v>
      </c>
      <c r="G1500" s="1">
        <v>17611</v>
      </c>
      <c r="H1500" s="1" t="s">
        <v>10</v>
      </c>
      <c r="I1500" s="1">
        <f t="shared" si="5"/>
        <v>7.5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</row>
    <row r="1501" spans="1:19" x14ac:dyDescent="0.2">
      <c r="A1501" s="1">
        <v>489572</v>
      </c>
      <c r="B1501" s="1">
        <v>21534</v>
      </c>
      <c r="C1501" s="1" t="s">
        <v>631</v>
      </c>
      <c r="D1501" s="1">
        <v>2</v>
      </c>
      <c r="E1501" s="3">
        <v>40148.561805555553</v>
      </c>
      <c r="F1501" s="1">
        <v>4.95</v>
      </c>
      <c r="G1501" s="1">
        <v>17611</v>
      </c>
      <c r="H1501" s="1" t="s">
        <v>10</v>
      </c>
      <c r="I1501" s="1">
        <f t="shared" si="5"/>
        <v>9.9</v>
      </c>
      <c r="J1501" s="2"/>
      <c r="K1501" s="2"/>
      <c r="L1501" s="2"/>
      <c r="M1501" s="2"/>
      <c r="N1501" s="2"/>
      <c r="O1501" s="2"/>
      <c r="P1501" s="2"/>
      <c r="Q1501" s="2"/>
      <c r="R1501" s="2"/>
      <c r="S1501" s="2"/>
    </row>
    <row r="1502" spans="1:19" x14ac:dyDescent="0.2">
      <c r="A1502" s="1">
        <v>489572</v>
      </c>
      <c r="B1502" s="1">
        <v>21528</v>
      </c>
      <c r="C1502" s="1" t="s">
        <v>1020</v>
      </c>
      <c r="D1502" s="1">
        <v>2</v>
      </c>
      <c r="E1502" s="3">
        <v>40148.561805555553</v>
      </c>
      <c r="F1502" s="1">
        <v>6.95</v>
      </c>
      <c r="G1502" s="1">
        <v>17611</v>
      </c>
      <c r="H1502" s="1" t="s">
        <v>10</v>
      </c>
      <c r="I1502" s="1">
        <f t="shared" si="5"/>
        <v>13.9</v>
      </c>
      <c r="J1502" s="2"/>
      <c r="K1502" s="2"/>
      <c r="L1502" s="2"/>
      <c r="M1502" s="2"/>
      <c r="N1502" s="2"/>
      <c r="O1502" s="2"/>
      <c r="P1502" s="2"/>
      <c r="Q1502" s="2"/>
      <c r="R1502" s="2"/>
      <c r="S1502" s="2"/>
    </row>
    <row r="1503" spans="1:19" x14ac:dyDescent="0.2">
      <c r="A1503" s="1">
        <v>489572</v>
      </c>
      <c r="B1503" s="1">
        <v>21540</v>
      </c>
      <c r="C1503" s="1" t="s">
        <v>316</v>
      </c>
      <c r="D1503" s="1">
        <v>2</v>
      </c>
      <c r="E1503" s="3">
        <v>40148.561805555553</v>
      </c>
      <c r="F1503" s="1">
        <v>4.25</v>
      </c>
      <c r="G1503" s="1">
        <v>17611</v>
      </c>
      <c r="H1503" s="1" t="s">
        <v>10</v>
      </c>
      <c r="I1503" s="1">
        <f t="shared" si="5"/>
        <v>8.5</v>
      </c>
      <c r="J1503" s="2"/>
      <c r="K1503" s="2"/>
      <c r="L1503" s="2"/>
      <c r="M1503" s="2"/>
      <c r="N1503" s="2"/>
      <c r="O1503" s="2"/>
      <c r="P1503" s="2"/>
      <c r="Q1503" s="2"/>
      <c r="R1503" s="2"/>
      <c r="S1503" s="2"/>
    </row>
    <row r="1504" spans="1:19" x14ac:dyDescent="0.2">
      <c r="A1504" s="1">
        <v>489572</v>
      </c>
      <c r="B1504" s="1">
        <v>85054</v>
      </c>
      <c r="C1504" s="1" t="s">
        <v>1021</v>
      </c>
      <c r="D1504" s="1">
        <v>2</v>
      </c>
      <c r="E1504" s="3">
        <v>40148.561805555553</v>
      </c>
      <c r="F1504" s="1">
        <v>2.95</v>
      </c>
      <c r="G1504" s="1">
        <v>17611</v>
      </c>
      <c r="H1504" s="1" t="s">
        <v>10</v>
      </c>
      <c r="I1504" s="1">
        <f t="shared" si="5"/>
        <v>5.9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2"/>
    </row>
    <row r="1505" spans="1:19" x14ac:dyDescent="0.2">
      <c r="A1505" s="1">
        <v>489572</v>
      </c>
      <c r="B1505" s="1">
        <v>85053</v>
      </c>
      <c r="C1505" s="1" t="s">
        <v>625</v>
      </c>
      <c r="D1505" s="1">
        <v>2</v>
      </c>
      <c r="E1505" s="3">
        <v>40148.561805555553</v>
      </c>
      <c r="F1505" s="1">
        <v>2.1</v>
      </c>
      <c r="G1505" s="1">
        <v>17611</v>
      </c>
      <c r="H1505" s="1" t="s">
        <v>10</v>
      </c>
      <c r="I1505" s="1">
        <f t="shared" si="5"/>
        <v>4.2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</row>
    <row r="1506" spans="1:19" x14ac:dyDescent="0.2">
      <c r="A1506" s="1">
        <v>489572</v>
      </c>
      <c r="B1506" s="1">
        <v>21532</v>
      </c>
      <c r="C1506" s="1" t="s">
        <v>1022</v>
      </c>
      <c r="D1506" s="1">
        <v>2</v>
      </c>
      <c r="E1506" s="3">
        <v>40148.561805555553</v>
      </c>
      <c r="F1506" s="1">
        <v>2.1</v>
      </c>
      <c r="G1506" s="1">
        <v>17611</v>
      </c>
      <c r="H1506" s="1" t="s">
        <v>10</v>
      </c>
      <c r="I1506" s="1">
        <f t="shared" si="5"/>
        <v>4.2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</row>
    <row r="1507" spans="1:19" x14ac:dyDescent="0.2">
      <c r="A1507" s="1">
        <v>489572</v>
      </c>
      <c r="B1507" s="1">
        <v>21530</v>
      </c>
      <c r="C1507" s="1" t="s">
        <v>1023</v>
      </c>
      <c r="D1507" s="1">
        <v>2</v>
      </c>
      <c r="E1507" s="3">
        <v>40148.561805555553</v>
      </c>
      <c r="F1507" s="1">
        <v>2.95</v>
      </c>
      <c r="G1507" s="1">
        <v>17611</v>
      </c>
      <c r="H1507" s="1" t="s">
        <v>10</v>
      </c>
      <c r="I1507" s="1">
        <f t="shared" si="5"/>
        <v>5.9</v>
      </c>
      <c r="J1507" s="2"/>
      <c r="K1507" s="2"/>
      <c r="L1507" s="2"/>
      <c r="M1507" s="2"/>
      <c r="N1507" s="2"/>
      <c r="O1507" s="2"/>
      <c r="P1507" s="2"/>
      <c r="Q1507" s="2"/>
      <c r="R1507" s="2"/>
      <c r="S1507" s="2"/>
    </row>
    <row r="1508" spans="1:19" x14ac:dyDescent="0.2">
      <c r="A1508" s="1">
        <v>489572</v>
      </c>
      <c r="B1508" s="1" t="s">
        <v>1024</v>
      </c>
      <c r="C1508" s="1" t="s">
        <v>1025</v>
      </c>
      <c r="D1508" s="1">
        <v>2</v>
      </c>
      <c r="E1508" s="3">
        <v>40148.561805555553</v>
      </c>
      <c r="F1508" s="1">
        <v>2.95</v>
      </c>
      <c r="G1508" s="1">
        <v>17611</v>
      </c>
      <c r="H1508" s="1" t="s">
        <v>10</v>
      </c>
      <c r="I1508" s="1">
        <f t="shared" si="5"/>
        <v>5.9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</row>
    <row r="1509" spans="1:19" x14ac:dyDescent="0.2">
      <c r="A1509" s="1">
        <v>489572</v>
      </c>
      <c r="B1509" s="1" t="s">
        <v>1026</v>
      </c>
      <c r="C1509" s="1" t="s">
        <v>1027</v>
      </c>
      <c r="D1509" s="1">
        <v>2</v>
      </c>
      <c r="E1509" s="3">
        <v>40148.561805555553</v>
      </c>
      <c r="F1509" s="1">
        <v>2.95</v>
      </c>
      <c r="G1509" s="1">
        <v>17611</v>
      </c>
      <c r="H1509" s="1" t="s">
        <v>10</v>
      </c>
      <c r="I1509" s="1">
        <f t="shared" si="5"/>
        <v>5.9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</row>
    <row r="1510" spans="1:19" x14ac:dyDescent="0.2">
      <c r="A1510" s="1">
        <v>489572</v>
      </c>
      <c r="B1510" s="1" t="s">
        <v>1028</v>
      </c>
      <c r="C1510" s="1" t="s">
        <v>1029</v>
      </c>
      <c r="D1510" s="1">
        <v>2</v>
      </c>
      <c r="E1510" s="3">
        <v>40148.561805555553</v>
      </c>
      <c r="F1510" s="1">
        <v>2.95</v>
      </c>
      <c r="G1510" s="1">
        <v>17611</v>
      </c>
      <c r="H1510" s="1" t="s">
        <v>10</v>
      </c>
      <c r="I1510" s="1">
        <f t="shared" si="5"/>
        <v>5.9</v>
      </c>
      <c r="J1510" s="2"/>
      <c r="K1510" s="2"/>
      <c r="L1510" s="2"/>
      <c r="M1510" s="2"/>
      <c r="N1510" s="2"/>
      <c r="O1510" s="2"/>
      <c r="P1510" s="2"/>
      <c r="Q1510" s="2"/>
      <c r="R1510" s="2"/>
      <c r="S1510" s="2"/>
    </row>
    <row r="1511" spans="1:19" x14ac:dyDescent="0.2">
      <c r="A1511" s="1">
        <v>489572</v>
      </c>
      <c r="B1511" s="1">
        <v>85055</v>
      </c>
      <c r="C1511" s="1" t="s">
        <v>1030</v>
      </c>
      <c r="D1511" s="1">
        <v>2</v>
      </c>
      <c r="E1511" s="3">
        <v>40148.561805555553</v>
      </c>
      <c r="F1511" s="1">
        <v>3.75</v>
      </c>
      <c r="G1511" s="1">
        <v>17611</v>
      </c>
      <c r="H1511" s="1" t="s">
        <v>10</v>
      </c>
      <c r="I1511" s="1">
        <f t="shared" si="5"/>
        <v>7.5</v>
      </c>
      <c r="J1511" s="2"/>
      <c r="K1511" s="2"/>
      <c r="L1511" s="2"/>
      <c r="M1511" s="2"/>
      <c r="N1511" s="2"/>
      <c r="O1511" s="2"/>
      <c r="P1511" s="2"/>
      <c r="Q1511" s="2"/>
      <c r="R1511" s="2"/>
      <c r="S1511" s="2"/>
    </row>
    <row r="1512" spans="1:19" x14ac:dyDescent="0.2">
      <c r="A1512" s="1">
        <v>489572</v>
      </c>
      <c r="B1512" s="1" t="s">
        <v>1031</v>
      </c>
      <c r="C1512" s="1" t="s">
        <v>1032</v>
      </c>
      <c r="D1512" s="1">
        <v>2</v>
      </c>
      <c r="E1512" s="3">
        <v>40148.561805555553</v>
      </c>
      <c r="F1512" s="1">
        <v>7.95</v>
      </c>
      <c r="G1512" s="1">
        <v>17611</v>
      </c>
      <c r="H1512" s="1" t="s">
        <v>10</v>
      </c>
      <c r="I1512" s="1">
        <f t="shared" si="5"/>
        <v>15.9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</row>
    <row r="1513" spans="1:19" x14ac:dyDescent="0.2">
      <c r="A1513" s="1">
        <v>489572</v>
      </c>
      <c r="B1513" s="1" t="s">
        <v>1033</v>
      </c>
      <c r="C1513" s="1" t="s">
        <v>1034</v>
      </c>
      <c r="D1513" s="1">
        <v>2</v>
      </c>
      <c r="E1513" s="3">
        <v>40148.561805555553</v>
      </c>
      <c r="F1513" s="1">
        <v>4.95</v>
      </c>
      <c r="G1513" s="1">
        <v>17611</v>
      </c>
      <c r="H1513" s="1" t="s">
        <v>10</v>
      </c>
      <c r="I1513" s="1">
        <f t="shared" si="5"/>
        <v>9.9</v>
      </c>
      <c r="J1513" s="2"/>
      <c r="K1513" s="2"/>
      <c r="L1513" s="2"/>
      <c r="M1513" s="2"/>
      <c r="N1513" s="2"/>
      <c r="O1513" s="2"/>
      <c r="P1513" s="2"/>
      <c r="Q1513" s="2"/>
      <c r="R1513" s="2"/>
      <c r="S1513" s="2"/>
    </row>
    <row r="1514" spans="1:19" x14ac:dyDescent="0.2">
      <c r="A1514" s="1">
        <v>489572</v>
      </c>
      <c r="B1514" s="1">
        <v>22145</v>
      </c>
      <c r="C1514" s="1" t="s">
        <v>56</v>
      </c>
      <c r="D1514" s="1">
        <v>2</v>
      </c>
      <c r="E1514" s="3">
        <v>40148.561805555553</v>
      </c>
      <c r="F1514" s="1">
        <v>2.1</v>
      </c>
      <c r="G1514" s="1">
        <v>17611</v>
      </c>
      <c r="H1514" s="1" t="s">
        <v>10</v>
      </c>
      <c r="I1514" s="1">
        <f t="shared" si="5"/>
        <v>4.2</v>
      </c>
      <c r="J1514" s="2"/>
      <c r="K1514" s="2"/>
      <c r="L1514" s="2"/>
      <c r="M1514" s="2"/>
      <c r="N1514" s="2"/>
      <c r="O1514" s="2"/>
      <c r="P1514" s="2"/>
      <c r="Q1514" s="2"/>
      <c r="R1514" s="2"/>
      <c r="S1514" s="2"/>
    </row>
    <row r="1515" spans="1:19" x14ac:dyDescent="0.2">
      <c r="A1515" s="1">
        <v>489572</v>
      </c>
      <c r="B1515" s="1">
        <v>22142</v>
      </c>
      <c r="C1515" s="1" t="s">
        <v>28</v>
      </c>
      <c r="D1515" s="1">
        <v>2</v>
      </c>
      <c r="E1515" s="3">
        <v>40148.561805555553</v>
      </c>
      <c r="F1515" s="1">
        <v>1.45</v>
      </c>
      <c r="G1515" s="1">
        <v>17611</v>
      </c>
      <c r="H1515" s="1" t="s">
        <v>10</v>
      </c>
      <c r="I1515" s="1">
        <f t="shared" si="5"/>
        <v>2.9</v>
      </c>
      <c r="J1515" s="2"/>
      <c r="K1515" s="2"/>
      <c r="L1515" s="2"/>
      <c r="M1515" s="2"/>
      <c r="N1515" s="2"/>
      <c r="O1515" s="2"/>
      <c r="P1515" s="2"/>
      <c r="Q1515" s="2"/>
      <c r="R1515" s="2"/>
      <c r="S1515" s="2"/>
    </row>
    <row r="1516" spans="1:19" x14ac:dyDescent="0.2">
      <c r="A1516" s="1">
        <v>489572</v>
      </c>
      <c r="B1516" s="1">
        <v>21490</v>
      </c>
      <c r="C1516" s="1" t="s">
        <v>298</v>
      </c>
      <c r="D1516" s="1">
        <v>2</v>
      </c>
      <c r="E1516" s="3">
        <v>40148.561805555553</v>
      </c>
      <c r="F1516" s="1">
        <v>1.95</v>
      </c>
      <c r="G1516" s="1">
        <v>17611</v>
      </c>
      <c r="H1516" s="1" t="s">
        <v>10</v>
      </c>
      <c r="I1516" s="1">
        <f t="shared" si="5"/>
        <v>3.9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</row>
    <row r="1517" spans="1:19" x14ac:dyDescent="0.2">
      <c r="A1517" s="1">
        <v>489572</v>
      </c>
      <c r="B1517" s="1">
        <v>21214</v>
      </c>
      <c r="C1517" s="1" t="s">
        <v>1035</v>
      </c>
      <c r="D1517" s="1">
        <v>2</v>
      </c>
      <c r="E1517" s="3">
        <v>40148.561805555553</v>
      </c>
      <c r="F1517" s="1">
        <v>1.45</v>
      </c>
      <c r="G1517" s="1">
        <v>17611</v>
      </c>
      <c r="H1517" s="1" t="s">
        <v>10</v>
      </c>
      <c r="I1517" s="1">
        <f t="shared" si="5"/>
        <v>2.9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2"/>
    </row>
    <row r="1518" spans="1:19" x14ac:dyDescent="0.2">
      <c r="A1518" s="1">
        <v>489572</v>
      </c>
      <c r="B1518" s="1" t="s">
        <v>1036</v>
      </c>
      <c r="C1518" s="1" t="s">
        <v>1037</v>
      </c>
      <c r="D1518" s="1">
        <v>2</v>
      </c>
      <c r="E1518" s="3">
        <v>40148.561805555553</v>
      </c>
      <c r="F1518" s="1">
        <v>1.45</v>
      </c>
      <c r="G1518" s="1">
        <v>17611</v>
      </c>
      <c r="H1518" s="1" t="s">
        <v>10</v>
      </c>
      <c r="I1518" s="1">
        <f t="shared" si="5"/>
        <v>2.9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</row>
    <row r="1519" spans="1:19" x14ac:dyDescent="0.2">
      <c r="A1519" s="1">
        <v>489572</v>
      </c>
      <c r="B1519" s="1" t="s">
        <v>1038</v>
      </c>
      <c r="C1519" s="1" t="s">
        <v>1039</v>
      </c>
      <c r="D1519" s="1">
        <v>2</v>
      </c>
      <c r="E1519" s="3">
        <v>40148.561805555553</v>
      </c>
      <c r="F1519" s="1">
        <v>1.45</v>
      </c>
      <c r="G1519" s="1">
        <v>17611</v>
      </c>
      <c r="H1519" s="1" t="s">
        <v>10</v>
      </c>
      <c r="I1519" s="1">
        <f t="shared" si="5"/>
        <v>2.9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</row>
    <row r="1520" spans="1:19" x14ac:dyDescent="0.2">
      <c r="A1520" s="1">
        <v>489572</v>
      </c>
      <c r="B1520" s="1">
        <v>20987</v>
      </c>
      <c r="C1520" s="1" t="s">
        <v>451</v>
      </c>
      <c r="D1520" s="1">
        <v>2</v>
      </c>
      <c r="E1520" s="3">
        <v>40148.561805555553</v>
      </c>
      <c r="F1520" s="1">
        <v>1.95</v>
      </c>
      <c r="G1520" s="1">
        <v>17611</v>
      </c>
      <c r="H1520" s="1" t="s">
        <v>10</v>
      </c>
      <c r="I1520" s="1">
        <f t="shared" si="5"/>
        <v>3.9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</row>
    <row r="1521" spans="1:19" x14ac:dyDescent="0.2">
      <c r="A1521" s="1">
        <v>489572</v>
      </c>
      <c r="B1521" s="1">
        <v>20989</v>
      </c>
      <c r="C1521" s="1" t="s">
        <v>480</v>
      </c>
      <c r="D1521" s="1">
        <v>2</v>
      </c>
      <c r="E1521" s="3">
        <v>40148.561805555553</v>
      </c>
      <c r="F1521" s="1">
        <v>1.95</v>
      </c>
      <c r="G1521" s="1">
        <v>17611</v>
      </c>
      <c r="H1521" s="1" t="s">
        <v>10</v>
      </c>
      <c r="I1521" s="1">
        <f t="shared" si="5"/>
        <v>3.9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</row>
    <row r="1522" spans="1:19" x14ac:dyDescent="0.2">
      <c r="A1522" s="1">
        <v>489572</v>
      </c>
      <c r="B1522" s="1">
        <v>21070</v>
      </c>
      <c r="C1522" s="1" t="s">
        <v>1040</v>
      </c>
      <c r="D1522" s="1">
        <v>2</v>
      </c>
      <c r="E1522" s="3">
        <v>40148.561805555553</v>
      </c>
      <c r="F1522" s="1">
        <v>1.25</v>
      </c>
      <c r="G1522" s="1">
        <v>17611</v>
      </c>
      <c r="H1522" s="1" t="s">
        <v>10</v>
      </c>
      <c r="I1522" s="1">
        <f t="shared" si="5"/>
        <v>2.5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</row>
    <row r="1523" spans="1:19" x14ac:dyDescent="0.2">
      <c r="A1523" s="1">
        <v>489572</v>
      </c>
      <c r="B1523" s="1">
        <v>21066</v>
      </c>
      <c r="C1523" s="1" t="s">
        <v>1041</v>
      </c>
      <c r="D1523" s="1">
        <v>2</v>
      </c>
      <c r="E1523" s="3">
        <v>40148.561805555553</v>
      </c>
      <c r="F1523" s="1">
        <v>1.25</v>
      </c>
      <c r="G1523" s="1">
        <v>17611</v>
      </c>
      <c r="H1523" s="1" t="s">
        <v>10</v>
      </c>
      <c r="I1523" s="1">
        <f t="shared" si="5"/>
        <v>2.5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/>
    </row>
    <row r="1524" spans="1:19" x14ac:dyDescent="0.2">
      <c r="A1524" s="1">
        <v>489572</v>
      </c>
      <c r="B1524" s="1">
        <v>21067</v>
      </c>
      <c r="C1524" s="1" t="s">
        <v>808</v>
      </c>
      <c r="D1524" s="1">
        <v>2</v>
      </c>
      <c r="E1524" s="3">
        <v>40148.561805555553</v>
      </c>
      <c r="F1524" s="1">
        <v>1.25</v>
      </c>
      <c r="G1524" s="1">
        <v>17611</v>
      </c>
      <c r="H1524" s="1" t="s">
        <v>10</v>
      </c>
      <c r="I1524" s="1">
        <f t="shared" si="5"/>
        <v>2.5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</row>
    <row r="1525" spans="1:19" x14ac:dyDescent="0.2">
      <c r="A1525" s="1">
        <v>489572</v>
      </c>
      <c r="B1525" s="1">
        <v>21069</v>
      </c>
      <c r="C1525" s="1" t="s">
        <v>1042</v>
      </c>
      <c r="D1525" s="1">
        <v>2</v>
      </c>
      <c r="E1525" s="3">
        <v>40148.561805555553</v>
      </c>
      <c r="F1525" s="1">
        <v>1.25</v>
      </c>
      <c r="G1525" s="1">
        <v>17611</v>
      </c>
      <c r="H1525" s="1" t="s">
        <v>10</v>
      </c>
      <c r="I1525" s="1">
        <f t="shared" si="5"/>
        <v>2.5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</row>
    <row r="1526" spans="1:19" x14ac:dyDescent="0.2">
      <c r="A1526" s="1">
        <v>489572</v>
      </c>
      <c r="B1526" s="1">
        <v>22415</v>
      </c>
      <c r="C1526" s="1" t="s">
        <v>895</v>
      </c>
      <c r="D1526" s="1">
        <v>1</v>
      </c>
      <c r="E1526" s="3">
        <v>40148.561805555553</v>
      </c>
      <c r="F1526" s="1">
        <v>7.95</v>
      </c>
      <c r="G1526" s="1">
        <v>17611</v>
      </c>
      <c r="H1526" s="1" t="s">
        <v>10</v>
      </c>
      <c r="I1526" s="1">
        <f t="shared" si="5"/>
        <v>7.95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</row>
    <row r="1527" spans="1:19" x14ac:dyDescent="0.2">
      <c r="A1527" s="1">
        <v>489572</v>
      </c>
      <c r="B1527" s="1">
        <v>21524</v>
      </c>
      <c r="C1527" s="1" t="s">
        <v>1043</v>
      </c>
      <c r="D1527" s="1">
        <v>1</v>
      </c>
      <c r="E1527" s="3">
        <v>40148.561805555553</v>
      </c>
      <c r="F1527" s="1">
        <v>6.75</v>
      </c>
      <c r="G1527" s="1">
        <v>17611</v>
      </c>
      <c r="H1527" s="1" t="s">
        <v>10</v>
      </c>
      <c r="I1527" s="1">
        <f t="shared" si="5"/>
        <v>6.75</v>
      </c>
      <c r="J1527" s="2"/>
      <c r="K1527" s="2"/>
      <c r="L1527" s="2"/>
      <c r="M1527" s="2"/>
      <c r="N1527" s="2"/>
      <c r="O1527" s="2"/>
      <c r="P1527" s="2"/>
      <c r="Q1527" s="2"/>
      <c r="R1527" s="2"/>
      <c r="S1527" s="2"/>
    </row>
    <row r="1528" spans="1:19" x14ac:dyDescent="0.2">
      <c r="A1528" s="1">
        <v>489572</v>
      </c>
      <c r="B1528" s="1">
        <v>48197</v>
      </c>
      <c r="C1528" s="1" t="s">
        <v>1044</v>
      </c>
      <c r="D1528" s="1">
        <v>1</v>
      </c>
      <c r="E1528" s="3">
        <v>40148.561805555553</v>
      </c>
      <c r="F1528" s="1">
        <v>6.75</v>
      </c>
      <c r="G1528" s="1">
        <v>17611</v>
      </c>
      <c r="H1528" s="1" t="s">
        <v>10</v>
      </c>
      <c r="I1528" s="1">
        <f t="shared" si="5"/>
        <v>6.75</v>
      </c>
      <c r="J1528" s="2"/>
      <c r="K1528" s="2"/>
      <c r="L1528" s="2"/>
      <c r="M1528" s="2"/>
      <c r="N1528" s="2"/>
      <c r="O1528" s="2"/>
      <c r="P1528" s="2"/>
      <c r="Q1528" s="2"/>
      <c r="R1528" s="2"/>
      <c r="S1528" s="2"/>
    </row>
    <row r="1529" spans="1:19" x14ac:dyDescent="0.2">
      <c r="A1529" s="1">
        <v>489572</v>
      </c>
      <c r="B1529" s="1">
        <v>21465</v>
      </c>
      <c r="C1529" s="1" t="s">
        <v>1045</v>
      </c>
      <c r="D1529" s="1">
        <v>1</v>
      </c>
      <c r="E1529" s="3">
        <v>40148.561805555553</v>
      </c>
      <c r="F1529" s="1">
        <v>3.75</v>
      </c>
      <c r="G1529" s="1">
        <v>17611</v>
      </c>
      <c r="H1529" s="1" t="s">
        <v>10</v>
      </c>
      <c r="I1529" s="1">
        <f t="shared" si="5"/>
        <v>3.75</v>
      </c>
      <c r="J1529" s="2"/>
      <c r="K1529" s="2"/>
      <c r="L1529" s="2"/>
      <c r="M1529" s="2"/>
      <c r="N1529" s="2"/>
      <c r="O1529" s="2"/>
      <c r="P1529" s="2"/>
      <c r="Q1529" s="2"/>
      <c r="R1529" s="2"/>
      <c r="S1529" s="2"/>
    </row>
    <row r="1530" spans="1:19" x14ac:dyDescent="0.2">
      <c r="A1530" s="1">
        <v>489572</v>
      </c>
      <c r="B1530" s="1">
        <v>21466</v>
      </c>
      <c r="C1530" s="1" t="s">
        <v>1046</v>
      </c>
      <c r="D1530" s="1">
        <v>1</v>
      </c>
      <c r="E1530" s="3">
        <v>40148.561805555553</v>
      </c>
      <c r="F1530" s="1">
        <v>3.75</v>
      </c>
      <c r="G1530" s="1">
        <v>17611</v>
      </c>
      <c r="H1530" s="1" t="s">
        <v>10</v>
      </c>
      <c r="I1530" s="1">
        <f t="shared" si="5"/>
        <v>3.75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</row>
    <row r="1531" spans="1:19" x14ac:dyDescent="0.2">
      <c r="A1531" s="1">
        <v>489572</v>
      </c>
      <c r="B1531" s="1">
        <v>21467</v>
      </c>
      <c r="C1531" s="1" t="s">
        <v>1047</v>
      </c>
      <c r="D1531" s="1">
        <v>1</v>
      </c>
      <c r="E1531" s="3">
        <v>40148.561805555553</v>
      </c>
      <c r="F1531" s="1">
        <v>3.75</v>
      </c>
      <c r="G1531" s="1">
        <v>17611</v>
      </c>
      <c r="H1531" s="1" t="s">
        <v>10</v>
      </c>
      <c r="I1531" s="1">
        <f t="shared" si="5"/>
        <v>3.75</v>
      </c>
      <c r="J1531" s="2"/>
      <c r="K1531" s="2"/>
      <c r="L1531" s="2"/>
      <c r="M1531" s="2"/>
      <c r="N1531" s="2"/>
      <c r="O1531" s="2"/>
      <c r="P1531" s="2"/>
      <c r="Q1531" s="2"/>
      <c r="R1531" s="2"/>
      <c r="S1531" s="2"/>
    </row>
    <row r="1532" spans="1:19" x14ac:dyDescent="0.2">
      <c r="A1532" s="1">
        <v>489572</v>
      </c>
      <c r="B1532" s="1">
        <v>21470</v>
      </c>
      <c r="C1532" s="1" t="s">
        <v>348</v>
      </c>
      <c r="D1532" s="1">
        <v>1</v>
      </c>
      <c r="E1532" s="3">
        <v>40148.561805555553</v>
      </c>
      <c r="F1532" s="1">
        <v>3.75</v>
      </c>
      <c r="G1532" s="1">
        <v>17611</v>
      </c>
      <c r="H1532" s="1" t="s">
        <v>10</v>
      </c>
      <c r="I1532" s="1">
        <f t="shared" ref="I1532:I1786" si="6">D1532*F1532</f>
        <v>3.75</v>
      </c>
      <c r="J1532" s="2"/>
      <c r="K1532" s="2"/>
      <c r="L1532" s="2"/>
      <c r="M1532" s="2"/>
      <c r="N1532" s="2"/>
      <c r="O1532" s="2"/>
      <c r="P1532" s="2"/>
      <c r="Q1532" s="2"/>
      <c r="R1532" s="2"/>
      <c r="S1532" s="2"/>
    </row>
    <row r="1533" spans="1:19" x14ac:dyDescent="0.2">
      <c r="A1533" s="1">
        <v>489572</v>
      </c>
      <c r="B1533" s="1">
        <v>21472</v>
      </c>
      <c r="C1533" s="1" t="s">
        <v>319</v>
      </c>
      <c r="D1533" s="1">
        <v>1</v>
      </c>
      <c r="E1533" s="3">
        <v>40148.561805555553</v>
      </c>
      <c r="F1533" s="1">
        <v>3.75</v>
      </c>
      <c r="G1533" s="1">
        <v>17611</v>
      </c>
      <c r="H1533" s="1" t="s">
        <v>10</v>
      </c>
      <c r="I1533" s="1">
        <f t="shared" si="6"/>
        <v>3.75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2"/>
    </row>
    <row r="1534" spans="1:19" x14ac:dyDescent="0.2">
      <c r="A1534" s="1">
        <v>489572</v>
      </c>
      <c r="B1534" s="1">
        <v>21471</v>
      </c>
      <c r="C1534" s="1" t="s">
        <v>1048</v>
      </c>
      <c r="D1534" s="1">
        <v>1</v>
      </c>
      <c r="E1534" s="3">
        <v>40148.561805555553</v>
      </c>
      <c r="F1534" s="1">
        <v>3.75</v>
      </c>
      <c r="G1534" s="1">
        <v>17611</v>
      </c>
      <c r="H1534" s="1" t="s">
        <v>10</v>
      </c>
      <c r="I1534" s="1">
        <f t="shared" si="6"/>
        <v>3.75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</row>
    <row r="1535" spans="1:19" x14ac:dyDescent="0.2">
      <c r="A1535" s="1">
        <v>489572</v>
      </c>
      <c r="B1535" s="1" t="s">
        <v>117</v>
      </c>
      <c r="C1535" s="1" t="s">
        <v>118</v>
      </c>
      <c r="D1535" s="1">
        <v>1</v>
      </c>
      <c r="E1535" s="3">
        <v>40148.561805555553</v>
      </c>
      <c r="F1535" s="1">
        <v>5.95</v>
      </c>
      <c r="G1535" s="1">
        <v>17611</v>
      </c>
      <c r="H1535" s="1" t="s">
        <v>10</v>
      </c>
      <c r="I1535" s="1">
        <f t="shared" si="6"/>
        <v>5.95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</row>
    <row r="1536" spans="1:19" x14ac:dyDescent="0.2">
      <c r="A1536" s="1">
        <v>489572</v>
      </c>
      <c r="B1536" s="1" t="s">
        <v>402</v>
      </c>
      <c r="C1536" s="1" t="s">
        <v>403</v>
      </c>
      <c r="D1536" s="1">
        <v>1</v>
      </c>
      <c r="E1536" s="3">
        <v>40148.561805555553</v>
      </c>
      <c r="F1536" s="1">
        <v>5.95</v>
      </c>
      <c r="G1536" s="1">
        <v>17611</v>
      </c>
      <c r="H1536" s="1" t="s">
        <v>10</v>
      </c>
      <c r="I1536" s="1">
        <f t="shared" si="6"/>
        <v>5.95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/>
    </row>
    <row r="1537" spans="1:19" x14ac:dyDescent="0.2">
      <c r="A1537" s="1">
        <v>489572</v>
      </c>
      <c r="B1537" s="1" t="s">
        <v>115</v>
      </c>
      <c r="C1537" s="1" t="s">
        <v>116</v>
      </c>
      <c r="D1537" s="1">
        <v>1</v>
      </c>
      <c r="E1537" s="3">
        <v>40148.561805555553</v>
      </c>
      <c r="F1537" s="1">
        <v>5.95</v>
      </c>
      <c r="G1537" s="1">
        <v>17611</v>
      </c>
      <c r="H1537" s="1" t="s">
        <v>10</v>
      </c>
      <c r="I1537" s="1">
        <f t="shared" si="6"/>
        <v>5.95</v>
      </c>
      <c r="J1537" s="2"/>
      <c r="K1537" s="2"/>
      <c r="L1537" s="2"/>
      <c r="M1537" s="2"/>
      <c r="N1537" s="2"/>
      <c r="O1537" s="2"/>
      <c r="P1537" s="2"/>
      <c r="Q1537" s="2"/>
      <c r="R1537" s="2"/>
      <c r="S1537" s="2"/>
    </row>
    <row r="1538" spans="1:19" x14ac:dyDescent="0.2">
      <c r="A1538" s="1">
        <v>489572</v>
      </c>
      <c r="B1538" s="1" t="s">
        <v>404</v>
      </c>
      <c r="C1538" s="1" t="s">
        <v>405</v>
      </c>
      <c r="D1538" s="1">
        <v>1</v>
      </c>
      <c r="E1538" s="3">
        <v>40148.561805555553</v>
      </c>
      <c r="F1538" s="1">
        <v>5.95</v>
      </c>
      <c r="G1538" s="1">
        <v>17611</v>
      </c>
      <c r="H1538" s="1" t="s">
        <v>10</v>
      </c>
      <c r="I1538" s="1">
        <f t="shared" si="6"/>
        <v>5.95</v>
      </c>
      <c r="J1538" s="2"/>
      <c r="K1538" s="2"/>
      <c r="L1538" s="2"/>
      <c r="M1538" s="2"/>
      <c r="N1538" s="2"/>
      <c r="O1538" s="2"/>
      <c r="P1538" s="2"/>
      <c r="Q1538" s="2"/>
      <c r="R1538" s="2"/>
      <c r="S1538" s="2"/>
    </row>
    <row r="1539" spans="1:19" x14ac:dyDescent="0.2">
      <c r="A1539" s="1">
        <v>489572</v>
      </c>
      <c r="B1539" s="1">
        <v>21034</v>
      </c>
      <c r="C1539" s="1" t="s">
        <v>606</v>
      </c>
      <c r="D1539" s="1">
        <v>1</v>
      </c>
      <c r="E1539" s="3">
        <v>40148.561805555553</v>
      </c>
      <c r="F1539" s="1">
        <v>0.95</v>
      </c>
      <c r="G1539" s="1">
        <v>17611</v>
      </c>
      <c r="H1539" s="1" t="s">
        <v>10</v>
      </c>
      <c r="I1539" s="1">
        <f t="shared" si="6"/>
        <v>0.95</v>
      </c>
      <c r="J1539" s="2"/>
      <c r="K1539" s="2"/>
      <c r="L1539" s="2"/>
      <c r="M1539" s="2"/>
      <c r="N1539" s="2"/>
      <c r="O1539" s="2"/>
      <c r="P1539" s="2"/>
      <c r="Q1539" s="2"/>
      <c r="R1539" s="2"/>
      <c r="S1539" s="2"/>
    </row>
    <row r="1540" spans="1:19" x14ac:dyDescent="0.2">
      <c r="A1540" s="1">
        <v>489572</v>
      </c>
      <c r="B1540" s="1">
        <v>21949</v>
      </c>
      <c r="C1540" s="1" t="s">
        <v>1049</v>
      </c>
      <c r="D1540" s="1">
        <v>1</v>
      </c>
      <c r="E1540" s="3">
        <v>40148.561805555553</v>
      </c>
      <c r="F1540" s="1">
        <v>1.25</v>
      </c>
      <c r="G1540" s="1">
        <v>17611</v>
      </c>
      <c r="H1540" s="1" t="s">
        <v>10</v>
      </c>
      <c r="I1540" s="1">
        <f t="shared" si="6"/>
        <v>1.25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</row>
    <row r="1541" spans="1:19" x14ac:dyDescent="0.2">
      <c r="A1541" s="1">
        <v>489572</v>
      </c>
      <c r="B1541" s="1">
        <v>21548</v>
      </c>
      <c r="C1541" s="1" t="s">
        <v>1050</v>
      </c>
      <c r="D1541" s="1">
        <v>1</v>
      </c>
      <c r="E1541" s="3">
        <v>40148.561805555553</v>
      </c>
      <c r="F1541" s="1">
        <v>2.95</v>
      </c>
      <c r="G1541" s="1">
        <v>17611</v>
      </c>
      <c r="H1541" s="1" t="s">
        <v>10</v>
      </c>
      <c r="I1541" s="1">
        <f t="shared" si="6"/>
        <v>2.95</v>
      </c>
      <c r="J1541" s="2"/>
      <c r="K1541" s="2"/>
      <c r="L1541" s="2"/>
      <c r="M1541" s="2"/>
      <c r="N1541" s="2"/>
      <c r="O1541" s="2"/>
      <c r="P1541" s="2"/>
      <c r="Q1541" s="2"/>
      <c r="R1541" s="2"/>
      <c r="S1541" s="2"/>
    </row>
    <row r="1542" spans="1:19" x14ac:dyDescent="0.2">
      <c r="A1542" s="1">
        <v>489572</v>
      </c>
      <c r="B1542" s="1">
        <v>21549</v>
      </c>
      <c r="C1542" s="1" t="s">
        <v>1051</v>
      </c>
      <c r="D1542" s="1">
        <v>1</v>
      </c>
      <c r="E1542" s="3">
        <v>40148.561805555553</v>
      </c>
      <c r="F1542" s="1">
        <v>2.95</v>
      </c>
      <c r="G1542" s="1">
        <v>17611</v>
      </c>
      <c r="H1542" s="1" t="s">
        <v>10</v>
      </c>
      <c r="I1542" s="1">
        <f t="shared" si="6"/>
        <v>2.95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</row>
    <row r="1543" spans="1:19" x14ac:dyDescent="0.2">
      <c r="A1543" s="1">
        <v>489572</v>
      </c>
      <c r="B1543" s="1">
        <v>21545</v>
      </c>
      <c r="C1543" s="1" t="s">
        <v>1052</v>
      </c>
      <c r="D1543" s="1">
        <v>1</v>
      </c>
      <c r="E1543" s="3">
        <v>40148.561805555553</v>
      </c>
      <c r="F1543" s="1">
        <v>2.95</v>
      </c>
      <c r="G1543" s="1">
        <v>17611</v>
      </c>
      <c r="H1543" s="1" t="s">
        <v>10</v>
      </c>
      <c r="I1543" s="1">
        <f t="shared" si="6"/>
        <v>2.95</v>
      </c>
      <c r="J1543" s="2"/>
      <c r="K1543" s="2"/>
      <c r="L1543" s="2"/>
      <c r="M1543" s="2"/>
      <c r="N1543" s="2"/>
      <c r="O1543" s="2"/>
      <c r="P1543" s="2"/>
      <c r="Q1543" s="2"/>
      <c r="R1543" s="2"/>
      <c r="S1543" s="2"/>
    </row>
    <row r="1544" spans="1:19" x14ac:dyDescent="0.2">
      <c r="A1544" s="1">
        <v>489572</v>
      </c>
      <c r="B1544" s="1">
        <v>21547</v>
      </c>
      <c r="C1544" s="1" t="s">
        <v>1053</v>
      </c>
      <c r="D1544" s="1">
        <v>1</v>
      </c>
      <c r="E1544" s="3">
        <v>40148.561805555553</v>
      </c>
      <c r="F1544" s="1">
        <v>2.95</v>
      </c>
      <c r="G1544" s="1">
        <v>17611</v>
      </c>
      <c r="H1544" s="1" t="s">
        <v>10</v>
      </c>
      <c r="I1544" s="1">
        <f t="shared" si="6"/>
        <v>2.95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2"/>
    </row>
    <row r="1545" spans="1:19" x14ac:dyDescent="0.2">
      <c r="A1545" s="1">
        <v>489572</v>
      </c>
      <c r="B1545" s="1">
        <v>21491</v>
      </c>
      <c r="C1545" s="1" t="s">
        <v>112</v>
      </c>
      <c r="D1545" s="1">
        <v>1</v>
      </c>
      <c r="E1545" s="3">
        <v>40148.561805555553</v>
      </c>
      <c r="F1545" s="1">
        <v>1.95</v>
      </c>
      <c r="G1545" s="1">
        <v>17611</v>
      </c>
      <c r="H1545" s="1" t="s">
        <v>10</v>
      </c>
      <c r="I1545" s="1">
        <f t="shared" si="6"/>
        <v>1.95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</row>
    <row r="1546" spans="1:19" x14ac:dyDescent="0.2">
      <c r="A1546" s="1">
        <v>489573</v>
      </c>
      <c r="B1546" s="1">
        <v>21326</v>
      </c>
      <c r="C1546" s="1" t="s">
        <v>377</v>
      </c>
      <c r="D1546" s="1">
        <v>60</v>
      </c>
      <c r="E1546" s="3">
        <v>40148.561805555553</v>
      </c>
      <c r="F1546" s="1">
        <v>0.65</v>
      </c>
      <c r="G1546" s="1">
        <v>15051</v>
      </c>
      <c r="H1546" s="1" t="s">
        <v>10</v>
      </c>
      <c r="I1546" s="1">
        <f t="shared" si="6"/>
        <v>39</v>
      </c>
      <c r="J1546" s="2"/>
      <c r="K1546" s="2"/>
      <c r="L1546" s="2"/>
      <c r="M1546" s="2"/>
      <c r="N1546" s="2"/>
      <c r="O1546" s="2"/>
      <c r="P1546" s="2"/>
      <c r="Q1546" s="2"/>
      <c r="R1546" s="2"/>
      <c r="S1546" s="2"/>
    </row>
    <row r="1547" spans="1:19" x14ac:dyDescent="0.2">
      <c r="A1547" s="1">
        <v>489573</v>
      </c>
      <c r="B1547" s="1">
        <v>84946</v>
      </c>
      <c r="C1547" s="1" t="s">
        <v>208</v>
      </c>
      <c r="D1547" s="1">
        <v>30</v>
      </c>
      <c r="E1547" s="3">
        <v>40148.561805555553</v>
      </c>
      <c r="F1547" s="1">
        <v>1.25</v>
      </c>
      <c r="G1547" s="1">
        <v>15051</v>
      </c>
      <c r="H1547" s="1" t="s">
        <v>10</v>
      </c>
      <c r="I1547" s="1">
        <f t="shared" si="6"/>
        <v>37.5</v>
      </c>
      <c r="J1547" s="2"/>
      <c r="K1547" s="2"/>
      <c r="L1547" s="2"/>
      <c r="M1547" s="2"/>
      <c r="N1547" s="2"/>
      <c r="O1547" s="2"/>
      <c r="P1547" s="2"/>
      <c r="Q1547" s="2"/>
      <c r="R1547" s="2"/>
      <c r="S1547" s="2"/>
    </row>
    <row r="1548" spans="1:19" x14ac:dyDescent="0.2">
      <c r="A1548" s="1">
        <v>489573</v>
      </c>
      <c r="B1548" s="1">
        <v>22294</v>
      </c>
      <c r="C1548" s="1" t="s">
        <v>175</v>
      </c>
      <c r="D1548" s="1">
        <v>24</v>
      </c>
      <c r="E1548" s="3">
        <v>40148.561805555553</v>
      </c>
      <c r="F1548" s="1">
        <v>1.25</v>
      </c>
      <c r="G1548" s="1">
        <v>15051</v>
      </c>
      <c r="H1548" s="1" t="s">
        <v>10</v>
      </c>
      <c r="I1548" s="1">
        <f t="shared" si="6"/>
        <v>30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</row>
    <row r="1549" spans="1:19" x14ac:dyDescent="0.2">
      <c r="A1549" s="1">
        <v>489573</v>
      </c>
      <c r="B1549" s="1">
        <v>22295</v>
      </c>
      <c r="C1549" s="1" t="s">
        <v>30</v>
      </c>
      <c r="D1549" s="1">
        <v>24</v>
      </c>
      <c r="E1549" s="3">
        <v>40148.561805555553</v>
      </c>
      <c r="F1549" s="1">
        <v>1.65</v>
      </c>
      <c r="G1549" s="1">
        <v>15051</v>
      </c>
      <c r="H1549" s="1" t="s">
        <v>10</v>
      </c>
      <c r="I1549" s="1">
        <f t="shared" si="6"/>
        <v>39.599999999999994</v>
      </c>
      <c r="J1549" s="2"/>
      <c r="K1549" s="2"/>
      <c r="L1549" s="2"/>
      <c r="M1549" s="2"/>
      <c r="N1549" s="2"/>
      <c r="O1549" s="2"/>
      <c r="P1549" s="2"/>
      <c r="Q1549" s="2"/>
      <c r="R1549" s="2"/>
      <c r="S1549" s="2"/>
    </row>
    <row r="1550" spans="1:19" x14ac:dyDescent="0.2">
      <c r="A1550" s="1">
        <v>489573</v>
      </c>
      <c r="B1550" s="1">
        <v>22042</v>
      </c>
      <c r="C1550" s="1" t="s">
        <v>1054</v>
      </c>
      <c r="D1550" s="1">
        <v>12</v>
      </c>
      <c r="E1550" s="3">
        <v>40148.561805555553</v>
      </c>
      <c r="F1550" s="1">
        <v>0.42</v>
      </c>
      <c r="G1550" s="1">
        <v>15051</v>
      </c>
      <c r="H1550" s="1" t="s">
        <v>10</v>
      </c>
      <c r="I1550" s="1">
        <f t="shared" si="6"/>
        <v>5.04</v>
      </c>
      <c r="J1550" s="2"/>
      <c r="K1550" s="2"/>
      <c r="L1550" s="2"/>
      <c r="M1550" s="2"/>
      <c r="N1550" s="2"/>
      <c r="O1550" s="2"/>
      <c r="P1550" s="2"/>
      <c r="Q1550" s="2"/>
      <c r="R1550" s="2"/>
      <c r="S1550" s="2"/>
    </row>
    <row r="1551" spans="1:19" x14ac:dyDescent="0.2">
      <c r="A1551" s="1">
        <v>489573</v>
      </c>
      <c r="B1551" s="1">
        <v>22034</v>
      </c>
      <c r="C1551" s="1" t="s">
        <v>1055</v>
      </c>
      <c r="D1551" s="1">
        <v>12</v>
      </c>
      <c r="E1551" s="3">
        <v>40148.561805555553</v>
      </c>
      <c r="F1551" s="1">
        <v>0.42</v>
      </c>
      <c r="G1551" s="1">
        <v>15051</v>
      </c>
      <c r="H1551" s="1" t="s">
        <v>10</v>
      </c>
      <c r="I1551" s="1">
        <f t="shared" si="6"/>
        <v>5.04</v>
      </c>
      <c r="J1551" s="2"/>
      <c r="K1551" s="2"/>
      <c r="L1551" s="2"/>
      <c r="M1551" s="2"/>
      <c r="N1551" s="2"/>
      <c r="O1551" s="2"/>
      <c r="P1551" s="2"/>
      <c r="Q1551" s="2"/>
      <c r="R1551" s="2"/>
      <c r="S1551" s="2"/>
    </row>
    <row r="1552" spans="1:19" x14ac:dyDescent="0.2">
      <c r="A1552" s="1">
        <v>489573</v>
      </c>
      <c r="B1552" s="1">
        <v>84754</v>
      </c>
      <c r="C1552" s="1" t="s">
        <v>1056</v>
      </c>
      <c r="D1552" s="1">
        <v>12</v>
      </c>
      <c r="E1552" s="3">
        <v>40148.561805555553</v>
      </c>
      <c r="F1552" s="1">
        <v>1.25</v>
      </c>
      <c r="G1552" s="1">
        <v>15051</v>
      </c>
      <c r="H1552" s="1" t="s">
        <v>10</v>
      </c>
      <c r="I1552" s="1">
        <f t="shared" si="6"/>
        <v>15</v>
      </c>
      <c r="J1552" s="2"/>
      <c r="K1552" s="2"/>
      <c r="L1552" s="2"/>
      <c r="M1552" s="2"/>
      <c r="N1552" s="2"/>
      <c r="O1552" s="2"/>
      <c r="P1552" s="2"/>
      <c r="Q1552" s="2"/>
      <c r="R1552" s="2"/>
      <c r="S1552" s="2"/>
    </row>
    <row r="1553" spans="1:19" x14ac:dyDescent="0.2">
      <c r="A1553" s="1">
        <v>489573</v>
      </c>
      <c r="B1553" s="1">
        <v>21313</v>
      </c>
      <c r="C1553" s="1" t="s">
        <v>1057</v>
      </c>
      <c r="D1553" s="1">
        <v>12</v>
      </c>
      <c r="E1553" s="3">
        <v>40148.561805555553</v>
      </c>
      <c r="F1553" s="1">
        <v>0.85</v>
      </c>
      <c r="G1553" s="1">
        <v>15051</v>
      </c>
      <c r="H1553" s="1" t="s">
        <v>10</v>
      </c>
      <c r="I1553" s="1">
        <f t="shared" si="6"/>
        <v>10.199999999999999</v>
      </c>
      <c r="J1553" s="2"/>
      <c r="K1553" s="2"/>
      <c r="L1553" s="2"/>
      <c r="M1553" s="2"/>
      <c r="N1553" s="2"/>
      <c r="O1553" s="2"/>
      <c r="P1553" s="2"/>
      <c r="Q1553" s="2"/>
      <c r="R1553" s="2"/>
      <c r="S1553" s="2"/>
    </row>
    <row r="1554" spans="1:19" x14ac:dyDescent="0.2">
      <c r="A1554" s="1">
        <v>489573</v>
      </c>
      <c r="B1554" s="1">
        <v>21587</v>
      </c>
      <c r="C1554" s="1" t="s">
        <v>456</v>
      </c>
      <c r="D1554" s="1">
        <v>12</v>
      </c>
      <c r="E1554" s="3">
        <v>40148.561805555553</v>
      </c>
      <c r="F1554" s="1">
        <v>2.5499999999999998</v>
      </c>
      <c r="G1554" s="1">
        <v>15051</v>
      </c>
      <c r="H1554" s="1" t="s">
        <v>10</v>
      </c>
      <c r="I1554" s="1">
        <f t="shared" si="6"/>
        <v>30.599999999999998</v>
      </c>
      <c r="J1554" s="2"/>
      <c r="K1554" s="2"/>
      <c r="L1554" s="2"/>
      <c r="M1554" s="2"/>
      <c r="N1554" s="2"/>
      <c r="O1554" s="2"/>
      <c r="P1554" s="2"/>
      <c r="Q1554" s="2"/>
      <c r="R1554" s="2"/>
      <c r="S1554" s="2"/>
    </row>
    <row r="1555" spans="1:19" x14ac:dyDescent="0.2">
      <c r="A1555" s="1">
        <v>489573</v>
      </c>
      <c r="B1555" s="1">
        <v>72008</v>
      </c>
      <c r="C1555" s="1" t="s">
        <v>618</v>
      </c>
      <c r="D1555" s="1">
        <v>12</v>
      </c>
      <c r="E1555" s="3">
        <v>40148.561805555553</v>
      </c>
      <c r="F1555" s="1">
        <v>0.42</v>
      </c>
      <c r="G1555" s="1">
        <v>15051</v>
      </c>
      <c r="H1555" s="1" t="s">
        <v>10</v>
      </c>
      <c r="I1555" s="1">
        <f t="shared" si="6"/>
        <v>5.04</v>
      </c>
      <c r="J1555" s="2"/>
      <c r="K1555" s="2"/>
      <c r="L1555" s="2"/>
      <c r="M1555" s="2"/>
      <c r="N1555" s="2"/>
      <c r="O1555" s="2"/>
      <c r="P1555" s="2"/>
      <c r="Q1555" s="2"/>
      <c r="R1555" s="2"/>
      <c r="S1555" s="2"/>
    </row>
    <row r="1556" spans="1:19" x14ac:dyDescent="0.2">
      <c r="A1556" s="1">
        <v>489573</v>
      </c>
      <c r="B1556" s="1">
        <v>22113</v>
      </c>
      <c r="C1556" s="1" t="s">
        <v>465</v>
      </c>
      <c r="D1556" s="1">
        <v>12</v>
      </c>
      <c r="E1556" s="3">
        <v>40148.561805555553</v>
      </c>
      <c r="F1556" s="1">
        <v>3.45</v>
      </c>
      <c r="G1556" s="1">
        <v>15051</v>
      </c>
      <c r="H1556" s="1" t="s">
        <v>10</v>
      </c>
      <c r="I1556" s="1">
        <f t="shared" si="6"/>
        <v>41.400000000000006</v>
      </c>
      <c r="J1556" s="2"/>
      <c r="K1556" s="2"/>
      <c r="L1556" s="2"/>
      <c r="M1556" s="2"/>
      <c r="N1556" s="2"/>
      <c r="O1556" s="2"/>
      <c r="P1556" s="2"/>
      <c r="Q1556" s="2"/>
      <c r="R1556" s="2"/>
      <c r="S1556" s="2"/>
    </row>
    <row r="1557" spans="1:19" x14ac:dyDescent="0.2">
      <c r="A1557" s="1">
        <v>489573</v>
      </c>
      <c r="B1557" s="1">
        <v>22186</v>
      </c>
      <c r="C1557" s="1" t="s">
        <v>662</v>
      </c>
      <c r="D1557" s="1">
        <v>11</v>
      </c>
      <c r="E1557" s="3">
        <v>40148.561805555553</v>
      </c>
      <c r="F1557" s="1">
        <v>2.95</v>
      </c>
      <c r="G1557" s="1">
        <v>15051</v>
      </c>
      <c r="H1557" s="1" t="s">
        <v>10</v>
      </c>
      <c r="I1557" s="1">
        <f t="shared" si="6"/>
        <v>32.450000000000003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</row>
    <row r="1558" spans="1:19" x14ac:dyDescent="0.2">
      <c r="A1558" s="1">
        <v>489573</v>
      </c>
      <c r="B1558" s="1">
        <v>21625</v>
      </c>
      <c r="C1558" s="1" t="s">
        <v>1058</v>
      </c>
      <c r="D1558" s="1">
        <v>7</v>
      </c>
      <c r="E1558" s="3">
        <v>40148.561805555553</v>
      </c>
      <c r="F1558" s="1">
        <v>6.95</v>
      </c>
      <c r="G1558" s="1">
        <v>15051</v>
      </c>
      <c r="H1558" s="1" t="s">
        <v>10</v>
      </c>
      <c r="I1558" s="1">
        <f t="shared" si="6"/>
        <v>48.65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</row>
    <row r="1559" spans="1:19" x14ac:dyDescent="0.2">
      <c r="A1559" s="1">
        <v>489573</v>
      </c>
      <c r="B1559" s="1">
        <v>84949</v>
      </c>
      <c r="C1559" s="1" t="s">
        <v>386</v>
      </c>
      <c r="D1559" s="1">
        <v>6</v>
      </c>
      <c r="E1559" s="3">
        <v>40148.561805555553</v>
      </c>
      <c r="F1559" s="1">
        <v>1.65</v>
      </c>
      <c r="G1559" s="1">
        <v>15051</v>
      </c>
      <c r="H1559" s="1" t="s">
        <v>10</v>
      </c>
      <c r="I1559" s="1">
        <f t="shared" si="6"/>
        <v>9.8999999999999986</v>
      </c>
      <c r="J1559" s="2"/>
      <c r="K1559" s="2"/>
      <c r="L1559" s="2"/>
      <c r="M1559" s="2"/>
      <c r="N1559" s="2"/>
      <c r="O1559" s="2"/>
      <c r="P1559" s="2"/>
      <c r="Q1559" s="2"/>
      <c r="R1559" s="2"/>
      <c r="S1559" s="2"/>
    </row>
    <row r="1560" spans="1:19" x14ac:dyDescent="0.2">
      <c r="A1560" s="1">
        <v>489573</v>
      </c>
      <c r="B1560" s="1" t="s">
        <v>1059</v>
      </c>
      <c r="C1560" s="1" t="s">
        <v>1060</v>
      </c>
      <c r="D1560" s="1">
        <v>6</v>
      </c>
      <c r="E1560" s="3">
        <v>40148.561805555553</v>
      </c>
      <c r="F1560" s="1">
        <v>2.5499999999999998</v>
      </c>
      <c r="G1560" s="1">
        <v>15051</v>
      </c>
      <c r="H1560" s="1" t="s">
        <v>10</v>
      </c>
      <c r="I1560" s="1">
        <f t="shared" si="6"/>
        <v>15.299999999999999</v>
      </c>
      <c r="J1560" s="2"/>
      <c r="K1560" s="2"/>
      <c r="L1560" s="2"/>
      <c r="M1560" s="2"/>
      <c r="N1560" s="2"/>
      <c r="O1560" s="2"/>
      <c r="P1560" s="2"/>
      <c r="Q1560" s="2"/>
      <c r="R1560" s="2"/>
      <c r="S1560" s="2"/>
    </row>
    <row r="1561" spans="1:19" x14ac:dyDescent="0.2">
      <c r="A1561" s="1">
        <v>489573</v>
      </c>
      <c r="B1561" s="1" t="s">
        <v>170</v>
      </c>
      <c r="C1561" s="1" t="s">
        <v>171</v>
      </c>
      <c r="D1561" s="1">
        <v>6</v>
      </c>
      <c r="E1561" s="3">
        <v>40148.561805555553</v>
      </c>
      <c r="F1561" s="1">
        <v>2.5499999999999998</v>
      </c>
      <c r="G1561" s="1">
        <v>15051</v>
      </c>
      <c r="H1561" s="1" t="s">
        <v>10</v>
      </c>
      <c r="I1561" s="1">
        <f t="shared" si="6"/>
        <v>15.299999999999999</v>
      </c>
      <c r="J1561" s="2"/>
      <c r="K1561" s="2"/>
      <c r="L1561" s="2"/>
      <c r="M1561" s="2"/>
      <c r="N1561" s="2"/>
      <c r="O1561" s="2"/>
      <c r="P1561" s="2"/>
      <c r="Q1561" s="2"/>
      <c r="R1561" s="2"/>
      <c r="S1561" s="2"/>
    </row>
    <row r="1562" spans="1:19" x14ac:dyDescent="0.2">
      <c r="A1562" s="1">
        <v>489573</v>
      </c>
      <c r="B1562" s="1">
        <v>21754</v>
      </c>
      <c r="C1562" s="1" t="s">
        <v>43</v>
      </c>
      <c r="D1562" s="1">
        <v>5</v>
      </c>
      <c r="E1562" s="3">
        <v>40148.561805555553</v>
      </c>
      <c r="F1562" s="1">
        <v>5.95</v>
      </c>
      <c r="G1562" s="1">
        <v>15051</v>
      </c>
      <c r="H1562" s="1" t="s">
        <v>10</v>
      </c>
      <c r="I1562" s="1">
        <f t="shared" si="6"/>
        <v>29.75</v>
      </c>
      <c r="J1562" s="2"/>
      <c r="K1562" s="2"/>
      <c r="L1562" s="2"/>
      <c r="M1562" s="2"/>
      <c r="N1562" s="2"/>
      <c r="O1562" s="2"/>
      <c r="P1562" s="2"/>
      <c r="Q1562" s="2"/>
      <c r="R1562" s="2"/>
      <c r="S1562" s="2"/>
    </row>
    <row r="1563" spans="1:19" x14ac:dyDescent="0.2">
      <c r="A1563" s="1">
        <v>489573</v>
      </c>
      <c r="B1563" s="1">
        <v>21888</v>
      </c>
      <c r="C1563" s="1" t="s">
        <v>141</v>
      </c>
      <c r="D1563" s="1">
        <v>4</v>
      </c>
      <c r="E1563" s="3">
        <v>40148.561805555553</v>
      </c>
      <c r="F1563" s="1">
        <v>3.75</v>
      </c>
      <c r="G1563" s="1">
        <v>15051</v>
      </c>
      <c r="H1563" s="1" t="s">
        <v>10</v>
      </c>
      <c r="I1563" s="1">
        <f t="shared" si="6"/>
        <v>15</v>
      </c>
      <c r="J1563" s="2"/>
      <c r="K1563" s="2"/>
      <c r="L1563" s="2"/>
      <c r="M1563" s="2"/>
      <c r="N1563" s="2"/>
      <c r="O1563" s="2"/>
      <c r="P1563" s="2"/>
      <c r="Q1563" s="2"/>
      <c r="R1563" s="2"/>
      <c r="S1563" s="2"/>
    </row>
    <row r="1564" spans="1:19" x14ac:dyDescent="0.2">
      <c r="A1564" s="1">
        <v>489573</v>
      </c>
      <c r="B1564" s="1">
        <v>22071</v>
      </c>
      <c r="C1564" s="1" t="s">
        <v>622</v>
      </c>
      <c r="D1564" s="1">
        <v>4</v>
      </c>
      <c r="E1564" s="3">
        <v>40148.561805555553</v>
      </c>
      <c r="F1564" s="1">
        <v>3.75</v>
      </c>
      <c r="G1564" s="1">
        <v>15051</v>
      </c>
      <c r="H1564" s="1" t="s">
        <v>10</v>
      </c>
      <c r="I1564" s="1">
        <f t="shared" si="6"/>
        <v>15</v>
      </c>
      <c r="J1564" s="2"/>
      <c r="K1564" s="2"/>
      <c r="L1564" s="2"/>
      <c r="M1564" s="2"/>
      <c r="N1564" s="2"/>
      <c r="O1564" s="2"/>
      <c r="P1564" s="2"/>
      <c r="Q1564" s="2"/>
      <c r="R1564" s="2"/>
      <c r="S1564" s="2"/>
    </row>
    <row r="1565" spans="1:19" x14ac:dyDescent="0.2">
      <c r="A1565" s="1">
        <v>489573</v>
      </c>
      <c r="B1565" s="1">
        <v>22070</v>
      </c>
      <c r="C1565" s="1" t="s">
        <v>623</v>
      </c>
      <c r="D1565" s="1">
        <v>4</v>
      </c>
      <c r="E1565" s="3">
        <v>40148.561805555553</v>
      </c>
      <c r="F1565" s="1">
        <v>3.75</v>
      </c>
      <c r="G1565" s="1">
        <v>15051</v>
      </c>
      <c r="H1565" s="1" t="s">
        <v>10</v>
      </c>
      <c r="I1565" s="1">
        <f t="shared" si="6"/>
        <v>15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</row>
    <row r="1566" spans="1:19" x14ac:dyDescent="0.2">
      <c r="A1566" s="1">
        <v>489573</v>
      </c>
      <c r="B1566" s="1" t="s">
        <v>356</v>
      </c>
      <c r="C1566" s="1" t="s">
        <v>357</v>
      </c>
      <c r="D1566" s="1">
        <v>4</v>
      </c>
      <c r="E1566" s="3">
        <v>40148.561805555553</v>
      </c>
      <c r="F1566" s="1">
        <v>3.75</v>
      </c>
      <c r="G1566" s="1">
        <v>15051</v>
      </c>
      <c r="H1566" s="1" t="s">
        <v>10</v>
      </c>
      <c r="I1566" s="1">
        <f t="shared" si="6"/>
        <v>15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</row>
    <row r="1567" spans="1:19" x14ac:dyDescent="0.2">
      <c r="A1567" s="1">
        <v>489573</v>
      </c>
      <c r="B1567" s="1" t="s">
        <v>291</v>
      </c>
      <c r="C1567" s="1" t="s">
        <v>292</v>
      </c>
      <c r="D1567" s="1">
        <v>4</v>
      </c>
      <c r="E1567" s="3">
        <v>40148.561805555553</v>
      </c>
      <c r="F1567" s="1">
        <v>3.75</v>
      </c>
      <c r="G1567" s="1">
        <v>15051</v>
      </c>
      <c r="H1567" s="1" t="s">
        <v>10</v>
      </c>
      <c r="I1567" s="1">
        <f t="shared" si="6"/>
        <v>15</v>
      </c>
      <c r="J1567" s="2"/>
      <c r="K1567" s="2"/>
      <c r="L1567" s="2"/>
      <c r="M1567" s="2"/>
      <c r="N1567" s="2"/>
      <c r="O1567" s="2"/>
      <c r="P1567" s="2"/>
      <c r="Q1567" s="2"/>
      <c r="R1567" s="2"/>
      <c r="S1567" s="2"/>
    </row>
    <row r="1568" spans="1:19" x14ac:dyDescent="0.2">
      <c r="A1568" s="1">
        <v>489573</v>
      </c>
      <c r="B1568" s="1">
        <v>85147</v>
      </c>
      <c r="C1568" s="1" t="s">
        <v>1061</v>
      </c>
      <c r="D1568" s="1">
        <v>4</v>
      </c>
      <c r="E1568" s="3">
        <v>40148.561805555553</v>
      </c>
      <c r="F1568" s="1">
        <v>4.95</v>
      </c>
      <c r="G1568" s="1">
        <v>15051</v>
      </c>
      <c r="H1568" s="1" t="s">
        <v>10</v>
      </c>
      <c r="I1568" s="1">
        <f t="shared" si="6"/>
        <v>19.8</v>
      </c>
      <c r="J1568" s="2"/>
      <c r="K1568" s="2"/>
      <c r="L1568" s="2"/>
      <c r="M1568" s="2"/>
      <c r="N1568" s="2"/>
      <c r="O1568" s="2"/>
      <c r="P1568" s="2"/>
      <c r="Q1568" s="2"/>
      <c r="R1568" s="2"/>
      <c r="S1568" s="2"/>
    </row>
    <row r="1569" spans="1:19" x14ac:dyDescent="0.2">
      <c r="A1569" s="1">
        <v>489573</v>
      </c>
      <c r="B1569" s="1">
        <v>21955</v>
      </c>
      <c r="C1569" s="1" t="s">
        <v>146</v>
      </c>
      <c r="D1569" s="1">
        <v>3</v>
      </c>
      <c r="E1569" s="3">
        <v>40148.561805555553</v>
      </c>
      <c r="F1569" s="1">
        <v>6.75</v>
      </c>
      <c r="G1569" s="1">
        <v>15051</v>
      </c>
      <c r="H1569" s="1" t="s">
        <v>10</v>
      </c>
      <c r="I1569" s="1">
        <f t="shared" si="6"/>
        <v>20.25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2"/>
    </row>
    <row r="1570" spans="1:19" x14ac:dyDescent="0.2">
      <c r="A1570" s="1">
        <v>489573</v>
      </c>
      <c r="B1570" s="1">
        <v>21912</v>
      </c>
      <c r="C1570" s="1" t="s">
        <v>62</v>
      </c>
      <c r="D1570" s="1">
        <v>3</v>
      </c>
      <c r="E1570" s="3">
        <v>40148.561805555553</v>
      </c>
      <c r="F1570" s="1">
        <v>3.75</v>
      </c>
      <c r="G1570" s="1">
        <v>15051</v>
      </c>
      <c r="H1570" s="1" t="s">
        <v>10</v>
      </c>
      <c r="I1570" s="1">
        <f t="shared" si="6"/>
        <v>11.25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</row>
    <row r="1571" spans="1:19" x14ac:dyDescent="0.2">
      <c r="A1571" s="1">
        <v>489573</v>
      </c>
      <c r="B1571" s="1">
        <v>22139</v>
      </c>
      <c r="C1571" s="1" t="s">
        <v>110</v>
      </c>
      <c r="D1571" s="1">
        <v>3</v>
      </c>
      <c r="E1571" s="3">
        <v>40148.561805555553</v>
      </c>
      <c r="F1571" s="1">
        <v>4.95</v>
      </c>
      <c r="G1571" s="1">
        <v>15051</v>
      </c>
      <c r="H1571" s="1" t="s">
        <v>10</v>
      </c>
      <c r="I1571" s="1">
        <f t="shared" si="6"/>
        <v>14.850000000000001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</row>
    <row r="1572" spans="1:19" x14ac:dyDescent="0.2">
      <c r="A1572" s="1">
        <v>489573</v>
      </c>
      <c r="B1572" s="1">
        <v>21868</v>
      </c>
      <c r="C1572" s="1" t="s">
        <v>500</v>
      </c>
      <c r="D1572" s="1">
        <v>3</v>
      </c>
      <c r="E1572" s="3">
        <v>40148.561805555553</v>
      </c>
      <c r="F1572" s="1">
        <v>1.25</v>
      </c>
      <c r="G1572" s="1">
        <v>15051</v>
      </c>
      <c r="H1572" s="1" t="s">
        <v>10</v>
      </c>
      <c r="I1572" s="1">
        <f t="shared" si="6"/>
        <v>3.75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2"/>
    </row>
    <row r="1573" spans="1:19" x14ac:dyDescent="0.2">
      <c r="A1573" s="1">
        <v>489573</v>
      </c>
      <c r="B1573" s="1">
        <v>22138</v>
      </c>
      <c r="C1573" s="1" t="s">
        <v>109</v>
      </c>
      <c r="D1573" s="1">
        <v>3</v>
      </c>
      <c r="E1573" s="3">
        <v>40148.561805555553</v>
      </c>
      <c r="F1573" s="1">
        <v>4.95</v>
      </c>
      <c r="G1573" s="1">
        <v>15051</v>
      </c>
      <c r="H1573" s="1" t="s">
        <v>10</v>
      </c>
      <c r="I1573" s="1">
        <f t="shared" si="6"/>
        <v>14.850000000000001</v>
      </c>
      <c r="J1573" s="2"/>
      <c r="K1573" s="2"/>
      <c r="L1573" s="2"/>
      <c r="M1573" s="2"/>
      <c r="N1573" s="2"/>
      <c r="O1573" s="2"/>
      <c r="P1573" s="2"/>
      <c r="Q1573" s="2"/>
      <c r="R1573" s="2"/>
      <c r="S1573" s="2"/>
    </row>
    <row r="1574" spans="1:19" x14ac:dyDescent="0.2">
      <c r="A1574" s="1">
        <v>489573</v>
      </c>
      <c r="B1574" s="1" t="s">
        <v>1062</v>
      </c>
      <c r="C1574" s="1" t="s">
        <v>1063</v>
      </c>
      <c r="D1574" s="1">
        <v>1</v>
      </c>
      <c r="E1574" s="3">
        <v>40148.561805555553</v>
      </c>
      <c r="F1574" s="1">
        <v>2.95</v>
      </c>
      <c r="G1574" s="1">
        <v>15051</v>
      </c>
      <c r="H1574" s="1" t="s">
        <v>10</v>
      </c>
      <c r="I1574" s="1">
        <f t="shared" si="6"/>
        <v>2.95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</row>
    <row r="1575" spans="1:19" x14ac:dyDescent="0.2">
      <c r="A1575" s="1">
        <v>489573</v>
      </c>
      <c r="B1575" s="1" t="s">
        <v>1064</v>
      </c>
      <c r="C1575" s="1" t="s">
        <v>1065</v>
      </c>
      <c r="D1575" s="1">
        <v>1</v>
      </c>
      <c r="E1575" s="3">
        <v>40148.561805555553</v>
      </c>
      <c r="F1575" s="1">
        <v>3.75</v>
      </c>
      <c r="G1575" s="1">
        <v>15051</v>
      </c>
      <c r="H1575" s="1" t="s">
        <v>10</v>
      </c>
      <c r="I1575" s="1">
        <f t="shared" si="6"/>
        <v>3.75</v>
      </c>
      <c r="J1575" s="2"/>
      <c r="K1575" s="2"/>
      <c r="L1575" s="2"/>
      <c r="M1575" s="2"/>
      <c r="N1575" s="2"/>
      <c r="O1575" s="2"/>
      <c r="P1575" s="2"/>
      <c r="Q1575" s="2"/>
      <c r="R1575" s="2"/>
      <c r="S1575" s="2"/>
    </row>
    <row r="1576" spans="1:19" x14ac:dyDescent="0.2">
      <c r="A1576" s="1">
        <v>489573</v>
      </c>
      <c r="B1576" s="1" t="s">
        <v>1066</v>
      </c>
      <c r="C1576" s="1" t="s">
        <v>1067</v>
      </c>
      <c r="D1576" s="1">
        <v>1</v>
      </c>
      <c r="E1576" s="3">
        <v>40148.561805555553</v>
      </c>
      <c r="F1576" s="1">
        <v>1.25</v>
      </c>
      <c r="G1576" s="1">
        <v>15051</v>
      </c>
      <c r="H1576" s="1" t="s">
        <v>10</v>
      </c>
      <c r="I1576" s="1">
        <f t="shared" si="6"/>
        <v>1.25</v>
      </c>
      <c r="J1576" s="2"/>
      <c r="K1576" s="2"/>
      <c r="L1576" s="2"/>
      <c r="M1576" s="2"/>
      <c r="N1576" s="2"/>
      <c r="O1576" s="2"/>
      <c r="P1576" s="2"/>
      <c r="Q1576" s="2"/>
      <c r="R1576" s="2"/>
      <c r="S1576" s="2"/>
    </row>
    <row r="1577" spans="1:19" x14ac:dyDescent="0.2">
      <c r="A1577" s="1">
        <v>489573</v>
      </c>
      <c r="B1577" s="1">
        <v>84340</v>
      </c>
      <c r="C1577" s="1" t="s">
        <v>1068</v>
      </c>
      <c r="D1577" s="1">
        <v>1</v>
      </c>
      <c r="E1577" s="3">
        <v>40148.561805555553</v>
      </c>
      <c r="F1577" s="1">
        <v>2.5499999999999998</v>
      </c>
      <c r="G1577" s="1">
        <v>15051</v>
      </c>
      <c r="H1577" s="1" t="s">
        <v>10</v>
      </c>
      <c r="I1577" s="1">
        <f t="shared" si="6"/>
        <v>2.5499999999999998</v>
      </c>
      <c r="J1577" s="2"/>
      <c r="K1577" s="2"/>
      <c r="L1577" s="2"/>
      <c r="M1577" s="2"/>
      <c r="N1577" s="2"/>
      <c r="O1577" s="2"/>
      <c r="P1577" s="2"/>
      <c r="Q1577" s="2"/>
      <c r="R1577" s="2"/>
      <c r="S1577" s="2"/>
    </row>
    <row r="1578" spans="1:19" x14ac:dyDescent="0.2">
      <c r="A1578" s="1">
        <v>489574</v>
      </c>
      <c r="B1578" s="1" t="s">
        <v>886</v>
      </c>
      <c r="C1578" s="1" t="s">
        <v>887</v>
      </c>
      <c r="D1578" s="1">
        <v>25</v>
      </c>
      <c r="E1578" s="3">
        <v>40148.563194444447</v>
      </c>
      <c r="F1578" s="1">
        <v>0.42</v>
      </c>
      <c r="G1578" s="1">
        <v>13097</v>
      </c>
      <c r="H1578" s="1" t="s">
        <v>10</v>
      </c>
      <c r="I1578" s="1">
        <f t="shared" si="6"/>
        <v>10.5</v>
      </c>
      <c r="J1578" s="2"/>
      <c r="K1578" s="2"/>
      <c r="L1578" s="2"/>
      <c r="M1578" s="2"/>
      <c r="N1578" s="2"/>
      <c r="O1578" s="2"/>
      <c r="P1578" s="2"/>
      <c r="Q1578" s="2"/>
      <c r="R1578" s="2"/>
      <c r="S1578" s="2"/>
    </row>
    <row r="1579" spans="1:19" x14ac:dyDescent="0.2">
      <c r="A1579" s="1">
        <v>489574</v>
      </c>
      <c r="B1579" s="1">
        <v>22035</v>
      </c>
      <c r="C1579" s="1" t="s">
        <v>1005</v>
      </c>
      <c r="D1579" s="1">
        <v>24</v>
      </c>
      <c r="E1579" s="3">
        <v>40148.563194444447</v>
      </c>
      <c r="F1579" s="1">
        <v>0.42</v>
      </c>
      <c r="G1579" s="1">
        <v>13097</v>
      </c>
      <c r="H1579" s="1" t="s">
        <v>10</v>
      </c>
      <c r="I1579" s="1">
        <f t="shared" si="6"/>
        <v>10.08</v>
      </c>
      <c r="J1579" s="2"/>
      <c r="K1579" s="2"/>
      <c r="L1579" s="2"/>
      <c r="M1579" s="2"/>
      <c r="N1579" s="2"/>
      <c r="O1579" s="2"/>
      <c r="P1579" s="2"/>
      <c r="Q1579" s="2"/>
      <c r="R1579" s="2"/>
      <c r="S1579" s="2"/>
    </row>
    <row r="1580" spans="1:19" x14ac:dyDescent="0.2">
      <c r="A1580" s="1">
        <v>489574</v>
      </c>
      <c r="B1580" s="1">
        <v>22037</v>
      </c>
      <c r="C1580" s="1" t="s">
        <v>566</v>
      </c>
      <c r="D1580" s="1">
        <v>24</v>
      </c>
      <c r="E1580" s="3">
        <v>40148.563194444447</v>
      </c>
      <c r="F1580" s="1">
        <v>0.42</v>
      </c>
      <c r="G1580" s="1">
        <v>13097</v>
      </c>
      <c r="H1580" s="1" t="s">
        <v>10</v>
      </c>
      <c r="I1580" s="1">
        <f t="shared" si="6"/>
        <v>10.08</v>
      </c>
      <c r="J1580" s="2"/>
      <c r="K1580" s="2"/>
      <c r="L1580" s="2"/>
      <c r="M1580" s="2"/>
      <c r="N1580" s="2"/>
      <c r="O1580" s="2"/>
      <c r="P1580" s="2"/>
      <c r="Q1580" s="2"/>
      <c r="R1580" s="2"/>
      <c r="S1580" s="2"/>
    </row>
    <row r="1581" spans="1:19" x14ac:dyDescent="0.2">
      <c r="A1581" s="1">
        <v>489574</v>
      </c>
      <c r="B1581" s="1">
        <v>85176</v>
      </c>
      <c r="C1581" s="1" t="s">
        <v>1069</v>
      </c>
      <c r="D1581" s="1">
        <v>12</v>
      </c>
      <c r="E1581" s="3">
        <v>40148.563194444447</v>
      </c>
      <c r="F1581" s="1">
        <v>0.85</v>
      </c>
      <c r="G1581" s="1">
        <v>13097</v>
      </c>
      <c r="H1581" s="1" t="s">
        <v>10</v>
      </c>
      <c r="I1581" s="1">
        <f t="shared" si="6"/>
        <v>10.199999999999999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</row>
    <row r="1582" spans="1:19" x14ac:dyDescent="0.2">
      <c r="A1582" s="1">
        <v>489574</v>
      </c>
      <c r="B1582" s="1">
        <v>21889</v>
      </c>
      <c r="C1582" s="1" t="s">
        <v>481</v>
      </c>
      <c r="D1582" s="1">
        <v>12</v>
      </c>
      <c r="E1582" s="3">
        <v>40148.563194444447</v>
      </c>
      <c r="F1582" s="1">
        <v>1.25</v>
      </c>
      <c r="G1582" s="1">
        <v>13097</v>
      </c>
      <c r="H1582" s="1" t="s">
        <v>10</v>
      </c>
      <c r="I1582" s="1">
        <f t="shared" si="6"/>
        <v>15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</row>
    <row r="1583" spans="1:19" x14ac:dyDescent="0.2">
      <c r="A1583" s="1">
        <v>489574</v>
      </c>
      <c r="B1583" s="1" t="s">
        <v>1070</v>
      </c>
      <c r="C1583" s="1" t="s">
        <v>1071</v>
      </c>
      <c r="D1583" s="1">
        <v>10</v>
      </c>
      <c r="E1583" s="3">
        <v>40148.563194444447</v>
      </c>
      <c r="F1583" s="1">
        <v>1.95</v>
      </c>
      <c r="G1583" s="1">
        <v>13097</v>
      </c>
      <c r="H1583" s="1" t="s">
        <v>10</v>
      </c>
      <c r="I1583" s="1">
        <f t="shared" si="6"/>
        <v>19.5</v>
      </c>
      <c r="J1583" s="2"/>
      <c r="K1583" s="2"/>
      <c r="L1583" s="2"/>
      <c r="M1583" s="2"/>
      <c r="N1583" s="2"/>
      <c r="O1583" s="2"/>
      <c r="P1583" s="2"/>
      <c r="Q1583" s="2"/>
      <c r="R1583" s="2"/>
      <c r="S1583" s="2"/>
    </row>
    <row r="1584" spans="1:19" x14ac:dyDescent="0.2">
      <c r="A1584" s="1">
        <v>489574</v>
      </c>
      <c r="B1584" s="1" t="s">
        <v>1072</v>
      </c>
      <c r="C1584" s="1" t="s">
        <v>1073</v>
      </c>
      <c r="D1584" s="1">
        <v>10</v>
      </c>
      <c r="E1584" s="3">
        <v>40148.563194444447</v>
      </c>
      <c r="F1584" s="1">
        <v>1.95</v>
      </c>
      <c r="G1584" s="1">
        <v>13097</v>
      </c>
      <c r="H1584" s="1" t="s">
        <v>10</v>
      </c>
      <c r="I1584" s="1">
        <f t="shared" si="6"/>
        <v>19.5</v>
      </c>
      <c r="J1584" s="2"/>
      <c r="K1584" s="2"/>
      <c r="L1584" s="2"/>
      <c r="M1584" s="2"/>
      <c r="N1584" s="2"/>
      <c r="O1584" s="2"/>
      <c r="P1584" s="2"/>
      <c r="Q1584" s="2"/>
      <c r="R1584" s="2"/>
      <c r="S1584" s="2"/>
    </row>
    <row r="1585" spans="1:19" x14ac:dyDescent="0.2">
      <c r="A1585" s="1">
        <v>489574</v>
      </c>
      <c r="B1585" s="1">
        <v>85178</v>
      </c>
      <c r="C1585" s="1" t="s">
        <v>140</v>
      </c>
      <c r="D1585" s="1">
        <v>10</v>
      </c>
      <c r="E1585" s="3">
        <v>40148.563194444447</v>
      </c>
      <c r="F1585" s="1">
        <v>1.25</v>
      </c>
      <c r="G1585" s="1">
        <v>13097</v>
      </c>
      <c r="H1585" s="1" t="s">
        <v>10</v>
      </c>
      <c r="I1585" s="1">
        <f t="shared" si="6"/>
        <v>12.5</v>
      </c>
      <c r="J1585" s="2"/>
      <c r="K1585" s="2"/>
      <c r="L1585" s="2"/>
      <c r="M1585" s="2"/>
      <c r="N1585" s="2"/>
      <c r="O1585" s="2"/>
      <c r="P1585" s="2"/>
      <c r="Q1585" s="2"/>
      <c r="R1585" s="2"/>
      <c r="S1585" s="2"/>
    </row>
    <row r="1586" spans="1:19" x14ac:dyDescent="0.2">
      <c r="A1586" s="1">
        <v>489574</v>
      </c>
      <c r="B1586" s="1">
        <v>21917</v>
      </c>
      <c r="C1586" s="1" t="s">
        <v>1074</v>
      </c>
      <c r="D1586" s="1">
        <v>10</v>
      </c>
      <c r="E1586" s="3">
        <v>40148.563194444447</v>
      </c>
      <c r="F1586" s="1">
        <v>0.42</v>
      </c>
      <c r="G1586" s="1">
        <v>13097</v>
      </c>
      <c r="H1586" s="1" t="s">
        <v>10</v>
      </c>
      <c r="I1586" s="1">
        <f t="shared" si="6"/>
        <v>4.2</v>
      </c>
      <c r="J1586" s="2"/>
      <c r="K1586" s="2"/>
      <c r="L1586" s="2"/>
      <c r="M1586" s="2"/>
      <c r="N1586" s="2"/>
      <c r="O1586" s="2"/>
      <c r="P1586" s="2"/>
      <c r="Q1586" s="2"/>
      <c r="R1586" s="2"/>
      <c r="S1586" s="2"/>
    </row>
    <row r="1587" spans="1:19" x14ac:dyDescent="0.2">
      <c r="A1587" s="1">
        <v>489574</v>
      </c>
      <c r="B1587" s="1">
        <v>21916</v>
      </c>
      <c r="C1587" s="1" t="s">
        <v>126</v>
      </c>
      <c r="D1587" s="1">
        <v>10</v>
      </c>
      <c r="E1587" s="3">
        <v>40148.563194444447</v>
      </c>
      <c r="F1587" s="1">
        <v>0.42</v>
      </c>
      <c r="G1587" s="1">
        <v>13097</v>
      </c>
      <c r="H1587" s="1" t="s">
        <v>10</v>
      </c>
      <c r="I1587" s="1">
        <f t="shared" si="6"/>
        <v>4.2</v>
      </c>
      <c r="J1587" s="2"/>
      <c r="K1587" s="2"/>
      <c r="L1587" s="2"/>
      <c r="M1587" s="2"/>
      <c r="N1587" s="2"/>
      <c r="O1587" s="2"/>
      <c r="P1587" s="2"/>
      <c r="Q1587" s="2"/>
      <c r="R1587" s="2"/>
      <c r="S1587" s="2"/>
    </row>
    <row r="1588" spans="1:19" x14ac:dyDescent="0.2">
      <c r="A1588" s="1">
        <v>489574</v>
      </c>
      <c r="B1588" s="1">
        <v>21918</v>
      </c>
      <c r="C1588" s="1" t="s">
        <v>652</v>
      </c>
      <c r="D1588" s="1">
        <v>10</v>
      </c>
      <c r="E1588" s="3">
        <v>40148.563194444447</v>
      </c>
      <c r="F1588" s="1">
        <v>0.42</v>
      </c>
      <c r="G1588" s="1">
        <v>13097</v>
      </c>
      <c r="H1588" s="1" t="s">
        <v>10</v>
      </c>
      <c r="I1588" s="1">
        <f t="shared" si="6"/>
        <v>4.2</v>
      </c>
      <c r="J1588" s="2"/>
      <c r="K1588" s="2"/>
      <c r="L1588" s="2"/>
      <c r="M1588" s="2"/>
      <c r="N1588" s="2"/>
      <c r="O1588" s="2"/>
      <c r="P1588" s="2"/>
      <c r="Q1588" s="2"/>
      <c r="R1588" s="2"/>
      <c r="S1588" s="2"/>
    </row>
    <row r="1589" spans="1:19" x14ac:dyDescent="0.2">
      <c r="A1589" s="1">
        <v>489574</v>
      </c>
      <c r="B1589" s="1">
        <v>21791</v>
      </c>
      <c r="C1589" s="1" t="s">
        <v>324</v>
      </c>
      <c r="D1589" s="1">
        <v>10</v>
      </c>
      <c r="E1589" s="3">
        <v>40148.563194444447</v>
      </c>
      <c r="F1589" s="1">
        <v>1.25</v>
      </c>
      <c r="G1589" s="1">
        <v>13097</v>
      </c>
      <c r="H1589" s="1" t="s">
        <v>10</v>
      </c>
      <c r="I1589" s="1">
        <f t="shared" si="6"/>
        <v>12.5</v>
      </c>
      <c r="J1589" s="2"/>
      <c r="K1589" s="2"/>
      <c r="L1589" s="2"/>
      <c r="M1589" s="2"/>
      <c r="N1589" s="2"/>
      <c r="O1589" s="2"/>
      <c r="P1589" s="2"/>
      <c r="Q1589" s="2"/>
      <c r="R1589" s="2"/>
      <c r="S1589" s="2"/>
    </row>
    <row r="1590" spans="1:19" x14ac:dyDescent="0.2">
      <c r="A1590" s="1">
        <v>489574</v>
      </c>
      <c r="B1590" s="1">
        <v>10135</v>
      </c>
      <c r="C1590" s="1" t="s">
        <v>450</v>
      </c>
      <c r="D1590" s="1">
        <v>10</v>
      </c>
      <c r="E1590" s="3">
        <v>40148.563194444447</v>
      </c>
      <c r="F1590" s="1">
        <v>1.25</v>
      </c>
      <c r="G1590" s="1">
        <v>13097</v>
      </c>
      <c r="H1590" s="1" t="s">
        <v>10</v>
      </c>
      <c r="I1590" s="1">
        <f t="shared" si="6"/>
        <v>12.5</v>
      </c>
      <c r="J1590" s="2"/>
      <c r="K1590" s="2"/>
      <c r="L1590" s="2"/>
      <c r="M1590" s="2"/>
      <c r="N1590" s="2"/>
      <c r="O1590" s="2"/>
      <c r="P1590" s="2"/>
      <c r="Q1590" s="2"/>
      <c r="R1590" s="2"/>
      <c r="S1590" s="2"/>
    </row>
    <row r="1591" spans="1:19" x14ac:dyDescent="0.2">
      <c r="A1591" s="1">
        <v>489574</v>
      </c>
      <c r="B1591" s="1">
        <v>21868</v>
      </c>
      <c r="C1591" s="1" t="s">
        <v>500</v>
      </c>
      <c r="D1591" s="1">
        <v>6</v>
      </c>
      <c r="E1591" s="3">
        <v>40148.563194444447</v>
      </c>
      <c r="F1591" s="1">
        <v>1.25</v>
      </c>
      <c r="G1591" s="1">
        <v>13097</v>
      </c>
      <c r="H1591" s="1" t="s">
        <v>10</v>
      </c>
      <c r="I1591" s="1">
        <f t="shared" si="6"/>
        <v>7.5</v>
      </c>
      <c r="J1591" s="2"/>
      <c r="K1591" s="2"/>
      <c r="L1591" s="2"/>
      <c r="M1591" s="2"/>
      <c r="N1591" s="2"/>
      <c r="O1591" s="2"/>
      <c r="P1591" s="2"/>
      <c r="Q1591" s="2"/>
      <c r="R1591" s="2"/>
      <c r="S1591" s="2"/>
    </row>
    <row r="1592" spans="1:19" x14ac:dyDescent="0.2">
      <c r="A1592" s="1">
        <v>489574</v>
      </c>
      <c r="B1592" s="1">
        <v>21260</v>
      </c>
      <c r="C1592" s="1" t="s">
        <v>860</v>
      </c>
      <c r="D1592" s="1">
        <v>6</v>
      </c>
      <c r="E1592" s="3">
        <v>40148.563194444447</v>
      </c>
      <c r="F1592" s="1">
        <v>3.25</v>
      </c>
      <c r="G1592" s="1">
        <v>13097</v>
      </c>
      <c r="H1592" s="1" t="s">
        <v>10</v>
      </c>
      <c r="I1592" s="1">
        <f t="shared" si="6"/>
        <v>19.5</v>
      </c>
      <c r="J1592" s="2"/>
      <c r="K1592" s="2"/>
      <c r="L1592" s="2"/>
      <c r="M1592" s="2"/>
      <c r="N1592" s="2"/>
      <c r="O1592" s="2"/>
      <c r="P1592" s="2"/>
      <c r="Q1592" s="2"/>
      <c r="R1592" s="2"/>
      <c r="S1592" s="2"/>
    </row>
    <row r="1593" spans="1:19" x14ac:dyDescent="0.2">
      <c r="A1593" s="1">
        <v>489574</v>
      </c>
      <c r="B1593" s="1">
        <v>21875</v>
      </c>
      <c r="C1593" s="1" t="s">
        <v>501</v>
      </c>
      <c r="D1593" s="1">
        <v>6</v>
      </c>
      <c r="E1593" s="3">
        <v>40148.563194444447</v>
      </c>
      <c r="F1593" s="1">
        <v>1.25</v>
      </c>
      <c r="G1593" s="1">
        <v>13097</v>
      </c>
      <c r="H1593" s="1" t="s">
        <v>10</v>
      </c>
      <c r="I1593" s="1">
        <f t="shared" si="6"/>
        <v>7.5</v>
      </c>
      <c r="J1593" s="2"/>
      <c r="K1593" s="2"/>
      <c r="L1593" s="2"/>
      <c r="M1593" s="2"/>
      <c r="N1593" s="2"/>
      <c r="O1593" s="2"/>
      <c r="P1593" s="2"/>
      <c r="Q1593" s="2"/>
      <c r="R1593" s="2"/>
      <c r="S1593" s="2"/>
    </row>
    <row r="1594" spans="1:19" x14ac:dyDescent="0.2">
      <c r="A1594" s="1">
        <v>489574</v>
      </c>
      <c r="B1594" s="1">
        <v>22083</v>
      </c>
      <c r="C1594" s="1" t="s">
        <v>176</v>
      </c>
      <c r="D1594" s="1">
        <v>5</v>
      </c>
      <c r="E1594" s="3">
        <v>40148.563194444447</v>
      </c>
      <c r="F1594" s="1">
        <v>2.95</v>
      </c>
      <c r="G1594" s="1">
        <v>13097</v>
      </c>
      <c r="H1594" s="1" t="s">
        <v>10</v>
      </c>
      <c r="I1594" s="1">
        <f t="shared" si="6"/>
        <v>14.75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</row>
    <row r="1595" spans="1:19" x14ac:dyDescent="0.2">
      <c r="A1595" s="1">
        <v>489574</v>
      </c>
      <c r="B1595" s="1">
        <v>21745</v>
      </c>
      <c r="C1595" s="1" t="s">
        <v>1075</v>
      </c>
      <c r="D1595" s="1">
        <v>4</v>
      </c>
      <c r="E1595" s="3">
        <v>40148.563194444447</v>
      </c>
      <c r="F1595" s="1">
        <v>3.75</v>
      </c>
      <c r="G1595" s="1">
        <v>13097</v>
      </c>
      <c r="H1595" s="1" t="s">
        <v>10</v>
      </c>
      <c r="I1595" s="1">
        <f t="shared" si="6"/>
        <v>15</v>
      </c>
      <c r="J1595" s="2"/>
      <c r="K1595" s="2"/>
      <c r="L1595" s="2"/>
      <c r="M1595" s="2"/>
      <c r="N1595" s="2"/>
      <c r="O1595" s="2"/>
      <c r="P1595" s="2"/>
      <c r="Q1595" s="2"/>
      <c r="R1595" s="2"/>
      <c r="S1595" s="2"/>
    </row>
    <row r="1596" spans="1:19" x14ac:dyDescent="0.2">
      <c r="A1596" s="1">
        <v>489574</v>
      </c>
      <c r="B1596" s="1">
        <v>20941</v>
      </c>
      <c r="C1596" s="1" t="s">
        <v>1076</v>
      </c>
      <c r="D1596" s="1">
        <v>4</v>
      </c>
      <c r="E1596" s="3">
        <v>40148.563194444447</v>
      </c>
      <c r="F1596" s="1">
        <v>1.25</v>
      </c>
      <c r="G1596" s="1">
        <v>13097</v>
      </c>
      <c r="H1596" s="1" t="s">
        <v>10</v>
      </c>
      <c r="I1596" s="1">
        <f t="shared" si="6"/>
        <v>5</v>
      </c>
      <c r="J1596" s="2"/>
      <c r="K1596" s="2"/>
      <c r="L1596" s="2"/>
      <c r="M1596" s="2"/>
      <c r="N1596" s="2"/>
      <c r="O1596" s="2"/>
      <c r="P1596" s="2"/>
      <c r="Q1596" s="2"/>
      <c r="R1596" s="2"/>
      <c r="S1596" s="2"/>
    </row>
    <row r="1597" spans="1:19" x14ac:dyDescent="0.2">
      <c r="A1597" s="1">
        <v>489574</v>
      </c>
      <c r="B1597" s="1">
        <v>22138</v>
      </c>
      <c r="C1597" s="1" t="s">
        <v>109</v>
      </c>
      <c r="D1597" s="1">
        <v>4</v>
      </c>
      <c r="E1597" s="3">
        <v>40148.563194444447</v>
      </c>
      <c r="F1597" s="1">
        <v>4.95</v>
      </c>
      <c r="G1597" s="1">
        <v>13097</v>
      </c>
      <c r="H1597" s="1" t="s">
        <v>10</v>
      </c>
      <c r="I1597" s="1">
        <f t="shared" si="6"/>
        <v>19.8</v>
      </c>
      <c r="J1597" s="2"/>
      <c r="K1597" s="2"/>
      <c r="L1597" s="2"/>
      <c r="M1597" s="2"/>
      <c r="N1597" s="2"/>
      <c r="O1597" s="2"/>
      <c r="P1597" s="2"/>
      <c r="Q1597" s="2"/>
      <c r="R1597" s="2"/>
      <c r="S1597" s="2"/>
    </row>
    <row r="1598" spans="1:19" x14ac:dyDescent="0.2">
      <c r="A1598" s="1">
        <v>489574</v>
      </c>
      <c r="B1598" s="1">
        <v>20804</v>
      </c>
      <c r="C1598" s="1" t="s">
        <v>816</v>
      </c>
      <c r="D1598" s="1">
        <v>4</v>
      </c>
      <c r="E1598" s="3">
        <v>40148.563194444447</v>
      </c>
      <c r="F1598" s="1">
        <v>1.65</v>
      </c>
      <c r="G1598" s="1">
        <v>13097</v>
      </c>
      <c r="H1598" s="1" t="s">
        <v>10</v>
      </c>
      <c r="I1598" s="1">
        <f t="shared" si="6"/>
        <v>6.6</v>
      </c>
      <c r="J1598" s="2"/>
      <c r="K1598" s="2"/>
      <c r="L1598" s="2"/>
      <c r="M1598" s="2"/>
      <c r="N1598" s="2"/>
      <c r="O1598" s="2"/>
      <c r="P1598" s="2"/>
      <c r="Q1598" s="2"/>
      <c r="R1598" s="2"/>
      <c r="S1598" s="2"/>
    </row>
    <row r="1599" spans="1:19" x14ac:dyDescent="0.2">
      <c r="A1599" s="1">
        <v>489574</v>
      </c>
      <c r="B1599" s="1">
        <v>20804</v>
      </c>
      <c r="C1599" s="1" t="s">
        <v>816</v>
      </c>
      <c r="D1599" s="1">
        <v>4</v>
      </c>
      <c r="E1599" s="3">
        <v>40148.563194444447</v>
      </c>
      <c r="F1599" s="1">
        <v>1.65</v>
      </c>
      <c r="G1599" s="1">
        <v>13097</v>
      </c>
      <c r="H1599" s="1" t="s">
        <v>10</v>
      </c>
      <c r="I1599" s="1">
        <f t="shared" si="6"/>
        <v>6.6</v>
      </c>
      <c r="J1599" s="2"/>
      <c r="K1599" s="2"/>
      <c r="L1599" s="2"/>
      <c r="M1599" s="2"/>
      <c r="N1599" s="2"/>
      <c r="O1599" s="2"/>
      <c r="P1599" s="2"/>
      <c r="Q1599" s="2"/>
      <c r="R1599" s="2"/>
      <c r="S1599" s="2"/>
    </row>
    <row r="1600" spans="1:19" x14ac:dyDescent="0.2">
      <c r="A1600" s="1">
        <v>489574</v>
      </c>
      <c r="B1600" s="1">
        <v>21016</v>
      </c>
      <c r="C1600" s="1" t="s">
        <v>741</v>
      </c>
      <c r="D1600" s="1">
        <v>4</v>
      </c>
      <c r="E1600" s="3">
        <v>40148.563194444447</v>
      </c>
      <c r="F1600" s="1">
        <v>0.85</v>
      </c>
      <c r="G1600" s="1">
        <v>13097</v>
      </c>
      <c r="H1600" s="1" t="s">
        <v>10</v>
      </c>
      <c r="I1600" s="1">
        <f t="shared" si="6"/>
        <v>3.4</v>
      </c>
      <c r="J1600" s="2"/>
      <c r="K1600" s="2"/>
      <c r="L1600" s="2"/>
      <c r="M1600" s="2"/>
      <c r="N1600" s="2"/>
      <c r="O1600" s="2"/>
      <c r="P1600" s="2"/>
      <c r="Q1600" s="2"/>
      <c r="R1600" s="2"/>
      <c r="S1600" s="2"/>
    </row>
    <row r="1601" spans="1:19" x14ac:dyDescent="0.2">
      <c r="A1601" s="1">
        <v>489574</v>
      </c>
      <c r="B1601" s="1">
        <v>21015</v>
      </c>
      <c r="C1601" s="1" t="s">
        <v>1077</v>
      </c>
      <c r="D1601" s="1">
        <v>4</v>
      </c>
      <c r="E1601" s="3">
        <v>40148.563194444447</v>
      </c>
      <c r="F1601" s="1">
        <v>0.85</v>
      </c>
      <c r="G1601" s="1">
        <v>13097</v>
      </c>
      <c r="H1601" s="1" t="s">
        <v>10</v>
      </c>
      <c r="I1601" s="1">
        <f t="shared" si="6"/>
        <v>3.4</v>
      </c>
      <c r="J1601" s="2"/>
      <c r="K1601" s="2"/>
      <c r="L1601" s="2"/>
      <c r="M1601" s="2"/>
      <c r="N1601" s="2"/>
      <c r="O1601" s="2"/>
      <c r="P1601" s="2"/>
      <c r="Q1601" s="2"/>
      <c r="R1601" s="2"/>
      <c r="S1601" s="2"/>
    </row>
    <row r="1602" spans="1:19" x14ac:dyDescent="0.2">
      <c r="A1602" s="1">
        <v>489574</v>
      </c>
      <c r="B1602" s="1">
        <v>21014</v>
      </c>
      <c r="C1602" s="1" t="s">
        <v>1078</v>
      </c>
      <c r="D1602" s="1">
        <v>4</v>
      </c>
      <c r="E1602" s="3">
        <v>40148.563194444447</v>
      </c>
      <c r="F1602" s="1">
        <v>0.85</v>
      </c>
      <c r="G1602" s="1">
        <v>13097</v>
      </c>
      <c r="H1602" s="1" t="s">
        <v>10</v>
      </c>
      <c r="I1602" s="1">
        <f t="shared" si="6"/>
        <v>3.4</v>
      </c>
      <c r="J1602" s="2"/>
      <c r="K1602" s="2"/>
      <c r="L1602" s="2"/>
      <c r="M1602" s="2"/>
      <c r="N1602" s="2"/>
      <c r="O1602" s="2"/>
      <c r="P1602" s="2"/>
      <c r="Q1602" s="2"/>
      <c r="R1602" s="2"/>
      <c r="S1602" s="2"/>
    </row>
    <row r="1603" spans="1:19" x14ac:dyDescent="0.2">
      <c r="A1603" s="1">
        <v>489574</v>
      </c>
      <c r="B1603" s="1">
        <v>21232</v>
      </c>
      <c r="C1603" s="1" t="s">
        <v>11</v>
      </c>
      <c r="D1603" s="1">
        <v>4</v>
      </c>
      <c r="E1603" s="3">
        <v>40148.563194444447</v>
      </c>
      <c r="F1603" s="1">
        <v>1.25</v>
      </c>
      <c r="G1603" s="1">
        <v>13097</v>
      </c>
      <c r="H1603" s="1" t="s">
        <v>10</v>
      </c>
      <c r="I1603" s="1">
        <f t="shared" si="6"/>
        <v>5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</row>
    <row r="1604" spans="1:19" x14ac:dyDescent="0.2">
      <c r="A1604" s="1">
        <v>489574</v>
      </c>
      <c r="B1604" s="1">
        <v>21893</v>
      </c>
      <c r="C1604" s="1" t="s">
        <v>1079</v>
      </c>
      <c r="D1604" s="1">
        <v>3</v>
      </c>
      <c r="E1604" s="3">
        <v>40148.563194444447</v>
      </c>
      <c r="F1604" s="1">
        <v>4.25</v>
      </c>
      <c r="G1604" s="1">
        <v>13097</v>
      </c>
      <c r="H1604" s="1" t="s">
        <v>10</v>
      </c>
      <c r="I1604" s="1">
        <f t="shared" si="6"/>
        <v>12.75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</row>
    <row r="1605" spans="1:19" x14ac:dyDescent="0.2">
      <c r="A1605" s="1">
        <v>489574</v>
      </c>
      <c r="B1605" s="1">
        <v>22093</v>
      </c>
      <c r="C1605" s="1" t="s">
        <v>1080</v>
      </c>
      <c r="D1605" s="1">
        <v>3</v>
      </c>
      <c r="E1605" s="3">
        <v>40148.563194444447</v>
      </c>
      <c r="F1605" s="1">
        <v>1.25</v>
      </c>
      <c r="G1605" s="1">
        <v>13097</v>
      </c>
      <c r="H1605" s="1" t="s">
        <v>10</v>
      </c>
      <c r="I1605" s="1">
        <f t="shared" si="6"/>
        <v>3.75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</row>
    <row r="1606" spans="1:19" x14ac:dyDescent="0.2">
      <c r="A1606" s="1">
        <v>489574</v>
      </c>
      <c r="B1606" s="1">
        <v>21741</v>
      </c>
      <c r="C1606" s="1" t="s">
        <v>1001</v>
      </c>
      <c r="D1606" s="1">
        <v>3</v>
      </c>
      <c r="E1606" s="3">
        <v>40148.563194444447</v>
      </c>
      <c r="F1606" s="1">
        <v>2.95</v>
      </c>
      <c r="G1606" s="1">
        <v>13097</v>
      </c>
      <c r="H1606" s="1" t="s">
        <v>10</v>
      </c>
      <c r="I1606" s="1">
        <f t="shared" si="6"/>
        <v>8.8500000000000014</v>
      </c>
      <c r="J1606" s="2"/>
      <c r="K1606" s="2"/>
      <c r="L1606" s="2"/>
      <c r="M1606" s="2"/>
      <c r="N1606" s="2"/>
      <c r="O1606" s="2"/>
      <c r="P1606" s="2"/>
      <c r="Q1606" s="2"/>
      <c r="R1606" s="2"/>
      <c r="S1606" s="2"/>
    </row>
    <row r="1607" spans="1:19" x14ac:dyDescent="0.2">
      <c r="A1607" s="1">
        <v>489574</v>
      </c>
      <c r="B1607" s="1">
        <v>21740</v>
      </c>
      <c r="C1607" s="1" t="s">
        <v>870</v>
      </c>
      <c r="D1607" s="1">
        <v>3</v>
      </c>
      <c r="E1607" s="3">
        <v>40148.563194444447</v>
      </c>
      <c r="F1607" s="1">
        <v>2.95</v>
      </c>
      <c r="G1607" s="1">
        <v>13097</v>
      </c>
      <c r="H1607" s="1" t="s">
        <v>10</v>
      </c>
      <c r="I1607" s="1">
        <f t="shared" si="6"/>
        <v>8.8500000000000014</v>
      </c>
      <c r="J1607" s="2"/>
      <c r="K1607" s="2"/>
      <c r="L1607" s="2"/>
      <c r="M1607" s="2"/>
      <c r="N1607" s="2"/>
      <c r="O1607" s="2"/>
      <c r="P1607" s="2"/>
      <c r="Q1607" s="2"/>
      <c r="R1607" s="2"/>
      <c r="S1607" s="2"/>
    </row>
    <row r="1608" spans="1:19" x14ac:dyDescent="0.2">
      <c r="A1608" s="1">
        <v>489574</v>
      </c>
      <c r="B1608" s="1">
        <v>35924</v>
      </c>
      <c r="C1608" s="1" t="s">
        <v>1081</v>
      </c>
      <c r="D1608" s="1">
        <v>3</v>
      </c>
      <c r="E1608" s="3">
        <v>40148.563194444447</v>
      </c>
      <c r="F1608" s="1">
        <v>2.1</v>
      </c>
      <c r="G1608" s="1">
        <v>13097</v>
      </c>
      <c r="H1608" s="1" t="s">
        <v>10</v>
      </c>
      <c r="I1608" s="1">
        <f t="shared" si="6"/>
        <v>6.3000000000000007</v>
      </c>
      <c r="J1608" s="2"/>
      <c r="K1608" s="2"/>
      <c r="L1608" s="2"/>
      <c r="M1608" s="2"/>
      <c r="N1608" s="2"/>
      <c r="O1608" s="2"/>
      <c r="P1608" s="2"/>
      <c r="Q1608" s="2"/>
      <c r="R1608" s="2"/>
      <c r="S1608" s="2"/>
    </row>
    <row r="1609" spans="1:19" x14ac:dyDescent="0.2">
      <c r="A1609" s="1">
        <v>489574</v>
      </c>
      <c r="B1609" s="1">
        <v>21534</v>
      </c>
      <c r="C1609" s="1" t="s">
        <v>631</v>
      </c>
      <c r="D1609" s="1">
        <v>3</v>
      </c>
      <c r="E1609" s="3">
        <v>40148.563194444447</v>
      </c>
      <c r="F1609" s="1">
        <v>4.95</v>
      </c>
      <c r="G1609" s="1">
        <v>13097</v>
      </c>
      <c r="H1609" s="1" t="s">
        <v>10</v>
      </c>
      <c r="I1609" s="1">
        <f t="shared" si="6"/>
        <v>14.850000000000001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</row>
    <row r="1610" spans="1:19" x14ac:dyDescent="0.2">
      <c r="A1610" s="1">
        <v>489574</v>
      </c>
      <c r="B1610" s="1">
        <v>21482</v>
      </c>
      <c r="C1610" s="1" t="s">
        <v>301</v>
      </c>
      <c r="D1610" s="1">
        <v>3</v>
      </c>
      <c r="E1610" s="3">
        <v>40148.563194444447</v>
      </c>
      <c r="F1610" s="1">
        <v>2.95</v>
      </c>
      <c r="G1610" s="1">
        <v>13097</v>
      </c>
      <c r="H1610" s="1" t="s">
        <v>10</v>
      </c>
      <c r="I1610" s="1">
        <f t="shared" si="6"/>
        <v>8.8500000000000014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</row>
    <row r="1611" spans="1:19" x14ac:dyDescent="0.2">
      <c r="A1611" s="1">
        <v>489574</v>
      </c>
      <c r="B1611" s="1">
        <v>21098</v>
      </c>
      <c r="C1611" s="1" t="s">
        <v>894</v>
      </c>
      <c r="D1611" s="1">
        <v>3</v>
      </c>
      <c r="E1611" s="3">
        <v>40148.563194444447</v>
      </c>
      <c r="F1611" s="1">
        <v>1.25</v>
      </c>
      <c r="G1611" s="1">
        <v>13097</v>
      </c>
      <c r="H1611" s="1" t="s">
        <v>10</v>
      </c>
      <c r="I1611" s="1">
        <f t="shared" si="6"/>
        <v>3.75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</row>
    <row r="1612" spans="1:19" x14ac:dyDescent="0.2">
      <c r="A1612" s="1">
        <v>489574</v>
      </c>
      <c r="B1612" s="1">
        <v>21888</v>
      </c>
      <c r="C1612" s="1" t="s">
        <v>141</v>
      </c>
      <c r="D1612" s="1">
        <v>3</v>
      </c>
      <c r="E1612" s="3">
        <v>40148.563194444447</v>
      </c>
      <c r="F1612" s="1">
        <v>3.75</v>
      </c>
      <c r="G1612" s="1">
        <v>13097</v>
      </c>
      <c r="H1612" s="1" t="s">
        <v>10</v>
      </c>
      <c r="I1612" s="1">
        <f t="shared" si="6"/>
        <v>11.25</v>
      </c>
      <c r="J1612" s="2"/>
      <c r="K1612" s="2"/>
      <c r="L1612" s="2"/>
      <c r="M1612" s="2"/>
      <c r="N1612" s="2"/>
      <c r="O1612" s="2"/>
      <c r="P1612" s="2"/>
      <c r="Q1612" s="2"/>
      <c r="R1612" s="2"/>
      <c r="S1612" s="2"/>
    </row>
    <row r="1613" spans="1:19" x14ac:dyDescent="0.2">
      <c r="A1613" s="1">
        <v>489574</v>
      </c>
      <c r="B1613" s="1">
        <v>21913</v>
      </c>
      <c r="C1613" s="1" t="s">
        <v>365</v>
      </c>
      <c r="D1613" s="1">
        <v>3</v>
      </c>
      <c r="E1613" s="3">
        <v>40148.563194444447</v>
      </c>
      <c r="F1613" s="1">
        <v>3.75</v>
      </c>
      <c r="G1613" s="1">
        <v>13097</v>
      </c>
      <c r="H1613" s="1" t="s">
        <v>10</v>
      </c>
      <c r="I1613" s="1">
        <f t="shared" si="6"/>
        <v>11.25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</row>
    <row r="1614" spans="1:19" x14ac:dyDescent="0.2">
      <c r="A1614" s="1">
        <v>489574</v>
      </c>
      <c r="B1614" s="1">
        <v>21912</v>
      </c>
      <c r="C1614" s="1" t="s">
        <v>62</v>
      </c>
      <c r="D1614" s="1">
        <v>3</v>
      </c>
      <c r="E1614" s="3">
        <v>40148.563194444447</v>
      </c>
      <c r="F1614" s="1">
        <v>3.75</v>
      </c>
      <c r="G1614" s="1">
        <v>13097</v>
      </c>
      <c r="H1614" s="1" t="s">
        <v>10</v>
      </c>
      <c r="I1614" s="1">
        <f t="shared" si="6"/>
        <v>11.25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</row>
    <row r="1615" spans="1:19" x14ac:dyDescent="0.2">
      <c r="A1615" s="1">
        <v>489574</v>
      </c>
      <c r="B1615" s="1">
        <v>21524</v>
      </c>
      <c r="C1615" s="1" t="s">
        <v>1043</v>
      </c>
      <c r="D1615" s="1">
        <v>2</v>
      </c>
      <c r="E1615" s="3">
        <v>40148.563194444447</v>
      </c>
      <c r="F1615" s="1">
        <v>6.75</v>
      </c>
      <c r="G1615" s="1">
        <v>13097</v>
      </c>
      <c r="H1615" s="1" t="s">
        <v>10</v>
      </c>
      <c r="I1615" s="1">
        <f t="shared" si="6"/>
        <v>13.5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</row>
    <row r="1616" spans="1:19" x14ac:dyDescent="0.2">
      <c r="A1616" s="1">
        <v>489574</v>
      </c>
      <c r="B1616" s="1" t="s">
        <v>117</v>
      </c>
      <c r="C1616" s="1" t="s">
        <v>118</v>
      </c>
      <c r="D1616" s="1">
        <v>2</v>
      </c>
      <c r="E1616" s="3">
        <v>40148.563194444447</v>
      </c>
      <c r="F1616" s="1">
        <v>5.95</v>
      </c>
      <c r="G1616" s="1">
        <v>13097</v>
      </c>
      <c r="H1616" s="1" t="s">
        <v>10</v>
      </c>
      <c r="I1616" s="1">
        <f t="shared" si="6"/>
        <v>11.9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</row>
    <row r="1617" spans="1:19" x14ac:dyDescent="0.2">
      <c r="A1617" s="1">
        <v>489574</v>
      </c>
      <c r="B1617" s="1" t="s">
        <v>404</v>
      </c>
      <c r="C1617" s="1" t="s">
        <v>405</v>
      </c>
      <c r="D1617" s="1">
        <v>2</v>
      </c>
      <c r="E1617" s="3">
        <v>40148.563194444447</v>
      </c>
      <c r="F1617" s="1">
        <v>5.95</v>
      </c>
      <c r="G1617" s="1">
        <v>13097</v>
      </c>
      <c r="H1617" s="1" t="s">
        <v>10</v>
      </c>
      <c r="I1617" s="1">
        <f t="shared" si="6"/>
        <v>11.9</v>
      </c>
      <c r="J1617" s="2"/>
      <c r="K1617" s="2"/>
      <c r="L1617" s="2"/>
      <c r="M1617" s="2"/>
      <c r="N1617" s="2"/>
      <c r="O1617" s="2"/>
      <c r="P1617" s="2"/>
      <c r="Q1617" s="2"/>
      <c r="R1617" s="2"/>
      <c r="S1617" s="2"/>
    </row>
    <row r="1618" spans="1:19" x14ac:dyDescent="0.2">
      <c r="A1618" s="1">
        <v>489574</v>
      </c>
      <c r="B1618" s="1" t="s">
        <v>402</v>
      </c>
      <c r="C1618" s="1" t="s">
        <v>403</v>
      </c>
      <c r="D1618" s="1">
        <v>2</v>
      </c>
      <c r="E1618" s="3">
        <v>40148.563194444447</v>
      </c>
      <c r="F1618" s="1">
        <v>5.95</v>
      </c>
      <c r="G1618" s="1">
        <v>13097</v>
      </c>
      <c r="H1618" s="1" t="s">
        <v>10</v>
      </c>
      <c r="I1618" s="1">
        <f t="shared" si="6"/>
        <v>11.9</v>
      </c>
      <c r="J1618" s="2"/>
      <c r="K1618" s="2"/>
      <c r="L1618" s="2"/>
      <c r="M1618" s="2"/>
      <c r="N1618" s="2"/>
      <c r="O1618" s="2"/>
      <c r="P1618" s="2"/>
      <c r="Q1618" s="2"/>
      <c r="R1618" s="2"/>
      <c r="S1618" s="2"/>
    </row>
    <row r="1619" spans="1:19" x14ac:dyDescent="0.2">
      <c r="A1619" s="1">
        <v>489574</v>
      </c>
      <c r="B1619" s="1" t="s">
        <v>115</v>
      </c>
      <c r="C1619" s="1" t="s">
        <v>116</v>
      </c>
      <c r="D1619" s="1">
        <v>2</v>
      </c>
      <c r="E1619" s="3">
        <v>40148.563194444447</v>
      </c>
      <c r="F1619" s="1">
        <v>5.95</v>
      </c>
      <c r="G1619" s="1">
        <v>13097</v>
      </c>
      <c r="H1619" s="1" t="s">
        <v>10</v>
      </c>
      <c r="I1619" s="1">
        <f t="shared" si="6"/>
        <v>11.9</v>
      </c>
      <c r="J1619" s="2"/>
      <c r="K1619" s="2"/>
      <c r="L1619" s="2"/>
      <c r="M1619" s="2"/>
      <c r="N1619" s="2"/>
      <c r="O1619" s="2"/>
      <c r="P1619" s="2"/>
      <c r="Q1619" s="2"/>
      <c r="R1619" s="2"/>
      <c r="S1619" s="2"/>
    </row>
    <row r="1620" spans="1:19" x14ac:dyDescent="0.2">
      <c r="A1620" s="1">
        <v>489574</v>
      </c>
      <c r="B1620" s="1" t="s">
        <v>1082</v>
      </c>
      <c r="C1620" s="1" t="s">
        <v>1083</v>
      </c>
      <c r="D1620" s="1">
        <v>2</v>
      </c>
      <c r="E1620" s="3">
        <v>40148.563194444447</v>
      </c>
      <c r="F1620" s="1">
        <v>0.21</v>
      </c>
      <c r="G1620" s="1">
        <v>13097</v>
      </c>
      <c r="H1620" s="1" t="s">
        <v>10</v>
      </c>
      <c r="I1620" s="1">
        <f t="shared" si="6"/>
        <v>0.42</v>
      </c>
      <c r="J1620" s="2"/>
      <c r="K1620" s="2"/>
      <c r="L1620" s="2"/>
      <c r="M1620" s="2"/>
      <c r="N1620" s="2"/>
      <c r="O1620" s="2"/>
      <c r="P1620" s="2"/>
      <c r="Q1620" s="2"/>
      <c r="R1620" s="2"/>
      <c r="S1620" s="2"/>
    </row>
    <row r="1621" spans="1:19" x14ac:dyDescent="0.2">
      <c r="A1621" s="1">
        <v>489574</v>
      </c>
      <c r="B1621" s="1">
        <v>71279</v>
      </c>
      <c r="C1621" s="1" t="s">
        <v>1084</v>
      </c>
      <c r="D1621" s="1">
        <v>2</v>
      </c>
      <c r="E1621" s="3">
        <v>40148.563194444447</v>
      </c>
      <c r="F1621" s="1">
        <v>2.95</v>
      </c>
      <c r="G1621" s="1">
        <v>13097</v>
      </c>
      <c r="H1621" s="1" t="s">
        <v>10</v>
      </c>
      <c r="I1621" s="1">
        <f t="shared" si="6"/>
        <v>5.9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</row>
    <row r="1622" spans="1:19" x14ac:dyDescent="0.2">
      <c r="A1622" s="1">
        <v>489574</v>
      </c>
      <c r="B1622" s="1">
        <v>21417</v>
      </c>
      <c r="C1622" s="1" t="s">
        <v>1085</v>
      </c>
      <c r="D1622" s="1">
        <v>2</v>
      </c>
      <c r="E1622" s="3">
        <v>40148.563194444447</v>
      </c>
      <c r="F1622" s="1">
        <v>2.1</v>
      </c>
      <c r="G1622" s="1">
        <v>13097</v>
      </c>
      <c r="H1622" s="1" t="s">
        <v>10</v>
      </c>
      <c r="I1622" s="1">
        <f t="shared" si="6"/>
        <v>4.2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</row>
    <row r="1623" spans="1:19" x14ac:dyDescent="0.2">
      <c r="A1623" s="1">
        <v>489574</v>
      </c>
      <c r="B1623" s="1">
        <v>22125</v>
      </c>
      <c r="C1623" s="1" t="s">
        <v>181</v>
      </c>
      <c r="D1623" s="1">
        <v>2</v>
      </c>
      <c r="E1623" s="3">
        <v>40148.563194444447</v>
      </c>
      <c r="F1623" s="1">
        <v>5.95</v>
      </c>
      <c r="G1623" s="1">
        <v>13097</v>
      </c>
      <c r="H1623" s="1" t="s">
        <v>10</v>
      </c>
      <c r="I1623" s="1">
        <f t="shared" si="6"/>
        <v>11.9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2"/>
    </row>
    <row r="1624" spans="1:19" x14ac:dyDescent="0.2">
      <c r="A1624" s="1">
        <v>489574</v>
      </c>
      <c r="B1624" s="1">
        <v>82567</v>
      </c>
      <c r="C1624" s="1" t="s">
        <v>352</v>
      </c>
      <c r="D1624" s="1">
        <v>2</v>
      </c>
      <c r="E1624" s="3">
        <v>40148.563194444447</v>
      </c>
      <c r="F1624" s="1">
        <v>2.1</v>
      </c>
      <c r="G1624" s="1">
        <v>13097</v>
      </c>
      <c r="H1624" s="1" t="s">
        <v>10</v>
      </c>
      <c r="I1624" s="1">
        <f t="shared" si="6"/>
        <v>4.2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</row>
    <row r="1625" spans="1:19" x14ac:dyDescent="0.2">
      <c r="A1625" s="1">
        <v>489574</v>
      </c>
      <c r="B1625" s="1">
        <v>22088</v>
      </c>
      <c r="C1625" s="1" t="s">
        <v>1086</v>
      </c>
      <c r="D1625" s="1">
        <v>2</v>
      </c>
      <c r="E1625" s="3">
        <v>40148.563194444447</v>
      </c>
      <c r="F1625" s="1">
        <v>2.95</v>
      </c>
      <c r="G1625" s="1">
        <v>13097</v>
      </c>
      <c r="H1625" s="1" t="s">
        <v>10</v>
      </c>
      <c r="I1625" s="1">
        <f t="shared" si="6"/>
        <v>5.9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</row>
    <row r="1626" spans="1:19" x14ac:dyDescent="0.2">
      <c r="A1626" s="1">
        <v>489574</v>
      </c>
      <c r="B1626" s="1">
        <v>22222</v>
      </c>
      <c r="C1626" s="1" t="s">
        <v>503</v>
      </c>
      <c r="D1626" s="1">
        <v>2</v>
      </c>
      <c r="E1626" s="3">
        <v>40148.563194444447</v>
      </c>
      <c r="F1626" s="1">
        <v>4.95</v>
      </c>
      <c r="G1626" s="1">
        <v>13097</v>
      </c>
      <c r="H1626" s="1" t="s">
        <v>10</v>
      </c>
      <c r="I1626" s="1">
        <f t="shared" si="6"/>
        <v>9.9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</row>
    <row r="1627" spans="1:19" x14ac:dyDescent="0.2">
      <c r="A1627" s="1">
        <v>489574</v>
      </c>
      <c r="B1627" s="1">
        <v>21481</v>
      </c>
      <c r="C1627" s="1" t="s">
        <v>279</v>
      </c>
      <c r="D1627" s="1">
        <v>2</v>
      </c>
      <c r="E1627" s="3">
        <v>40148.563194444447</v>
      </c>
      <c r="F1627" s="1">
        <v>2.95</v>
      </c>
      <c r="G1627" s="1">
        <v>13097</v>
      </c>
      <c r="H1627" s="1" t="s">
        <v>10</v>
      </c>
      <c r="I1627" s="1">
        <f t="shared" si="6"/>
        <v>5.9</v>
      </c>
      <c r="J1627" s="2"/>
      <c r="K1627" s="2"/>
      <c r="L1627" s="2"/>
      <c r="M1627" s="2"/>
      <c r="N1627" s="2"/>
      <c r="O1627" s="2"/>
      <c r="P1627" s="2"/>
      <c r="Q1627" s="2"/>
      <c r="R1627" s="2"/>
      <c r="S1627" s="2"/>
    </row>
    <row r="1628" spans="1:19" x14ac:dyDescent="0.2">
      <c r="A1628" s="1">
        <v>489574</v>
      </c>
      <c r="B1628" s="1" t="s">
        <v>436</v>
      </c>
      <c r="C1628" s="1" t="s">
        <v>437</v>
      </c>
      <c r="D1628" s="1">
        <v>2</v>
      </c>
      <c r="E1628" s="3">
        <v>40148.563194444447</v>
      </c>
      <c r="F1628" s="1">
        <v>4.95</v>
      </c>
      <c r="G1628" s="1">
        <v>13097</v>
      </c>
      <c r="H1628" s="1" t="s">
        <v>10</v>
      </c>
      <c r="I1628" s="1">
        <f t="shared" si="6"/>
        <v>9.9</v>
      </c>
      <c r="J1628" s="2"/>
      <c r="K1628" s="2"/>
      <c r="L1628" s="2"/>
      <c r="M1628" s="2"/>
      <c r="N1628" s="2"/>
      <c r="O1628" s="2"/>
      <c r="P1628" s="2"/>
      <c r="Q1628" s="2"/>
      <c r="R1628" s="2"/>
      <c r="S1628" s="2"/>
    </row>
    <row r="1629" spans="1:19" x14ac:dyDescent="0.2">
      <c r="A1629" s="1">
        <v>489574</v>
      </c>
      <c r="B1629" s="1">
        <v>22215</v>
      </c>
      <c r="C1629" s="1" t="s">
        <v>1087</v>
      </c>
      <c r="D1629" s="1">
        <v>2</v>
      </c>
      <c r="E1629" s="3">
        <v>40148.563194444447</v>
      </c>
      <c r="F1629" s="1">
        <v>8.5</v>
      </c>
      <c r="G1629" s="1">
        <v>13097</v>
      </c>
      <c r="H1629" s="1" t="s">
        <v>10</v>
      </c>
      <c r="I1629" s="1">
        <f t="shared" si="6"/>
        <v>17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</row>
    <row r="1630" spans="1:19" x14ac:dyDescent="0.2">
      <c r="A1630" s="1">
        <v>489574</v>
      </c>
      <c r="B1630" s="1">
        <v>21491</v>
      </c>
      <c r="C1630" s="1" t="s">
        <v>112</v>
      </c>
      <c r="D1630" s="1">
        <v>2</v>
      </c>
      <c r="E1630" s="3">
        <v>40148.563194444447</v>
      </c>
      <c r="F1630" s="1">
        <v>1.95</v>
      </c>
      <c r="G1630" s="1">
        <v>13097</v>
      </c>
      <c r="H1630" s="1" t="s">
        <v>10</v>
      </c>
      <c r="I1630" s="1">
        <f t="shared" si="6"/>
        <v>3.9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</row>
    <row r="1631" spans="1:19" x14ac:dyDescent="0.2">
      <c r="A1631" s="1">
        <v>489574</v>
      </c>
      <c r="B1631" s="1">
        <v>48187</v>
      </c>
      <c r="C1631" s="1" t="s">
        <v>439</v>
      </c>
      <c r="D1631" s="1">
        <v>1</v>
      </c>
      <c r="E1631" s="3">
        <v>40148.563194444447</v>
      </c>
      <c r="F1631" s="1">
        <v>6.75</v>
      </c>
      <c r="G1631" s="1">
        <v>13097</v>
      </c>
      <c r="H1631" s="1" t="s">
        <v>10</v>
      </c>
      <c r="I1631" s="1">
        <f t="shared" si="6"/>
        <v>6.75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</row>
    <row r="1632" spans="1:19" x14ac:dyDescent="0.2">
      <c r="A1632" s="1">
        <v>489574</v>
      </c>
      <c r="B1632" s="1">
        <v>48185</v>
      </c>
      <c r="C1632" s="1" t="s">
        <v>281</v>
      </c>
      <c r="D1632" s="1">
        <v>1</v>
      </c>
      <c r="E1632" s="3">
        <v>40148.563194444447</v>
      </c>
      <c r="F1632" s="1">
        <v>6.75</v>
      </c>
      <c r="G1632" s="1">
        <v>13097</v>
      </c>
      <c r="H1632" s="1" t="s">
        <v>10</v>
      </c>
      <c r="I1632" s="1">
        <f t="shared" si="6"/>
        <v>6.75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/>
    </row>
    <row r="1633" spans="1:19" x14ac:dyDescent="0.2">
      <c r="A1633" s="1">
        <v>489574</v>
      </c>
      <c r="B1633" s="1">
        <v>20940</v>
      </c>
      <c r="C1633" s="1" t="s">
        <v>1088</v>
      </c>
      <c r="D1633" s="1">
        <v>1</v>
      </c>
      <c r="E1633" s="3">
        <v>40148.563194444447</v>
      </c>
      <c r="F1633" s="1">
        <v>2.95</v>
      </c>
      <c r="G1633" s="1">
        <v>13097</v>
      </c>
      <c r="H1633" s="1" t="s">
        <v>10</v>
      </c>
      <c r="I1633" s="1">
        <f t="shared" si="6"/>
        <v>2.95</v>
      </c>
      <c r="J1633" s="2"/>
      <c r="K1633" s="2"/>
      <c r="L1633" s="2"/>
      <c r="M1633" s="2"/>
      <c r="N1633" s="2"/>
      <c r="O1633" s="2"/>
      <c r="P1633" s="2"/>
      <c r="Q1633" s="2"/>
      <c r="R1633" s="2"/>
      <c r="S1633" s="2"/>
    </row>
    <row r="1634" spans="1:19" x14ac:dyDescent="0.2">
      <c r="A1634" s="1">
        <v>489574</v>
      </c>
      <c r="B1634" s="1" t="s">
        <v>1089</v>
      </c>
      <c r="C1634" s="1" t="s">
        <v>1090</v>
      </c>
      <c r="D1634" s="1">
        <v>1</v>
      </c>
      <c r="E1634" s="3">
        <v>40148.563194444447</v>
      </c>
      <c r="F1634" s="1">
        <v>1.65</v>
      </c>
      <c r="G1634" s="1">
        <v>13097</v>
      </c>
      <c r="H1634" s="1" t="s">
        <v>10</v>
      </c>
      <c r="I1634" s="1">
        <f t="shared" si="6"/>
        <v>1.65</v>
      </c>
      <c r="J1634" s="2"/>
      <c r="K1634" s="2"/>
      <c r="L1634" s="2"/>
      <c r="M1634" s="2"/>
      <c r="N1634" s="2"/>
      <c r="O1634" s="2"/>
      <c r="P1634" s="2"/>
      <c r="Q1634" s="2"/>
      <c r="R1634" s="2"/>
      <c r="S1634" s="2"/>
    </row>
    <row r="1635" spans="1:19" x14ac:dyDescent="0.2">
      <c r="A1635" s="1">
        <v>489574</v>
      </c>
      <c r="B1635" s="1">
        <v>22088</v>
      </c>
      <c r="C1635" s="1" t="s">
        <v>1086</v>
      </c>
      <c r="D1635" s="1">
        <v>1</v>
      </c>
      <c r="E1635" s="3">
        <v>40148.563194444447</v>
      </c>
      <c r="F1635" s="1">
        <v>2.95</v>
      </c>
      <c r="G1635" s="1">
        <v>13097</v>
      </c>
      <c r="H1635" s="1" t="s">
        <v>10</v>
      </c>
      <c r="I1635" s="1">
        <f t="shared" si="6"/>
        <v>2.95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2"/>
    </row>
    <row r="1636" spans="1:19" x14ac:dyDescent="0.2">
      <c r="A1636" s="1">
        <v>489574</v>
      </c>
      <c r="B1636" s="1" t="s">
        <v>1091</v>
      </c>
      <c r="C1636" s="1" t="s">
        <v>1092</v>
      </c>
      <c r="D1636" s="1">
        <v>1</v>
      </c>
      <c r="E1636" s="3">
        <v>40148.563194444447</v>
      </c>
      <c r="F1636" s="1">
        <v>1.95</v>
      </c>
      <c r="G1636" s="1">
        <v>13097</v>
      </c>
      <c r="H1636" s="1" t="s">
        <v>10</v>
      </c>
      <c r="I1636" s="1">
        <f t="shared" si="6"/>
        <v>1.95</v>
      </c>
      <c r="J1636" s="2"/>
      <c r="K1636" s="2"/>
      <c r="L1636" s="2"/>
      <c r="M1636" s="2"/>
      <c r="N1636" s="2"/>
      <c r="O1636" s="2"/>
      <c r="P1636" s="2"/>
      <c r="Q1636" s="2"/>
      <c r="R1636" s="2"/>
      <c r="S1636" s="2"/>
    </row>
    <row r="1637" spans="1:19" x14ac:dyDescent="0.2">
      <c r="A1637" s="1">
        <v>489574</v>
      </c>
      <c r="B1637" s="1" t="s">
        <v>875</v>
      </c>
      <c r="C1637" s="1" t="s">
        <v>876</v>
      </c>
      <c r="D1637" s="1">
        <v>1</v>
      </c>
      <c r="E1637" s="3">
        <v>40148.563194444447</v>
      </c>
      <c r="F1637" s="1">
        <v>4.95</v>
      </c>
      <c r="G1637" s="1">
        <v>13097</v>
      </c>
      <c r="H1637" s="1" t="s">
        <v>10</v>
      </c>
      <c r="I1637" s="1">
        <f t="shared" si="6"/>
        <v>4.95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</row>
    <row r="1638" spans="1:19" x14ac:dyDescent="0.2">
      <c r="A1638" s="1">
        <v>489574</v>
      </c>
      <c r="B1638" s="1">
        <v>21548</v>
      </c>
      <c r="C1638" s="1" t="s">
        <v>1050</v>
      </c>
      <c r="D1638" s="1">
        <v>1</v>
      </c>
      <c r="E1638" s="3">
        <v>40148.563194444447</v>
      </c>
      <c r="F1638" s="1">
        <v>2.95</v>
      </c>
      <c r="G1638" s="1">
        <v>13097</v>
      </c>
      <c r="H1638" s="1" t="s">
        <v>10</v>
      </c>
      <c r="I1638" s="1">
        <f t="shared" si="6"/>
        <v>2.95</v>
      </c>
      <c r="J1638" s="2"/>
      <c r="K1638" s="2"/>
      <c r="L1638" s="2"/>
      <c r="M1638" s="2"/>
      <c r="N1638" s="2"/>
      <c r="O1638" s="2"/>
      <c r="P1638" s="2"/>
      <c r="Q1638" s="2"/>
      <c r="R1638" s="2"/>
      <c r="S1638" s="2"/>
    </row>
    <row r="1639" spans="1:19" x14ac:dyDescent="0.2">
      <c r="A1639" s="1">
        <v>489574</v>
      </c>
      <c r="B1639" s="1">
        <v>21547</v>
      </c>
      <c r="C1639" s="1" t="s">
        <v>1053</v>
      </c>
      <c r="D1639" s="1">
        <v>1</v>
      </c>
      <c r="E1639" s="3">
        <v>40148.563194444447</v>
      </c>
      <c r="F1639" s="1">
        <v>2.95</v>
      </c>
      <c r="G1639" s="1">
        <v>13097</v>
      </c>
      <c r="H1639" s="1" t="s">
        <v>10</v>
      </c>
      <c r="I1639" s="1">
        <f t="shared" si="6"/>
        <v>2.95</v>
      </c>
      <c r="J1639" s="2"/>
      <c r="K1639" s="2"/>
      <c r="L1639" s="2"/>
      <c r="M1639" s="2"/>
      <c r="N1639" s="2"/>
      <c r="O1639" s="2"/>
      <c r="P1639" s="2"/>
      <c r="Q1639" s="2"/>
      <c r="R1639" s="2"/>
      <c r="S1639" s="2"/>
    </row>
    <row r="1640" spans="1:19" x14ac:dyDescent="0.2">
      <c r="A1640" s="1">
        <v>489574</v>
      </c>
      <c r="B1640" s="1">
        <v>21553</v>
      </c>
      <c r="C1640" s="1" t="s">
        <v>1093</v>
      </c>
      <c r="D1640" s="1">
        <v>1</v>
      </c>
      <c r="E1640" s="3">
        <v>40148.563194444447</v>
      </c>
      <c r="F1640" s="1">
        <v>5.95</v>
      </c>
      <c r="G1640" s="1">
        <v>13097</v>
      </c>
      <c r="H1640" s="1" t="s">
        <v>10</v>
      </c>
      <c r="I1640" s="1">
        <f t="shared" si="6"/>
        <v>5.95</v>
      </c>
      <c r="J1640" s="2"/>
      <c r="K1640" s="2"/>
      <c r="L1640" s="2"/>
      <c r="M1640" s="2"/>
      <c r="N1640" s="2"/>
      <c r="O1640" s="2"/>
      <c r="P1640" s="2"/>
      <c r="Q1640" s="2"/>
      <c r="R1640" s="2"/>
      <c r="S1640" s="2"/>
    </row>
    <row r="1641" spans="1:19" x14ac:dyDescent="0.2">
      <c r="A1641" s="1">
        <v>489574</v>
      </c>
      <c r="B1641" s="1">
        <v>21554</v>
      </c>
      <c r="C1641" s="1" t="s">
        <v>1094</v>
      </c>
      <c r="D1641" s="1">
        <v>1</v>
      </c>
      <c r="E1641" s="3">
        <v>40148.563194444447</v>
      </c>
      <c r="F1641" s="1">
        <v>5.95</v>
      </c>
      <c r="G1641" s="1">
        <v>13097</v>
      </c>
      <c r="H1641" s="1" t="s">
        <v>10</v>
      </c>
      <c r="I1641" s="1">
        <f t="shared" si="6"/>
        <v>5.95</v>
      </c>
      <c r="J1641" s="2"/>
      <c r="K1641" s="2"/>
      <c r="L1641" s="2"/>
      <c r="M1641" s="2"/>
      <c r="N1641" s="2"/>
      <c r="O1641" s="2"/>
      <c r="P1641" s="2"/>
      <c r="Q1641" s="2"/>
      <c r="R1641" s="2"/>
      <c r="S1641" s="2"/>
    </row>
    <row r="1642" spans="1:19" x14ac:dyDescent="0.2">
      <c r="A1642" s="1">
        <v>489574</v>
      </c>
      <c r="B1642" s="1">
        <v>21231</v>
      </c>
      <c r="C1642" s="1" t="s">
        <v>293</v>
      </c>
      <c r="D1642" s="1">
        <v>1</v>
      </c>
      <c r="E1642" s="3">
        <v>40148.563194444447</v>
      </c>
      <c r="F1642" s="1">
        <v>1.25</v>
      </c>
      <c r="G1642" s="1">
        <v>13097</v>
      </c>
      <c r="H1642" s="1" t="s">
        <v>10</v>
      </c>
      <c r="I1642" s="1">
        <f t="shared" si="6"/>
        <v>1.25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</row>
    <row r="1643" spans="1:19" x14ac:dyDescent="0.2">
      <c r="A1643" s="1">
        <v>489575</v>
      </c>
      <c r="B1643" s="1">
        <v>35957</v>
      </c>
      <c r="C1643" s="1" t="s">
        <v>766</v>
      </c>
      <c r="D1643" s="1">
        <v>96</v>
      </c>
      <c r="E1643" s="3">
        <v>40148.567361111112</v>
      </c>
      <c r="F1643" s="1">
        <v>0.19</v>
      </c>
      <c r="G1643" s="1">
        <v>13590</v>
      </c>
      <c r="H1643" s="1" t="s">
        <v>10</v>
      </c>
      <c r="I1643" s="1">
        <f t="shared" si="6"/>
        <v>18.240000000000002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</row>
    <row r="1644" spans="1:19" x14ac:dyDescent="0.2">
      <c r="A1644" s="1">
        <v>489575</v>
      </c>
      <c r="B1644" s="1">
        <v>35951</v>
      </c>
      <c r="C1644" s="1" t="s">
        <v>155</v>
      </c>
      <c r="D1644" s="1">
        <v>48</v>
      </c>
      <c r="E1644" s="3">
        <v>40148.567361111112</v>
      </c>
      <c r="F1644" s="1">
        <v>0.38</v>
      </c>
      <c r="G1644" s="1">
        <v>13590</v>
      </c>
      <c r="H1644" s="1" t="s">
        <v>10</v>
      </c>
      <c r="I1644" s="1">
        <f t="shared" si="6"/>
        <v>18.240000000000002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</row>
    <row r="1645" spans="1:19" x14ac:dyDescent="0.2">
      <c r="A1645" s="1">
        <v>489575</v>
      </c>
      <c r="B1645" s="1">
        <v>84991</v>
      </c>
      <c r="C1645" s="1" t="s">
        <v>240</v>
      </c>
      <c r="D1645" s="1">
        <v>24</v>
      </c>
      <c r="E1645" s="3">
        <v>40148.567361111112</v>
      </c>
      <c r="F1645" s="1">
        <v>0.55000000000000004</v>
      </c>
      <c r="G1645" s="1">
        <v>13590</v>
      </c>
      <c r="H1645" s="1" t="s">
        <v>10</v>
      </c>
      <c r="I1645" s="1">
        <f t="shared" si="6"/>
        <v>13.200000000000001</v>
      </c>
      <c r="J1645" s="2"/>
      <c r="K1645" s="2"/>
      <c r="L1645" s="2"/>
      <c r="M1645" s="2"/>
      <c r="N1645" s="2"/>
      <c r="O1645" s="2"/>
      <c r="P1645" s="2"/>
      <c r="Q1645" s="2"/>
      <c r="R1645" s="2"/>
      <c r="S1645" s="2"/>
    </row>
    <row r="1646" spans="1:19" x14ac:dyDescent="0.2">
      <c r="A1646" s="1">
        <v>489575</v>
      </c>
      <c r="B1646" s="1">
        <v>21232</v>
      </c>
      <c r="C1646" s="1" t="s">
        <v>11</v>
      </c>
      <c r="D1646" s="1">
        <v>12</v>
      </c>
      <c r="E1646" s="3">
        <v>40148.567361111112</v>
      </c>
      <c r="F1646" s="1">
        <v>1.25</v>
      </c>
      <c r="G1646" s="1">
        <v>13590</v>
      </c>
      <c r="H1646" s="1" t="s">
        <v>10</v>
      </c>
      <c r="I1646" s="1">
        <f t="shared" si="6"/>
        <v>15</v>
      </c>
      <c r="J1646" s="2"/>
      <c r="K1646" s="2"/>
      <c r="L1646" s="2"/>
      <c r="M1646" s="2"/>
      <c r="N1646" s="2"/>
      <c r="O1646" s="2"/>
      <c r="P1646" s="2"/>
      <c r="Q1646" s="2"/>
      <c r="R1646" s="2"/>
      <c r="S1646" s="2"/>
    </row>
    <row r="1647" spans="1:19" x14ac:dyDescent="0.2">
      <c r="A1647" s="1">
        <v>489575</v>
      </c>
      <c r="B1647" s="1">
        <v>22069</v>
      </c>
      <c r="C1647" s="1" t="s">
        <v>1095</v>
      </c>
      <c r="D1647" s="1">
        <v>12</v>
      </c>
      <c r="E1647" s="3">
        <v>40148.567361111112</v>
      </c>
      <c r="F1647" s="1">
        <v>1.65</v>
      </c>
      <c r="G1647" s="1">
        <v>13590</v>
      </c>
      <c r="H1647" s="1" t="s">
        <v>10</v>
      </c>
      <c r="I1647" s="1">
        <f t="shared" si="6"/>
        <v>19.799999999999997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2"/>
    </row>
    <row r="1648" spans="1:19" x14ac:dyDescent="0.2">
      <c r="A1648" s="1">
        <v>489575</v>
      </c>
      <c r="B1648" s="1">
        <v>21098</v>
      </c>
      <c r="C1648" s="1" t="s">
        <v>894</v>
      </c>
      <c r="D1648" s="1">
        <v>12</v>
      </c>
      <c r="E1648" s="3">
        <v>40148.567361111112</v>
      </c>
      <c r="F1648" s="1">
        <v>1.25</v>
      </c>
      <c r="G1648" s="1">
        <v>13590</v>
      </c>
      <c r="H1648" s="1" t="s">
        <v>10</v>
      </c>
      <c r="I1648" s="1">
        <f t="shared" si="6"/>
        <v>15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2"/>
    </row>
    <row r="1649" spans="1:19" x14ac:dyDescent="0.2">
      <c r="A1649" s="1">
        <v>489575</v>
      </c>
      <c r="B1649" s="1">
        <v>22064</v>
      </c>
      <c r="C1649" s="1" t="s">
        <v>12</v>
      </c>
      <c r="D1649" s="1">
        <v>12</v>
      </c>
      <c r="E1649" s="3">
        <v>40148.567361111112</v>
      </c>
      <c r="F1649" s="1">
        <v>1.65</v>
      </c>
      <c r="G1649" s="1">
        <v>13590</v>
      </c>
      <c r="H1649" s="1" t="s">
        <v>10</v>
      </c>
      <c r="I1649" s="1">
        <f t="shared" si="6"/>
        <v>19.799999999999997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2"/>
    </row>
    <row r="1650" spans="1:19" x14ac:dyDescent="0.2">
      <c r="A1650" s="1">
        <v>489575</v>
      </c>
      <c r="B1650" s="1">
        <v>21731</v>
      </c>
      <c r="C1650" s="1" t="s">
        <v>103</v>
      </c>
      <c r="D1650" s="1">
        <v>12</v>
      </c>
      <c r="E1650" s="3">
        <v>40148.567361111112</v>
      </c>
      <c r="F1650" s="1">
        <v>1.65</v>
      </c>
      <c r="G1650" s="1">
        <v>13590</v>
      </c>
      <c r="H1650" s="1" t="s">
        <v>10</v>
      </c>
      <c r="I1650" s="1">
        <f t="shared" si="6"/>
        <v>19.799999999999997</v>
      </c>
      <c r="J1650" s="2"/>
      <c r="K1650" s="2"/>
      <c r="L1650" s="2"/>
      <c r="M1650" s="2"/>
      <c r="N1650" s="2"/>
      <c r="O1650" s="2"/>
      <c r="P1650" s="2"/>
      <c r="Q1650" s="2"/>
      <c r="R1650" s="2"/>
      <c r="S1650" s="2"/>
    </row>
    <row r="1651" spans="1:19" x14ac:dyDescent="0.2">
      <c r="A1651" s="1">
        <v>489575</v>
      </c>
      <c r="B1651" s="1" t="s">
        <v>325</v>
      </c>
      <c r="C1651" s="1" t="s">
        <v>326</v>
      </c>
      <c r="D1651" s="1">
        <v>8</v>
      </c>
      <c r="E1651" s="3">
        <v>40148.567361111112</v>
      </c>
      <c r="F1651" s="1">
        <v>1.95</v>
      </c>
      <c r="G1651" s="1">
        <v>13590</v>
      </c>
      <c r="H1651" s="1" t="s">
        <v>10</v>
      </c>
      <c r="I1651" s="1">
        <f t="shared" si="6"/>
        <v>15.6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</row>
    <row r="1652" spans="1:19" x14ac:dyDescent="0.2">
      <c r="A1652" s="1">
        <v>489575</v>
      </c>
      <c r="B1652" s="1" t="s">
        <v>1096</v>
      </c>
      <c r="C1652" s="1" t="s">
        <v>1097</v>
      </c>
      <c r="D1652" s="1">
        <v>8</v>
      </c>
      <c r="E1652" s="3">
        <v>40148.567361111112</v>
      </c>
      <c r="F1652" s="1">
        <v>1.95</v>
      </c>
      <c r="G1652" s="1">
        <v>13590</v>
      </c>
      <c r="H1652" s="1" t="s">
        <v>10</v>
      </c>
      <c r="I1652" s="1">
        <f t="shared" si="6"/>
        <v>15.6</v>
      </c>
      <c r="J1652" s="2"/>
      <c r="K1652" s="2"/>
      <c r="L1652" s="2"/>
      <c r="M1652" s="2"/>
      <c r="N1652" s="2"/>
      <c r="O1652" s="2"/>
      <c r="P1652" s="2"/>
      <c r="Q1652" s="2"/>
      <c r="R1652" s="2"/>
      <c r="S1652" s="2"/>
    </row>
    <row r="1653" spans="1:19" x14ac:dyDescent="0.2">
      <c r="A1653" s="1">
        <v>489575</v>
      </c>
      <c r="B1653" s="1">
        <v>85150</v>
      </c>
      <c r="C1653" s="1" t="s">
        <v>151</v>
      </c>
      <c r="D1653" s="1">
        <v>6</v>
      </c>
      <c r="E1653" s="3">
        <v>40148.567361111112</v>
      </c>
      <c r="F1653" s="1">
        <v>2.5499999999999998</v>
      </c>
      <c r="G1653" s="1">
        <v>13590</v>
      </c>
      <c r="H1653" s="1" t="s">
        <v>10</v>
      </c>
      <c r="I1653" s="1">
        <f t="shared" si="6"/>
        <v>15.299999999999999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</row>
    <row r="1654" spans="1:19" x14ac:dyDescent="0.2">
      <c r="A1654" s="1">
        <v>489575</v>
      </c>
      <c r="B1654" s="1" t="s">
        <v>335</v>
      </c>
      <c r="C1654" s="1" t="s">
        <v>336</v>
      </c>
      <c r="D1654" s="1">
        <v>6</v>
      </c>
      <c r="E1654" s="3">
        <v>40148.567361111112</v>
      </c>
      <c r="F1654" s="1">
        <v>3.75</v>
      </c>
      <c r="G1654" s="1">
        <v>13590</v>
      </c>
      <c r="H1654" s="1" t="s">
        <v>10</v>
      </c>
      <c r="I1654" s="1">
        <f t="shared" si="6"/>
        <v>22.5</v>
      </c>
      <c r="J1654" s="2"/>
      <c r="K1654" s="2"/>
      <c r="L1654" s="2"/>
      <c r="M1654" s="2"/>
      <c r="N1654" s="2"/>
      <c r="O1654" s="2"/>
      <c r="P1654" s="2"/>
      <c r="Q1654" s="2"/>
      <c r="R1654" s="2"/>
      <c r="S1654" s="2"/>
    </row>
    <row r="1655" spans="1:19" x14ac:dyDescent="0.2">
      <c r="A1655" s="1">
        <v>489575</v>
      </c>
      <c r="B1655" s="1" t="s">
        <v>356</v>
      </c>
      <c r="C1655" s="1" t="s">
        <v>357</v>
      </c>
      <c r="D1655" s="1">
        <v>6</v>
      </c>
      <c r="E1655" s="3">
        <v>40148.567361111112</v>
      </c>
      <c r="F1655" s="1">
        <v>3.75</v>
      </c>
      <c r="G1655" s="1">
        <v>13590</v>
      </c>
      <c r="H1655" s="1" t="s">
        <v>10</v>
      </c>
      <c r="I1655" s="1">
        <f t="shared" si="6"/>
        <v>22.5</v>
      </c>
      <c r="J1655" s="2"/>
      <c r="K1655" s="2"/>
      <c r="L1655" s="2"/>
      <c r="M1655" s="2"/>
      <c r="N1655" s="2"/>
      <c r="O1655" s="2"/>
      <c r="P1655" s="2"/>
      <c r="Q1655" s="2"/>
      <c r="R1655" s="2"/>
      <c r="S1655" s="2"/>
    </row>
    <row r="1656" spans="1:19" x14ac:dyDescent="0.2">
      <c r="A1656" s="1">
        <v>489575</v>
      </c>
      <c r="B1656" s="1">
        <v>21175</v>
      </c>
      <c r="C1656" s="1" t="s">
        <v>487</v>
      </c>
      <c r="D1656" s="1">
        <v>6</v>
      </c>
      <c r="E1656" s="3">
        <v>40148.567361111112</v>
      </c>
      <c r="F1656" s="1">
        <v>2.1</v>
      </c>
      <c r="G1656" s="1">
        <v>13590</v>
      </c>
      <c r="H1656" s="1" t="s">
        <v>10</v>
      </c>
      <c r="I1656" s="1">
        <f t="shared" si="6"/>
        <v>12.600000000000001</v>
      </c>
      <c r="J1656" s="2"/>
      <c r="K1656" s="2"/>
      <c r="L1656" s="2"/>
      <c r="M1656" s="2"/>
      <c r="N1656" s="2"/>
      <c r="O1656" s="2"/>
      <c r="P1656" s="2"/>
      <c r="Q1656" s="2"/>
      <c r="R1656" s="2"/>
      <c r="S1656" s="2"/>
    </row>
    <row r="1657" spans="1:19" x14ac:dyDescent="0.2">
      <c r="A1657" s="1">
        <v>489575</v>
      </c>
      <c r="B1657" s="1">
        <v>21743</v>
      </c>
      <c r="C1657" s="1" t="s">
        <v>1098</v>
      </c>
      <c r="D1657" s="1">
        <v>6</v>
      </c>
      <c r="E1657" s="3">
        <v>40148.567361111112</v>
      </c>
      <c r="F1657" s="1">
        <v>2.95</v>
      </c>
      <c r="G1657" s="1">
        <v>13590</v>
      </c>
      <c r="H1657" s="1" t="s">
        <v>10</v>
      </c>
      <c r="I1657" s="1">
        <f t="shared" si="6"/>
        <v>17.700000000000003</v>
      </c>
      <c r="J1657" s="2"/>
      <c r="K1657" s="2"/>
      <c r="L1657" s="2"/>
      <c r="M1657" s="2"/>
      <c r="N1657" s="2"/>
      <c r="O1657" s="2"/>
      <c r="P1657" s="2"/>
      <c r="Q1657" s="2"/>
      <c r="R1657" s="2"/>
      <c r="S1657" s="2"/>
    </row>
    <row r="1658" spans="1:19" x14ac:dyDescent="0.2">
      <c r="A1658" s="1">
        <v>489575</v>
      </c>
      <c r="B1658" s="1">
        <v>21744</v>
      </c>
      <c r="C1658" s="1" t="s">
        <v>1099</v>
      </c>
      <c r="D1658" s="1">
        <v>6</v>
      </c>
      <c r="E1658" s="3">
        <v>40148.567361111112</v>
      </c>
      <c r="F1658" s="1">
        <v>2.95</v>
      </c>
      <c r="G1658" s="1">
        <v>13590</v>
      </c>
      <c r="H1658" s="1" t="s">
        <v>10</v>
      </c>
      <c r="I1658" s="1">
        <f t="shared" si="6"/>
        <v>17.700000000000003</v>
      </c>
      <c r="J1658" s="2"/>
      <c r="K1658" s="2"/>
      <c r="L1658" s="2"/>
      <c r="M1658" s="2"/>
      <c r="N1658" s="2"/>
      <c r="O1658" s="2"/>
      <c r="P1658" s="2"/>
      <c r="Q1658" s="2"/>
      <c r="R1658" s="2"/>
      <c r="S1658" s="2"/>
    </row>
    <row r="1659" spans="1:19" x14ac:dyDescent="0.2">
      <c r="A1659" s="1">
        <v>489575</v>
      </c>
      <c r="B1659" s="1">
        <v>21482</v>
      </c>
      <c r="C1659" s="1" t="s">
        <v>301</v>
      </c>
      <c r="D1659" s="1">
        <v>6</v>
      </c>
      <c r="E1659" s="3">
        <v>40148.567361111112</v>
      </c>
      <c r="F1659" s="1">
        <v>2.95</v>
      </c>
      <c r="G1659" s="1">
        <v>13590</v>
      </c>
      <c r="H1659" s="1" t="s">
        <v>10</v>
      </c>
      <c r="I1659" s="1">
        <f t="shared" si="6"/>
        <v>17.700000000000003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</row>
    <row r="1660" spans="1:19" x14ac:dyDescent="0.2">
      <c r="A1660" s="1">
        <v>489575</v>
      </c>
      <c r="B1660" s="1">
        <v>21481</v>
      </c>
      <c r="C1660" s="1" t="s">
        <v>279</v>
      </c>
      <c r="D1660" s="1">
        <v>6</v>
      </c>
      <c r="E1660" s="3">
        <v>40148.567361111112</v>
      </c>
      <c r="F1660" s="1">
        <v>2.95</v>
      </c>
      <c r="G1660" s="1">
        <v>13590</v>
      </c>
      <c r="H1660" s="1" t="s">
        <v>10</v>
      </c>
      <c r="I1660" s="1">
        <f t="shared" si="6"/>
        <v>17.700000000000003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</row>
    <row r="1661" spans="1:19" x14ac:dyDescent="0.2">
      <c r="A1661" s="1">
        <v>489575</v>
      </c>
      <c r="B1661" s="1">
        <v>22138</v>
      </c>
      <c r="C1661" s="1" t="s">
        <v>109</v>
      </c>
      <c r="D1661" s="1">
        <v>3</v>
      </c>
      <c r="E1661" s="3">
        <v>40148.567361111112</v>
      </c>
      <c r="F1661" s="1">
        <v>4.95</v>
      </c>
      <c r="G1661" s="1">
        <v>13590</v>
      </c>
      <c r="H1661" s="1" t="s">
        <v>10</v>
      </c>
      <c r="I1661" s="1">
        <f t="shared" si="6"/>
        <v>14.850000000000001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</row>
    <row r="1662" spans="1:19" x14ac:dyDescent="0.2">
      <c r="A1662" s="1">
        <v>489575</v>
      </c>
      <c r="B1662" s="1">
        <v>48111</v>
      </c>
      <c r="C1662" s="1" t="s">
        <v>504</v>
      </c>
      <c r="D1662" s="1">
        <v>2</v>
      </c>
      <c r="E1662" s="3">
        <v>40148.567361111112</v>
      </c>
      <c r="F1662" s="1">
        <v>6.75</v>
      </c>
      <c r="G1662" s="1">
        <v>13590</v>
      </c>
      <c r="H1662" s="1" t="s">
        <v>10</v>
      </c>
      <c r="I1662" s="1">
        <f t="shared" si="6"/>
        <v>13.5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</row>
    <row r="1663" spans="1:19" x14ac:dyDescent="0.2">
      <c r="A1663" s="1">
        <v>489575</v>
      </c>
      <c r="B1663" s="1">
        <v>22215</v>
      </c>
      <c r="C1663" s="1" t="s">
        <v>1087</v>
      </c>
      <c r="D1663" s="1">
        <v>2</v>
      </c>
      <c r="E1663" s="3">
        <v>40148.567361111112</v>
      </c>
      <c r="F1663" s="1">
        <v>8.5</v>
      </c>
      <c r="G1663" s="1">
        <v>13590</v>
      </c>
      <c r="H1663" s="1" t="s">
        <v>10</v>
      </c>
      <c r="I1663" s="1">
        <f t="shared" si="6"/>
        <v>17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2"/>
    </row>
    <row r="1664" spans="1:19" x14ac:dyDescent="0.2">
      <c r="A1664" s="1">
        <v>489575</v>
      </c>
      <c r="B1664" s="1">
        <v>22415</v>
      </c>
      <c r="C1664" s="1" t="s">
        <v>895</v>
      </c>
      <c r="D1664" s="1">
        <v>1</v>
      </c>
      <c r="E1664" s="3">
        <v>40148.567361111112</v>
      </c>
      <c r="F1664" s="1">
        <v>7.95</v>
      </c>
      <c r="G1664" s="1">
        <v>13590</v>
      </c>
      <c r="H1664" s="1" t="s">
        <v>10</v>
      </c>
      <c r="I1664" s="1">
        <f t="shared" si="6"/>
        <v>7.95</v>
      </c>
      <c r="J1664" s="2"/>
      <c r="K1664" s="2"/>
      <c r="L1664" s="2"/>
      <c r="M1664" s="2"/>
      <c r="N1664" s="2"/>
      <c r="O1664" s="2"/>
      <c r="P1664" s="2"/>
      <c r="Q1664" s="2"/>
      <c r="R1664" s="2"/>
      <c r="S1664" s="2"/>
    </row>
    <row r="1665" spans="1:19" x14ac:dyDescent="0.2">
      <c r="A1665" s="1">
        <v>489576</v>
      </c>
      <c r="B1665" s="1">
        <v>22152</v>
      </c>
      <c r="C1665" s="1" t="s">
        <v>762</v>
      </c>
      <c r="D1665" s="1">
        <v>24</v>
      </c>
      <c r="E1665" s="3">
        <v>40148.568055555559</v>
      </c>
      <c r="F1665" s="1">
        <v>0.42</v>
      </c>
      <c r="G1665" s="1">
        <v>15984</v>
      </c>
      <c r="H1665" s="1" t="s">
        <v>10</v>
      </c>
      <c r="I1665" s="1">
        <f t="shared" si="6"/>
        <v>10.08</v>
      </c>
      <c r="J1665" s="2"/>
      <c r="K1665" s="2"/>
      <c r="L1665" s="2"/>
      <c r="M1665" s="2"/>
      <c r="N1665" s="2"/>
      <c r="O1665" s="2"/>
      <c r="P1665" s="2"/>
      <c r="Q1665" s="2"/>
      <c r="R1665" s="2"/>
      <c r="S1665" s="2"/>
    </row>
    <row r="1666" spans="1:19" x14ac:dyDescent="0.2">
      <c r="A1666" s="1">
        <v>489576</v>
      </c>
      <c r="B1666" s="1">
        <v>21385</v>
      </c>
      <c r="C1666" s="1" t="s">
        <v>1100</v>
      </c>
      <c r="D1666" s="1">
        <v>24</v>
      </c>
      <c r="E1666" s="3">
        <v>40148.568055555559</v>
      </c>
      <c r="F1666" s="1">
        <v>0.85</v>
      </c>
      <c r="G1666" s="1">
        <v>15984</v>
      </c>
      <c r="H1666" s="1" t="s">
        <v>10</v>
      </c>
      <c r="I1666" s="1">
        <f t="shared" si="6"/>
        <v>20.399999999999999</v>
      </c>
      <c r="J1666" s="2"/>
      <c r="K1666" s="2"/>
      <c r="L1666" s="2"/>
      <c r="M1666" s="2"/>
      <c r="N1666" s="2"/>
      <c r="O1666" s="2"/>
      <c r="P1666" s="2"/>
      <c r="Q1666" s="2"/>
      <c r="R1666" s="2"/>
      <c r="S1666" s="2"/>
    </row>
    <row r="1667" spans="1:19" x14ac:dyDescent="0.2">
      <c r="A1667" s="1">
        <v>489576</v>
      </c>
      <c r="B1667" s="1">
        <v>22151</v>
      </c>
      <c r="C1667" s="1" t="s">
        <v>941</v>
      </c>
      <c r="D1667" s="1">
        <v>24</v>
      </c>
      <c r="E1667" s="3">
        <v>40148.568055555559</v>
      </c>
      <c r="F1667" s="1">
        <v>0.42</v>
      </c>
      <c r="G1667" s="1">
        <v>15984</v>
      </c>
      <c r="H1667" s="1" t="s">
        <v>10</v>
      </c>
      <c r="I1667" s="1">
        <f t="shared" si="6"/>
        <v>10.08</v>
      </c>
      <c r="J1667" s="2"/>
      <c r="K1667" s="2"/>
      <c r="L1667" s="2"/>
      <c r="M1667" s="2"/>
      <c r="N1667" s="2"/>
      <c r="O1667" s="2"/>
      <c r="P1667" s="2"/>
      <c r="Q1667" s="2"/>
      <c r="R1667" s="2"/>
      <c r="S1667" s="2"/>
    </row>
    <row r="1668" spans="1:19" x14ac:dyDescent="0.2">
      <c r="A1668" s="1">
        <v>489576</v>
      </c>
      <c r="B1668" s="1">
        <v>22113</v>
      </c>
      <c r="C1668" s="1" t="s">
        <v>465</v>
      </c>
      <c r="D1668" s="1">
        <v>18</v>
      </c>
      <c r="E1668" s="3">
        <v>40148.568055555559</v>
      </c>
      <c r="F1668" s="1">
        <v>3.45</v>
      </c>
      <c r="G1668" s="1">
        <v>15984</v>
      </c>
      <c r="H1668" s="1" t="s">
        <v>10</v>
      </c>
      <c r="I1668" s="1">
        <f t="shared" si="6"/>
        <v>62.1</v>
      </c>
      <c r="J1668" s="2"/>
      <c r="K1668" s="2"/>
      <c r="L1668" s="2"/>
      <c r="M1668" s="2"/>
      <c r="N1668" s="2"/>
      <c r="O1668" s="2"/>
      <c r="P1668" s="2"/>
      <c r="Q1668" s="2"/>
      <c r="R1668" s="2"/>
      <c r="S1668" s="2"/>
    </row>
    <row r="1669" spans="1:19" x14ac:dyDescent="0.2">
      <c r="A1669" s="1">
        <v>489576</v>
      </c>
      <c r="B1669" s="1" t="s">
        <v>488</v>
      </c>
      <c r="C1669" s="1" t="s">
        <v>489</v>
      </c>
      <c r="D1669" s="1">
        <v>17</v>
      </c>
      <c r="E1669" s="3">
        <v>40148.568055555559</v>
      </c>
      <c r="F1669" s="1">
        <v>1.25</v>
      </c>
      <c r="G1669" s="1">
        <v>15984</v>
      </c>
      <c r="H1669" s="1" t="s">
        <v>10</v>
      </c>
      <c r="I1669" s="1">
        <f t="shared" si="6"/>
        <v>21.25</v>
      </c>
      <c r="J1669" s="2"/>
      <c r="K1669" s="2"/>
      <c r="L1669" s="2"/>
      <c r="M1669" s="2"/>
      <c r="N1669" s="2"/>
      <c r="O1669" s="2"/>
      <c r="P1669" s="2"/>
      <c r="Q1669" s="2"/>
      <c r="R1669" s="2"/>
      <c r="S1669" s="2"/>
    </row>
    <row r="1670" spans="1:19" x14ac:dyDescent="0.2">
      <c r="A1670" s="1">
        <v>489576</v>
      </c>
      <c r="B1670" s="1">
        <v>84836</v>
      </c>
      <c r="C1670" s="1" t="s">
        <v>427</v>
      </c>
      <c r="D1670" s="1">
        <v>12</v>
      </c>
      <c r="E1670" s="3">
        <v>40148.568055555559</v>
      </c>
      <c r="F1670" s="1">
        <v>1.25</v>
      </c>
      <c r="G1670" s="1">
        <v>15984</v>
      </c>
      <c r="H1670" s="1" t="s">
        <v>10</v>
      </c>
      <c r="I1670" s="1">
        <f t="shared" si="6"/>
        <v>15</v>
      </c>
      <c r="J1670" s="2"/>
      <c r="K1670" s="2"/>
      <c r="L1670" s="2"/>
      <c r="M1670" s="2"/>
      <c r="N1670" s="2"/>
      <c r="O1670" s="2"/>
      <c r="P1670" s="2"/>
      <c r="Q1670" s="2"/>
      <c r="R1670" s="2"/>
      <c r="S1670" s="2"/>
    </row>
    <row r="1671" spans="1:19" x14ac:dyDescent="0.2">
      <c r="A1671" s="1">
        <v>489576</v>
      </c>
      <c r="B1671" s="1">
        <v>22296</v>
      </c>
      <c r="C1671" s="1" t="s">
        <v>29</v>
      </c>
      <c r="D1671" s="1">
        <v>12</v>
      </c>
      <c r="E1671" s="3">
        <v>40148.568055555559</v>
      </c>
      <c r="F1671" s="1">
        <v>1.65</v>
      </c>
      <c r="G1671" s="1">
        <v>15984</v>
      </c>
      <c r="H1671" s="1" t="s">
        <v>10</v>
      </c>
      <c r="I1671" s="1">
        <f t="shared" si="6"/>
        <v>19.799999999999997</v>
      </c>
      <c r="J1671" s="2"/>
      <c r="K1671" s="2"/>
      <c r="L1671" s="2"/>
      <c r="M1671" s="2"/>
      <c r="N1671" s="2"/>
      <c r="O1671" s="2"/>
      <c r="P1671" s="2"/>
      <c r="Q1671" s="2"/>
      <c r="R1671" s="2"/>
      <c r="S1671" s="2"/>
    </row>
    <row r="1672" spans="1:19" x14ac:dyDescent="0.2">
      <c r="A1672" s="1">
        <v>489576</v>
      </c>
      <c r="B1672" s="1">
        <v>22086</v>
      </c>
      <c r="C1672" s="1" t="s">
        <v>183</v>
      </c>
      <c r="D1672" s="1">
        <v>10</v>
      </c>
      <c r="E1672" s="3">
        <v>40148.568055555559</v>
      </c>
      <c r="F1672" s="1">
        <v>2.95</v>
      </c>
      <c r="G1672" s="1">
        <v>15984</v>
      </c>
      <c r="H1672" s="1" t="s">
        <v>10</v>
      </c>
      <c r="I1672" s="1">
        <f t="shared" si="6"/>
        <v>29.5</v>
      </c>
      <c r="J1672" s="2"/>
      <c r="K1672" s="2"/>
      <c r="L1672" s="2"/>
      <c r="M1672" s="2"/>
      <c r="N1672" s="2"/>
      <c r="O1672" s="2"/>
      <c r="P1672" s="2"/>
      <c r="Q1672" s="2"/>
      <c r="R1672" s="2"/>
      <c r="S1672" s="2"/>
    </row>
    <row r="1673" spans="1:19" x14ac:dyDescent="0.2">
      <c r="A1673" s="1">
        <v>489576</v>
      </c>
      <c r="B1673" s="1">
        <v>21842</v>
      </c>
      <c r="C1673" s="1" t="s">
        <v>417</v>
      </c>
      <c r="D1673" s="1">
        <v>8</v>
      </c>
      <c r="E1673" s="3">
        <v>40148.568055555559</v>
      </c>
      <c r="F1673" s="1">
        <v>2.5499999999999998</v>
      </c>
      <c r="G1673" s="1">
        <v>15984</v>
      </c>
      <c r="H1673" s="1" t="s">
        <v>10</v>
      </c>
      <c r="I1673" s="1">
        <f t="shared" si="6"/>
        <v>20.399999999999999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</row>
    <row r="1674" spans="1:19" x14ac:dyDescent="0.2">
      <c r="A1674" s="1">
        <v>489576</v>
      </c>
      <c r="B1674" s="1" t="s">
        <v>142</v>
      </c>
      <c r="C1674" s="1" t="s">
        <v>143</v>
      </c>
      <c r="D1674" s="1">
        <v>6</v>
      </c>
      <c r="E1674" s="3">
        <v>40148.568055555559</v>
      </c>
      <c r="F1674" s="1">
        <v>2.95</v>
      </c>
      <c r="G1674" s="1">
        <v>15984</v>
      </c>
      <c r="H1674" s="1" t="s">
        <v>10</v>
      </c>
      <c r="I1674" s="1">
        <f t="shared" si="6"/>
        <v>17.700000000000003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</row>
    <row r="1675" spans="1:19" x14ac:dyDescent="0.2">
      <c r="A1675" s="1">
        <v>489576</v>
      </c>
      <c r="B1675" s="1" t="s">
        <v>490</v>
      </c>
      <c r="C1675" s="1" t="s">
        <v>491</v>
      </c>
      <c r="D1675" s="1">
        <v>5</v>
      </c>
      <c r="E1675" s="3">
        <v>40148.568055555559</v>
      </c>
      <c r="F1675" s="1">
        <v>1.25</v>
      </c>
      <c r="G1675" s="1">
        <v>15984</v>
      </c>
      <c r="H1675" s="1" t="s">
        <v>10</v>
      </c>
      <c r="I1675" s="1">
        <f t="shared" si="6"/>
        <v>6.25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</row>
    <row r="1676" spans="1:19" x14ac:dyDescent="0.2">
      <c r="A1676" s="1">
        <v>489576</v>
      </c>
      <c r="B1676" s="1">
        <v>85048</v>
      </c>
      <c r="C1676" s="1" t="s">
        <v>14</v>
      </c>
      <c r="D1676" s="1">
        <v>5</v>
      </c>
      <c r="E1676" s="3">
        <v>40148.568055555559</v>
      </c>
      <c r="F1676" s="1">
        <v>7.95</v>
      </c>
      <c r="G1676" s="1">
        <v>15984</v>
      </c>
      <c r="H1676" s="1" t="s">
        <v>10</v>
      </c>
      <c r="I1676" s="1">
        <f t="shared" si="6"/>
        <v>39.75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</row>
    <row r="1677" spans="1:19" x14ac:dyDescent="0.2">
      <c r="A1677" s="1">
        <v>489576</v>
      </c>
      <c r="B1677" s="1">
        <v>21928</v>
      </c>
      <c r="C1677" s="1" t="s">
        <v>188</v>
      </c>
      <c r="D1677" s="1">
        <v>5</v>
      </c>
      <c r="E1677" s="3">
        <v>40148.568055555559</v>
      </c>
      <c r="F1677" s="1">
        <v>1.95</v>
      </c>
      <c r="G1677" s="1">
        <v>15984</v>
      </c>
      <c r="H1677" s="1" t="s">
        <v>10</v>
      </c>
      <c r="I1677" s="1">
        <f t="shared" si="6"/>
        <v>9.75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2"/>
    </row>
    <row r="1678" spans="1:19" x14ac:dyDescent="0.2">
      <c r="A1678" s="1">
        <v>489576</v>
      </c>
      <c r="B1678" s="1">
        <v>21929</v>
      </c>
      <c r="C1678" s="1" t="s">
        <v>168</v>
      </c>
      <c r="D1678" s="1">
        <v>3</v>
      </c>
      <c r="E1678" s="3">
        <v>40148.568055555559</v>
      </c>
      <c r="F1678" s="1">
        <v>1.95</v>
      </c>
      <c r="G1678" s="1">
        <v>15984</v>
      </c>
      <c r="H1678" s="1" t="s">
        <v>10</v>
      </c>
      <c r="I1678" s="1">
        <f t="shared" si="6"/>
        <v>5.85</v>
      </c>
      <c r="J1678" s="2"/>
      <c r="K1678" s="2"/>
      <c r="L1678" s="2"/>
      <c r="M1678" s="2"/>
      <c r="N1678" s="2"/>
      <c r="O1678" s="2"/>
      <c r="P1678" s="2"/>
      <c r="Q1678" s="2"/>
      <c r="R1678" s="2"/>
      <c r="S1678" s="2"/>
    </row>
    <row r="1679" spans="1:19" x14ac:dyDescent="0.2">
      <c r="A1679" s="1">
        <v>489576</v>
      </c>
      <c r="B1679" s="1" t="s">
        <v>1101</v>
      </c>
      <c r="C1679" s="1" t="s">
        <v>1102</v>
      </c>
      <c r="D1679" s="1">
        <v>3</v>
      </c>
      <c r="E1679" s="3">
        <v>40148.568055555559</v>
      </c>
      <c r="F1679" s="1">
        <v>1.95</v>
      </c>
      <c r="G1679" s="1">
        <v>15984</v>
      </c>
      <c r="H1679" s="1" t="s">
        <v>10</v>
      </c>
      <c r="I1679" s="1">
        <f t="shared" si="6"/>
        <v>5.85</v>
      </c>
      <c r="J1679" s="2"/>
      <c r="K1679" s="2"/>
      <c r="L1679" s="2"/>
      <c r="M1679" s="2"/>
      <c r="N1679" s="2"/>
      <c r="O1679" s="2"/>
      <c r="P1679" s="2"/>
      <c r="Q1679" s="2"/>
      <c r="R1679" s="2"/>
      <c r="S1679" s="2"/>
    </row>
    <row r="1680" spans="1:19" x14ac:dyDescent="0.2">
      <c r="A1680" s="1">
        <v>489576</v>
      </c>
      <c r="B1680" s="1">
        <v>84352</v>
      </c>
      <c r="C1680" s="1" t="s">
        <v>627</v>
      </c>
      <c r="D1680" s="1">
        <v>1</v>
      </c>
      <c r="E1680" s="3">
        <v>40148.568055555559</v>
      </c>
      <c r="F1680" s="1">
        <v>16.95</v>
      </c>
      <c r="G1680" s="1">
        <v>15984</v>
      </c>
      <c r="H1680" s="1" t="s">
        <v>10</v>
      </c>
      <c r="I1680" s="1">
        <f t="shared" si="6"/>
        <v>16.95</v>
      </c>
      <c r="J1680" s="2"/>
      <c r="K1680" s="2"/>
      <c r="L1680" s="2"/>
      <c r="M1680" s="2"/>
      <c r="N1680" s="2"/>
      <c r="O1680" s="2"/>
      <c r="P1680" s="2"/>
      <c r="Q1680" s="2"/>
      <c r="R1680" s="2"/>
      <c r="S1680" s="2"/>
    </row>
    <row r="1681" spans="1:19" x14ac:dyDescent="0.2">
      <c r="A1681" s="1">
        <v>489576</v>
      </c>
      <c r="B1681" s="1">
        <v>35400</v>
      </c>
      <c r="C1681" s="1" t="s">
        <v>69</v>
      </c>
      <c r="D1681" s="1">
        <v>1</v>
      </c>
      <c r="E1681" s="3">
        <v>40148.568055555559</v>
      </c>
      <c r="F1681" s="1">
        <v>8.9499999999999993</v>
      </c>
      <c r="G1681" s="1">
        <v>15984</v>
      </c>
      <c r="H1681" s="1" t="s">
        <v>10</v>
      </c>
      <c r="I1681" s="1">
        <f t="shared" si="6"/>
        <v>8.9499999999999993</v>
      </c>
      <c r="J1681" s="2"/>
      <c r="K1681" s="2"/>
      <c r="L1681" s="2"/>
      <c r="M1681" s="2"/>
      <c r="N1681" s="2"/>
      <c r="O1681" s="2"/>
      <c r="P1681" s="2"/>
      <c r="Q1681" s="2"/>
      <c r="R1681" s="2"/>
      <c r="S1681" s="2"/>
    </row>
    <row r="1682" spans="1:19" x14ac:dyDescent="0.2">
      <c r="A1682" s="1" t="s">
        <v>1103</v>
      </c>
      <c r="B1682" s="1">
        <v>37501</v>
      </c>
      <c r="C1682" s="1" t="s">
        <v>1104</v>
      </c>
      <c r="D1682" s="1">
        <v>-1</v>
      </c>
      <c r="E1682" s="3">
        <v>40148.568055555559</v>
      </c>
      <c r="F1682" s="1">
        <v>6.95</v>
      </c>
      <c r="G1682" s="1">
        <v>14030</v>
      </c>
      <c r="H1682" s="1" t="s">
        <v>10</v>
      </c>
      <c r="I1682" s="1">
        <f t="shared" si="6"/>
        <v>-6.95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</row>
    <row r="1683" spans="1:19" x14ac:dyDescent="0.2">
      <c r="A1683" s="1" t="s">
        <v>1103</v>
      </c>
      <c r="B1683" s="1">
        <v>37503</v>
      </c>
      <c r="C1683" s="1" t="s">
        <v>790</v>
      </c>
      <c r="D1683" s="1">
        <v>-3</v>
      </c>
      <c r="E1683" s="3">
        <v>40148.568055555559</v>
      </c>
      <c r="F1683" s="1">
        <v>9.9499999999999993</v>
      </c>
      <c r="G1683" s="1">
        <v>14030</v>
      </c>
      <c r="H1683" s="1" t="s">
        <v>10</v>
      </c>
      <c r="I1683" s="1">
        <f t="shared" si="6"/>
        <v>-29.849999999999998</v>
      </c>
      <c r="J1683" s="2"/>
      <c r="K1683" s="2"/>
      <c r="L1683" s="2"/>
      <c r="M1683" s="2"/>
      <c r="N1683" s="2"/>
      <c r="O1683" s="2"/>
      <c r="P1683" s="2"/>
      <c r="Q1683" s="2"/>
      <c r="R1683" s="2"/>
      <c r="S1683" s="2"/>
    </row>
    <row r="1684" spans="1:19" x14ac:dyDescent="0.2">
      <c r="A1684" s="1" t="s">
        <v>1103</v>
      </c>
      <c r="B1684" s="1">
        <v>22127</v>
      </c>
      <c r="C1684" s="1" t="s">
        <v>453</v>
      </c>
      <c r="D1684" s="1">
        <v>-48</v>
      </c>
      <c r="E1684" s="3">
        <v>40148.568055555559</v>
      </c>
      <c r="F1684" s="1">
        <v>1.25</v>
      </c>
      <c r="G1684" s="1">
        <v>14030</v>
      </c>
      <c r="H1684" s="1" t="s">
        <v>10</v>
      </c>
      <c r="I1684" s="1">
        <f t="shared" si="6"/>
        <v>-60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</row>
    <row r="1685" spans="1:19" x14ac:dyDescent="0.2">
      <c r="A1685" s="1" t="s">
        <v>1105</v>
      </c>
      <c r="B1685" s="1">
        <v>21481</v>
      </c>
      <c r="C1685" s="1" t="s">
        <v>279</v>
      </c>
      <c r="D1685" s="1">
        <v>-1</v>
      </c>
      <c r="E1685" s="3">
        <v>40148.569444444445</v>
      </c>
      <c r="F1685" s="1">
        <v>2.95</v>
      </c>
      <c r="G1685" s="1">
        <v>17091</v>
      </c>
      <c r="H1685" s="1" t="s">
        <v>10</v>
      </c>
      <c r="I1685" s="1">
        <f t="shared" si="6"/>
        <v>-2.95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</row>
    <row r="1686" spans="1:19" x14ac:dyDescent="0.2">
      <c r="A1686" s="1">
        <v>489579</v>
      </c>
      <c r="B1686" s="1">
        <v>21500</v>
      </c>
      <c r="C1686" s="1" t="s">
        <v>563</v>
      </c>
      <c r="D1686" s="1">
        <v>25</v>
      </c>
      <c r="E1686" s="3">
        <v>40148.570138888892</v>
      </c>
      <c r="F1686" s="1">
        <v>0.42</v>
      </c>
      <c r="G1686" s="1">
        <v>16887</v>
      </c>
      <c r="H1686" s="1" t="s">
        <v>10</v>
      </c>
      <c r="I1686" s="1">
        <f t="shared" si="6"/>
        <v>10.5</v>
      </c>
      <c r="J1686" s="2"/>
      <c r="K1686" s="2"/>
      <c r="L1686" s="2"/>
      <c r="M1686" s="2"/>
      <c r="N1686" s="2"/>
      <c r="O1686" s="2"/>
      <c r="P1686" s="2"/>
      <c r="Q1686" s="2"/>
      <c r="R1686" s="2"/>
      <c r="S1686" s="2"/>
    </row>
    <row r="1687" spans="1:19" x14ac:dyDescent="0.2">
      <c r="A1687" s="1">
        <v>489579</v>
      </c>
      <c r="B1687" s="1">
        <v>21499</v>
      </c>
      <c r="C1687" s="1" t="s">
        <v>1106</v>
      </c>
      <c r="D1687" s="1">
        <v>25</v>
      </c>
      <c r="E1687" s="3">
        <v>40148.570138888892</v>
      </c>
      <c r="F1687" s="1">
        <v>0.42</v>
      </c>
      <c r="G1687" s="1">
        <v>16887</v>
      </c>
      <c r="H1687" s="1" t="s">
        <v>10</v>
      </c>
      <c r="I1687" s="1">
        <f t="shared" si="6"/>
        <v>10.5</v>
      </c>
      <c r="J1687" s="2"/>
      <c r="K1687" s="2"/>
      <c r="L1687" s="2"/>
      <c r="M1687" s="2"/>
      <c r="N1687" s="2"/>
      <c r="O1687" s="2"/>
      <c r="P1687" s="2"/>
      <c r="Q1687" s="2"/>
      <c r="R1687" s="2"/>
      <c r="S1687" s="2"/>
    </row>
    <row r="1688" spans="1:19" x14ac:dyDescent="0.2">
      <c r="A1688" s="1">
        <v>489579</v>
      </c>
      <c r="B1688" s="1">
        <v>21498</v>
      </c>
      <c r="C1688" s="1" t="s">
        <v>525</v>
      </c>
      <c r="D1688" s="1">
        <v>25</v>
      </c>
      <c r="E1688" s="3">
        <v>40148.570138888892</v>
      </c>
      <c r="F1688" s="1">
        <v>0.42</v>
      </c>
      <c r="G1688" s="1">
        <v>16887</v>
      </c>
      <c r="H1688" s="1" t="s">
        <v>10</v>
      </c>
      <c r="I1688" s="1">
        <f t="shared" si="6"/>
        <v>10.5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</row>
    <row r="1689" spans="1:19" x14ac:dyDescent="0.2">
      <c r="A1689" s="1">
        <v>489579</v>
      </c>
      <c r="B1689" s="1">
        <v>21986</v>
      </c>
      <c r="C1689" s="1" t="s">
        <v>1009</v>
      </c>
      <c r="D1689" s="1">
        <v>12</v>
      </c>
      <c r="E1689" s="3">
        <v>40148.570138888892</v>
      </c>
      <c r="F1689" s="1">
        <v>0.28999999999999998</v>
      </c>
      <c r="G1689" s="1">
        <v>16887</v>
      </c>
      <c r="H1689" s="1" t="s">
        <v>10</v>
      </c>
      <c r="I1689" s="1">
        <f t="shared" si="6"/>
        <v>3.4799999999999995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</row>
    <row r="1690" spans="1:19" x14ac:dyDescent="0.2">
      <c r="A1690" s="1">
        <v>489579</v>
      </c>
      <c r="B1690" s="1">
        <v>72756</v>
      </c>
      <c r="C1690" s="1" t="s">
        <v>247</v>
      </c>
      <c r="D1690" s="1">
        <v>9</v>
      </c>
      <c r="E1690" s="3">
        <v>40148.570138888892</v>
      </c>
      <c r="F1690" s="1">
        <v>1.49</v>
      </c>
      <c r="G1690" s="1">
        <v>16887</v>
      </c>
      <c r="H1690" s="1" t="s">
        <v>10</v>
      </c>
      <c r="I1690" s="1">
        <f t="shared" si="6"/>
        <v>13.41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</row>
    <row r="1691" spans="1:19" x14ac:dyDescent="0.2">
      <c r="A1691" s="1">
        <v>489579</v>
      </c>
      <c r="B1691" s="1">
        <v>72741</v>
      </c>
      <c r="C1691" s="1" t="s">
        <v>419</v>
      </c>
      <c r="D1691" s="1">
        <v>9</v>
      </c>
      <c r="E1691" s="3">
        <v>40148.570138888892</v>
      </c>
      <c r="F1691" s="1">
        <v>1.45</v>
      </c>
      <c r="G1691" s="1">
        <v>16887</v>
      </c>
      <c r="H1691" s="1" t="s">
        <v>10</v>
      </c>
      <c r="I1691" s="1">
        <f t="shared" si="6"/>
        <v>13.049999999999999</v>
      </c>
      <c r="J1691" s="2"/>
      <c r="K1691" s="2"/>
      <c r="L1691" s="2"/>
      <c r="M1691" s="2"/>
      <c r="N1691" s="2"/>
      <c r="O1691" s="2"/>
      <c r="P1691" s="2"/>
      <c r="Q1691" s="2"/>
      <c r="R1691" s="2"/>
      <c r="S1691" s="2"/>
    </row>
    <row r="1692" spans="1:19" x14ac:dyDescent="0.2">
      <c r="A1692" s="1">
        <v>489579</v>
      </c>
      <c r="B1692" s="1">
        <v>21244</v>
      </c>
      <c r="C1692" s="1" t="s">
        <v>359</v>
      </c>
      <c r="D1692" s="1">
        <v>4</v>
      </c>
      <c r="E1692" s="3">
        <v>40148.570138888892</v>
      </c>
      <c r="F1692" s="1">
        <v>1.69</v>
      </c>
      <c r="G1692" s="1">
        <v>16887</v>
      </c>
      <c r="H1692" s="1" t="s">
        <v>10</v>
      </c>
      <c r="I1692" s="1">
        <f t="shared" si="6"/>
        <v>6.76</v>
      </c>
      <c r="J1692" s="2"/>
      <c r="K1692" s="2"/>
      <c r="L1692" s="2"/>
      <c r="M1692" s="2"/>
      <c r="N1692" s="2"/>
      <c r="O1692" s="2"/>
      <c r="P1692" s="2"/>
      <c r="Q1692" s="2"/>
      <c r="R1692" s="2"/>
      <c r="S1692" s="2"/>
    </row>
    <row r="1693" spans="1:19" x14ac:dyDescent="0.2">
      <c r="A1693" s="1">
        <v>489579</v>
      </c>
      <c r="B1693" s="1">
        <v>21243</v>
      </c>
      <c r="C1693" s="1" t="s">
        <v>1107</v>
      </c>
      <c r="D1693" s="1">
        <v>4</v>
      </c>
      <c r="E1693" s="3">
        <v>40148.570138888892</v>
      </c>
      <c r="F1693" s="1">
        <v>1.69</v>
      </c>
      <c r="G1693" s="1">
        <v>16887</v>
      </c>
      <c r="H1693" s="1" t="s">
        <v>10</v>
      </c>
      <c r="I1693" s="1">
        <f t="shared" si="6"/>
        <v>6.76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</row>
    <row r="1694" spans="1:19" x14ac:dyDescent="0.2">
      <c r="A1694" s="1">
        <v>489579</v>
      </c>
      <c r="B1694" s="1">
        <v>21041</v>
      </c>
      <c r="C1694" s="1" t="s">
        <v>153</v>
      </c>
      <c r="D1694" s="1">
        <v>4</v>
      </c>
      <c r="E1694" s="3">
        <v>40148.570138888892</v>
      </c>
      <c r="F1694" s="1">
        <v>2.95</v>
      </c>
      <c r="G1694" s="1">
        <v>16887</v>
      </c>
      <c r="H1694" s="1" t="s">
        <v>10</v>
      </c>
      <c r="I1694" s="1">
        <f t="shared" si="6"/>
        <v>11.8</v>
      </c>
      <c r="J1694" s="2"/>
      <c r="K1694" s="2"/>
      <c r="L1694" s="2"/>
      <c r="M1694" s="2"/>
      <c r="N1694" s="2"/>
      <c r="O1694" s="2"/>
      <c r="P1694" s="2"/>
      <c r="Q1694" s="2"/>
      <c r="R1694" s="2"/>
      <c r="S1694" s="2"/>
    </row>
    <row r="1695" spans="1:19" x14ac:dyDescent="0.2">
      <c r="A1695" s="1">
        <v>489579</v>
      </c>
      <c r="B1695" s="1">
        <v>21155</v>
      </c>
      <c r="C1695" s="1" t="s">
        <v>1108</v>
      </c>
      <c r="D1695" s="1">
        <v>4</v>
      </c>
      <c r="E1695" s="3">
        <v>40148.570138888892</v>
      </c>
      <c r="F1695" s="1">
        <v>2.1</v>
      </c>
      <c r="G1695" s="1">
        <v>16887</v>
      </c>
      <c r="H1695" s="1" t="s">
        <v>10</v>
      </c>
      <c r="I1695" s="1">
        <f t="shared" si="6"/>
        <v>8.4</v>
      </c>
      <c r="J1695" s="2"/>
      <c r="K1695" s="2"/>
      <c r="L1695" s="2"/>
      <c r="M1695" s="2"/>
      <c r="N1695" s="2"/>
      <c r="O1695" s="2"/>
      <c r="P1695" s="2"/>
      <c r="Q1695" s="2"/>
      <c r="R1695" s="2"/>
      <c r="S1695" s="2"/>
    </row>
    <row r="1696" spans="1:19" x14ac:dyDescent="0.2">
      <c r="A1696" s="1">
        <v>489579</v>
      </c>
      <c r="B1696" s="1">
        <v>21124</v>
      </c>
      <c r="C1696" s="1" t="s">
        <v>583</v>
      </c>
      <c r="D1696" s="1">
        <v>4</v>
      </c>
      <c r="E1696" s="3">
        <v>40148.570138888892</v>
      </c>
      <c r="F1696" s="1">
        <v>1.25</v>
      </c>
      <c r="G1696" s="1">
        <v>16887</v>
      </c>
      <c r="H1696" s="1" t="s">
        <v>10</v>
      </c>
      <c r="I1696" s="1">
        <f t="shared" si="6"/>
        <v>5</v>
      </c>
      <c r="J1696" s="2"/>
      <c r="K1696" s="2"/>
      <c r="L1696" s="2"/>
      <c r="M1696" s="2"/>
      <c r="N1696" s="2"/>
      <c r="O1696" s="2"/>
      <c r="P1696" s="2"/>
      <c r="Q1696" s="2"/>
      <c r="R1696" s="2"/>
      <c r="S1696" s="2"/>
    </row>
    <row r="1697" spans="1:19" x14ac:dyDescent="0.2">
      <c r="A1697" s="1">
        <v>489579</v>
      </c>
      <c r="B1697" s="1">
        <v>21122</v>
      </c>
      <c r="C1697" s="1" t="s">
        <v>582</v>
      </c>
      <c r="D1697" s="1">
        <v>4</v>
      </c>
      <c r="E1697" s="3">
        <v>40148.570138888892</v>
      </c>
      <c r="F1697" s="1">
        <v>1.25</v>
      </c>
      <c r="G1697" s="1">
        <v>16887</v>
      </c>
      <c r="H1697" s="1" t="s">
        <v>10</v>
      </c>
      <c r="I1697" s="1">
        <f t="shared" si="6"/>
        <v>5</v>
      </c>
      <c r="J1697" s="2"/>
      <c r="K1697" s="2"/>
      <c r="L1697" s="2"/>
      <c r="M1697" s="2"/>
      <c r="N1697" s="2"/>
      <c r="O1697" s="2"/>
      <c r="P1697" s="2"/>
      <c r="Q1697" s="2"/>
      <c r="R1697" s="2"/>
      <c r="S1697" s="2"/>
    </row>
    <row r="1698" spans="1:19" x14ac:dyDescent="0.2">
      <c r="A1698" s="1">
        <v>489579</v>
      </c>
      <c r="B1698" s="1">
        <v>72267</v>
      </c>
      <c r="C1698" s="1" t="s">
        <v>768</v>
      </c>
      <c r="D1698" s="1">
        <v>4</v>
      </c>
      <c r="E1698" s="3">
        <v>40148.570138888892</v>
      </c>
      <c r="F1698" s="1">
        <v>2.1</v>
      </c>
      <c r="G1698" s="1">
        <v>16887</v>
      </c>
      <c r="H1698" s="1" t="s">
        <v>10</v>
      </c>
      <c r="I1698" s="1">
        <f t="shared" si="6"/>
        <v>8.4</v>
      </c>
      <c r="J1698" s="2"/>
      <c r="K1698" s="2"/>
      <c r="L1698" s="2"/>
      <c r="M1698" s="2"/>
      <c r="N1698" s="2"/>
      <c r="O1698" s="2"/>
      <c r="P1698" s="2"/>
      <c r="Q1698" s="2"/>
      <c r="R1698" s="2"/>
      <c r="S1698" s="2"/>
    </row>
    <row r="1699" spans="1:19" x14ac:dyDescent="0.2">
      <c r="A1699" s="1">
        <v>489579</v>
      </c>
      <c r="B1699" s="1">
        <v>21240</v>
      </c>
      <c r="C1699" s="1" t="s">
        <v>469</v>
      </c>
      <c r="D1699" s="1">
        <v>4</v>
      </c>
      <c r="E1699" s="3">
        <v>40148.570138888892</v>
      </c>
      <c r="F1699" s="1">
        <v>0.85</v>
      </c>
      <c r="G1699" s="1">
        <v>16887</v>
      </c>
      <c r="H1699" s="1" t="s">
        <v>10</v>
      </c>
      <c r="I1699" s="1">
        <f t="shared" si="6"/>
        <v>3.4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</row>
    <row r="1700" spans="1:19" x14ac:dyDescent="0.2">
      <c r="A1700" s="1">
        <v>489579</v>
      </c>
      <c r="B1700" s="1">
        <v>21239</v>
      </c>
      <c r="C1700" s="1" t="s">
        <v>470</v>
      </c>
      <c r="D1700" s="1">
        <v>4</v>
      </c>
      <c r="E1700" s="3">
        <v>40148.570138888892</v>
      </c>
      <c r="F1700" s="1">
        <v>0.85</v>
      </c>
      <c r="G1700" s="1">
        <v>16887</v>
      </c>
      <c r="H1700" s="1" t="s">
        <v>10</v>
      </c>
      <c r="I1700" s="1">
        <f t="shared" si="6"/>
        <v>3.4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</row>
    <row r="1701" spans="1:19" x14ac:dyDescent="0.2">
      <c r="A1701" s="1">
        <v>489579</v>
      </c>
      <c r="B1701" s="1">
        <v>20677</v>
      </c>
      <c r="C1701" s="1" t="s">
        <v>509</v>
      </c>
      <c r="D1701" s="1">
        <v>4</v>
      </c>
      <c r="E1701" s="3">
        <v>40148.570138888892</v>
      </c>
      <c r="F1701" s="1">
        <v>1.25</v>
      </c>
      <c r="G1701" s="1">
        <v>16887</v>
      </c>
      <c r="H1701" s="1" t="s">
        <v>10</v>
      </c>
      <c r="I1701" s="1">
        <f t="shared" si="6"/>
        <v>5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</row>
    <row r="1702" spans="1:19" x14ac:dyDescent="0.2">
      <c r="A1702" s="1">
        <v>489579</v>
      </c>
      <c r="B1702" s="1">
        <v>20675</v>
      </c>
      <c r="C1702" s="1" t="s">
        <v>360</v>
      </c>
      <c r="D1702" s="1">
        <v>4</v>
      </c>
      <c r="E1702" s="3">
        <v>40148.570138888892</v>
      </c>
      <c r="F1702" s="1">
        <v>1.25</v>
      </c>
      <c r="G1702" s="1">
        <v>16887</v>
      </c>
      <c r="H1702" s="1" t="s">
        <v>10</v>
      </c>
      <c r="I1702" s="1">
        <f t="shared" si="6"/>
        <v>5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</row>
    <row r="1703" spans="1:19" x14ac:dyDescent="0.2">
      <c r="A1703" s="1">
        <v>489579</v>
      </c>
      <c r="B1703" s="1">
        <v>35991</v>
      </c>
      <c r="C1703" s="1" t="s">
        <v>669</v>
      </c>
      <c r="D1703" s="1">
        <v>3</v>
      </c>
      <c r="E1703" s="3">
        <v>40148.570138888892</v>
      </c>
      <c r="F1703" s="1">
        <v>1.69</v>
      </c>
      <c r="G1703" s="1">
        <v>16887</v>
      </c>
      <c r="H1703" s="1" t="s">
        <v>10</v>
      </c>
      <c r="I1703" s="1">
        <f t="shared" si="6"/>
        <v>5.07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</row>
    <row r="1704" spans="1:19" x14ac:dyDescent="0.2">
      <c r="A1704" s="1">
        <v>489579</v>
      </c>
      <c r="B1704" s="1" t="s">
        <v>1109</v>
      </c>
      <c r="C1704" s="1" t="s">
        <v>1110</v>
      </c>
      <c r="D1704" s="1">
        <v>3</v>
      </c>
      <c r="E1704" s="3">
        <v>40148.570138888892</v>
      </c>
      <c r="F1704" s="1">
        <v>2.95</v>
      </c>
      <c r="G1704" s="1">
        <v>16887</v>
      </c>
      <c r="H1704" s="1" t="s">
        <v>10</v>
      </c>
      <c r="I1704" s="1">
        <f t="shared" si="6"/>
        <v>8.8500000000000014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</row>
    <row r="1705" spans="1:19" x14ac:dyDescent="0.2">
      <c r="A1705" s="1">
        <v>489579</v>
      </c>
      <c r="B1705" s="1" t="s">
        <v>1111</v>
      </c>
      <c r="C1705" s="1" t="s">
        <v>1112</v>
      </c>
      <c r="D1705" s="1">
        <v>3</v>
      </c>
      <c r="E1705" s="3">
        <v>40148.570138888892</v>
      </c>
      <c r="F1705" s="1">
        <v>2.95</v>
      </c>
      <c r="G1705" s="1">
        <v>16887</v>
      </c>
      <c r="H1705" s="1" t="s">
        <v>10</v>
      </c>
      <c r="I1705" s="1">
        <f t="shared" si="6"/>
        <v>8.8500000000000014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</row>
    <row r="1706" spans="1:19" x14ac:dyDescent="0.2">
      <c r="A1706" s="1">
        <v>489579</v>
      </c>
      <c r="B1706" s="1" t="s">
        <v>1113</v>
      </c>
      <c r="C1706" s="1" t="s">
        <v>1114</v>
      </c>
      <c r="D1706" s="1">
        <v>2</v>
      </c>
      <c r="E1706" s="3">
        <v>40148.570138888892</v>
      </c>
      <c r="F1706" s="1">
        <v>4.25</v>
      </c>
      <c r="G1706" s="1">
        <v>16887</v>
      </c>
      <c r="H1706" s="1" t="s">
        <v>10</v>
      </c>
      <c r="I1706" s="1">
        <f t="shared" si="6"/>
        <v>8.5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</row>
    <row r="1707" spans="1:19" x14ac:dyDescent="0.2">
      <c r="A1707" s="1">
        <v>489579</v>
      </c>
      <c r="B1707" s="1">
        <v>22315</v>
      </c>
      <c r="C1707" s="1" t="s">
        <v>511</v>
      </c>
      <c r="D1707" s="1">
        <v>2</v>
      </c>
      <c r="E1707" s="3">
        <v>40148.570138888892</v>
      </c>
      <c r="F1707" s="1">
        <v>1.25</v>
      </c>
      <c r="G1707" s="1">
        <v>16887</v>
      </c>
      <c r="H1707" s="1" t="s">
        <v>10</v>
      </c>
      <c r="I1707" s="1">
        <f t="shared" si="6"/>
        <v>2.5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</row>
    <row r="1708" spans="1:19" x14ac:dyDescent="0.2">
      <c r="A1708" s="1">
        <v>489579</v>
      </c>
      <c r="B1708" s="1">
        <v>21412</v>
      </c>
      <c r="C1708" s="1" t="s">
        <v>1115</v>
      </c>
      <c r="D1708" s="1">
        <v>2</v>
      </c>
      <c r="E1708" s="3">
        <v>40148.570138888892</v>
      </c>
      <c r="F1708" s="1">
        <v>2.1</v>
      </c>
      <c r="G1708" s="1">
        <v>16887</v>
      </c>
      <c r="H1708" s="1" t="s">
        <v>10</v>
      </c>
      <c r="I1708" s="1">
        <f t="shared" si="6"/>
        <v>4.2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</row>
    <row r="1709" spans="1:19" x14ac:dyDescent="0.2">
      <c r="A1709" s="1">
        <v>489579</v>
      </c>
      <c r="B1709" s="1" t="s">
        <v>1116</v>
      </c>
      <c r="C1709" s="1" t="s">
        <v>1117</v>
      </c>
      <c r="D1709" s="1">
        <v>2</v>
      </c>
      <c r="E1709" s="3">
        <v>40148.570138888892</v>
      </c>
      <c r="F1709" s="1">
        <v>2.95</v>
      </c>
      <c r="G1709" s="1">
        <v>16887</v>
      </c>
      <c r="H1709" s="1" t="s">
        <v>10</v>
      </c>
      <c r="I1709" s="1">
        <f t="shared" si="6"/>
        <v>5.9</v>
      </c>
      <c r="J1709" s="2"/>
      <c r="K1709" s="2"/>
      <c r="L1709" s="2"/>
      <c r="M1709" s="2"/>
      <c r="N1709" s="2"/>
      <c r="O1709" s="2"/>
      <c r="P1709" s="2"/>
      <c r="Q1709" s="2"/>
      <c r="R1709" s="2"/>
      <c r="S1709" s="2"/>
    </row>
    <row r="1710" spans="1:19" x14ac:dyDescent="0.2">
      <c r="A1710" s="1">
        <v>489579</v>
      </c>
      <c r="B1710" s="1">
        <v>21238</v>
      </c>
      <c r="C1710" s="1" t="s">
        <v>468</v>
      </c>
      <c r="D1710" s="1">
        <v>2</v>
      </c>
      <c r="E1710" s="3">
        <v>40148.570138888892</v>
      </c>
      <c r="F1710" s="1">
        <v>0.85</v>
      </c>
      <c r="G1710" s="1">
        <v>16887</v>
      </c>
      <c r="H1710" s="1" t="s">
        <v>10</v>
      </c>
      <c r="I1710" s="1">
        <f t="shared" si="6"/>
        <v>1.7</v>
      </c>
      <c r="J1710" s="2"/>
      <c r="K1710" s="2"/>
      <c r="L1710" s="2"/>
      <c r="M1710" s="2"/>
      <c r="N1710" s="2"/>
      <c r="O1710" s="2"/>
      <c r="P1710" s="2"/>
      <c r="Q1710" s="2"/>
      <c r="R1710" s="2"/>
      <c r="S1710" s="2"/>
    </row>
    <row r="1711" spans="1:19" x14ac:dyDescent="0.2">
      <c r="A1711" s="1">
        <v>489579</v>
      </c>
      <c r="B1711" s="1">
        <v>84855</v>
      </c>
      <c r="C1711" s="1" t="s">
        <v>1118</v>
      </c>
      <c r="D1711" s="1">
        <v>1</v>
      </c>
      <c r="E1711" s="3">
        <v>40148.570138888892</v>
      </c>
      <c r="F1711" s="1">
        <v>4.95</v>
      </c>
      <c r="G1711" s="1">
        <v>16887</v>
      </c>
      <c r="H1711" s="1" t="s">
        <v>10</v>
      </c>
      <c r="I1711" s="1">
        <f t="shared" si="6"/>
        <v>4.95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</row>
    <row r="1712" spans="1:19" x14ac:dyDescent="0.2">
      <c r="A1712" s="1">
        <v>489579</v>
      </c>
      <c r="B1712" s="1">
        <v>84854</v>
      </c>
      <c r="C1712" s="1" t="s">
        <v>1119</v>
      </c>
      <c r="D1712" s="1">
        <v>1</v>
      </c>
      <c r="E1712" s="3">
        <v>40148.570138888892</v>
      </c>
      <c r="F1712" s="1">
        <v>4.95</v>
      </c>
      <c r="G1712" s="1">
        <v>16887</v>
      </c>
      <c r="H1712" s="1" t="s">
        <v>10</v>
      </c>
      <c r="I1712" s="1">
        <f t="shared" si="6"/>
        <v>4.95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</row>
    <row r="1713" spans="1:19" x14ac:dyDescent="0.2">
      <c r="A1713" s="1">
        <v>489579</v>
      </c>
      <c r="B1713" s="1">
        <v>21216</v>
      </c>
      <c r="C1713" s="1" t="s">
        <v>1120</v>
      </c>
      <c r="D1713" s="1">
        <v>1</v>
      </c>
      <c r="E1713" s="3">
        <v>40148.570138888892</v>
      </c>
      <c r="F1713" s="1">
        <v>4.95</v>
      </c>
      <c r="G1713" s="1">
        <v>16887</v>
      </c>
      <c r="H1713" s="1" t="s">
        <v>10</v>
      </c>
      <c r="I1713" s="1">
        <f t="shared" si="6"/>
        <v>4.95</v>
      </c>
      <c r="J1713" s="2"/>
      <c r="K1713" s="2"/>
      <c r="L1713" s="2"/>
      <c r="M1713" s="2"/>
      <c r="N1713" s="2"/>
      <c r="O1713" s="2"/>
      <c r="P1713" s="2"/>
      <c r="Q1713" s="2"/>
      <c r="R1713" s="2"/>
      <c r="S1713" s="2"/>
    </row>
    <row r="1714" spans="1:19" x14ac:dyDescent="0.2">
      <c r="A1714" s="1">
        <v>489579</v>
      </c>
      <c r="B1714" s="1">
        <v>21246</v>
      </c>
      <c r="C1714" s="1" t="s">
        <v>1121</v>
      </c>
      <c r="D1714" s="1">
        <v>1</v>
      </c>
      <c r="E1714" s="3">
        <v>40148.570138888892</v>
      </c>
      <c r="F1714" s="1">
        <v>4.95</v>
      </c>
      <c r="G1714" s="1">
        <v>16887</v>
      </c>
      <c r="H1714" s="1" t="s">
        <v>10</v>
      </c>
      <c r="I1714" s="1">
        <f t="shared" si="6"/>
        <v>4.95</v>
      </c>
      <c r="J1714" s="2"/>
      <c r="K1714" s="2"/>
      <c r="L1714" s="2"/>
      <c r="M1714" s="2"/>
      <c r="N1714" s="2"/>
      <c r="O1714" s="2"/>
      <c r="P1714" s="2"/>
      <c r="Q1714" s="2"/>
      <c r="R1714" s="2"/>
      <c r="S1714" s="2"/>
    </row>
    <row r="1715" spans="1:19" x14ac:dyDescent="0.2">
      <c r="A1715" s="1">
        <v>489579</v>
      </c>
      <c r="B1715" s="1">
        <v>21247</v>
      </c>
      <c r="C1715" s="1" t="s">
        <v>1122</v>
      </c>
      <c r="D1715" s="1">
        <v>1</v>
      </c>
      <c r="E1715" s="3">
        <v>40148.570138888892</v>
      </c>
      <c r="F1715" s="1">
        <v>1.49</v>
      </c>
      <c r="G1715" s="1">
        <v>16887</v>
      </c>
      <c r="H1715" s="1" t="s">
        <v>10</v>
      </c>
      <c r="I1715" s="1">
        <f t="shared" si="6"/>
        <v>1.49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</row>
    <row r="1716" spans="1:19" x14ac:dyDescent="0.2">
      <c r="A1716" s="1">
        <v>489579</v>
      </c>
      <c r="B1716" s="1" t="s">
        <v>1123</v>
      </c>
      <c r="C1716" s="1" t="s">
        <v>1124</v>
      </c>
      <c r="D1716" s="1">
        <v>1</v>
      </c>
      <c r="E1716" s="3">
        <v>40148.570138888892</v>
      </c>
      <c r="F1716" s="1">
        <v>7.95</v>
      </c>
      <c r="G1716" s="1">
        <v>16887</v>
      </c>
      <c r="H1716" s="1" t="s">
        <v>10</v>
      </c>
      <c r="I1716" s="1">
        <f t="shared" si="6"/>
        <v>7.95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</row>
    <row r="1717" spans="1:19" x14ac:dyDescent="0.2">
      <c r="A1717" s="1">
        <v>489579</v>
      </c>
      <c r="B1717" s="1">
        <v>21217</v>
      </c>
      <c r="C1717" s="1" t="s">
        <v>186</v>
      </c>
      <c r="D1717" s="1">
        <v>1</v>
      </c>
      <c r="E1717" s="3">
        <v>40148.570138888892</v>
      </c>
      <c r="F1717" s="1">
        <v>9.9499999999999993</v>
      </c>
      <c r="G1717" s="1">
        <v>16887</v>
      </c>
      <c r="H1717" s="1" t="s">
        <v>10</v>
      </c>
      <c r="I1717" s="1">
        <f t="shared" si="6"/>
        <v>9.9499999999999993</v>
      </c>
      <c r="J1717" s="2"/>
      <c r="K1717" s="2"/>
      <c r="L1717" s="2"/>
      <c r="M1717" s="2"/>
      <c r="N1717" s="2"/>
      <c r="O1717" s="2"/>
      <c r="P1717" s="2"/>
      <c r="Q1717" s="2"/>
      <c r="R1717" s="2"/>
      <c r="S1717" s="2"/>
    </row>
    <row r="1718" spans="1:19" x14ac:dyDescent="0.2">
      <c r="A1718" s="1">
        <v>489579</v>
      </c>
      <c r="B1718" s="1">
        <v>21218</v>
      </c>
      <c r="C1718" s="1" t="s">
        <v>989</v>
      </c>
      <c r="D1718" s="1">
        <v>1</v>
      </c>
      <c r="E1718" s="3">
        <v>40148.570138888892</v>
      </c>
      <c r="F1718" s="1">
        <v>3.75</v>
      </c>
      <c r="G1718" s="1">
        <v>16887</v>
      </c>
      <c r="H1718" s="1" t="s">
        <v>10</v>
      </c>
      <c r="I1718" s="1">
        <f t="shared" si="6"/>
        <v>3.75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</row>
    <row r="1719" spans="1:19" x14ac:dyDescent="0.2">
      <c r="A1719" s="1">
        <v>489579</v>
      </c>
      <c r="B1719" s="1">
        <v>21034</v>
      </c>
      <c r="C1719" s="1" t="s">
        <v>606</v>
      </c>
      <c r="D1719" s="1">
        <v>1</v>
      </c>
      <c r="E1719" s="3">
        <v>40148.570138888892</v>
      </c>
      <c r="F1719" s="1">
        <v>0.95</v>
      </c>
      <c r="G1719" s="1">
        <v>16887</v>
      </c>
      <c r="H1719" s="1" t="s">
        <v>10</v>
      </c>
      <c r="I1719" s="1">
        <f t="shared" si="6"/>
        <v>0.95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</row>
    <row r="1720" spans="1:19" x14ac:dyDescent="0.2">
      <c r="A1720" s="1">
        <v>489580</v>
      </c>
      <c r="B1720" s="1">
        <v>72756</v>
      </c>
      <c r="C1720" s="1" t="s">
        <v>247</v>
      </c>
      <c r="D1720" s="1">
        <v>108</v>
      </c>
      <c r="E1720" s="3">
        <v>40148.571527777778</v>
      </c>
      <c r="F1720" s="1">
        <v>1.25</v>
      </c>
      <c r="G1720" s="1">
        <v>12921</v>
      </c>
      <c r="H1720" s="1" t="s">
        <v>10</v>
      </c>
      <c r="I1720" s="1">
        <f t="shared" si="6"/>
        <v>135</v>
      </c>
      <c r="J1720" s="2"/>
      <c r="K1720" s="2"/>
      <c r="L1720" s="2"/>
      <c r="M1720" s="2"/>
      <c r="N1720" s="2"/>
      <c r="O1720" s="2"/>
      <c r="P1720" s="2"/>
      <c r="Q1720" s="2"/>
      <c r="R1720" s="2"/>
      <c r="S1720" s="2"/>
    </row>
    <row r="1721" spans="1:19" x14ac:dyDescent="0.2">
      <c r="A1721" s="1">
        <v>489580</v>
      </c>
      <c r="B1721" s="1">
        <v>21232</v>
      </c>
      <c r="C1721" s="1" t="s">
        <v>11</v>
      </c>
      <c r="D1721" s="1">
        <v>24</v>
      </c>
      <c r="E1721" s="3">
        <v>40148.571527777778</v>
      </c>
      <c r="F1721" s="1">
        <v>1.25</v>
      </c>
      <c r="G1721" s="1">
        <v>12921</v>
      </c>
      <c r="H1721" s="1" t="s">
        <v>10</v>
      </c>
      <c r="I1721" s="1">
        <f t="shared" si="6"/>
        <v>30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</row>
    <row r="1722" spans="1:19" x14ac:dyDescent="0.2">
      <c r="A1722" s="1">
        <v>489580</v>
      </c>
      <c r="B1722" s="1">
        <v>21231</v>
      </c>
      <c r="C1722" s="1" t="s">
        <v>293</v>
      </c>
      <c r="D1722" s="1">
        <v>24</v>
      </c>
      <c r="E1722" s="3">
        <v>40148.571527777778</v>
      </c>
      <c r="F1722" s="1">
        <v>1.25</v>
      </c>
      <c r="G1722" s="1">
        <v>12921</v>
      </c>
      <c r="H1722" s="1" t="s">
        <v>10</v>
      </c>
      <c r="I1722" s="1">
        <f t="shared" si="6"/>
        <v>30</v>
      </c>
      <c r="J1722" s="2"/>
      <c r="K1722" s="2"/>
      <c r="L1722" s="2"/>
      <c r="M1722" s="2"/>
      <c r="N1722" s="2"/>
      <c r="O1722" s="2"/>
      <c r="P1722" s="2"/>
      <c r="Q1722" s="2"/>
      <c r="R1722" s="2"/>
      <c r="S1722" s="2"/>
    </row>
    <row r="1723" spans="1:19" x14ac:dyDescent="0.2">
      <c r="A1723" s="1">
        <v>489580</v>
      </c>
      <c r="B1723" s="1">
        <v>21975</v>
      </c>
      <c r="C1723" s="1" t="s">
        <v>1125</v>
      </c>
      <c r="D1723" s="1">
        <v>24</v>
      </c>
      <c r="E1723" s="3">
        <v>40148.571527777778</v>
      </c>
      <c r="F1723" s="1">
        <v>0.55000000000000004</v>
      </c>
      <c r="G1723" s="1">
        <v>12921</v>
      </c>
      <c r="H1723" s="1" t="s">
        <v>10</v>
      </c>
      <c r="I1723" s="1">
        <f t="shared" si="6"/>
        <v>13.200000000000001</v>
      </c>
      <c r="J1723" s="2"/>
      <c r="K1723" s="2"/>
      <c r="L1723" s="2"/>
      <c r="M1723" s="2"/>
      <c r="N1723" s="2"/>
      <c r="O1723" s="2"/>
      <c r="P1723" s="2"/>
      <c r="Q1723" s="2"/>
      <c r="R1723" s="2"/>
      <c r="S1723" s="2"/>
    </row>
    <row r="1724" spans="1:19" x14ac:dyDescent="0.2">
      <c r="A1724" s="1">
        <v>489580</v>
      </c>
      <c r="B1724" s="1">
        <v>21213</v>
      </c>
      <c r="C1724" s="1" t="s">
        <v>1126</v>
      </c>
      <c r="D1724" s="1">
        <v>24</v>
      </c>
      <c r="E1724" s="3">
        <v>40148.571527777778</v>
      </c>
      <c r="F1724" s="1">
        <v>0.55000000000000004</v>
      </c>
      <c r="G1724" s="1">
        <v>12921</v>
      </c>
      <c r="H1724" s="1" t="s">
        <v>10</v>
      </c>
      <c r="I1724" s="1">
        <f t="shared" si="6"/>
        <v>13.200000000000001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</row>
    <row r="1725" spans="1:19" x14ac:dyDescent="0.2">
      <c r="A1725" s="1">
        <v>489580</v>
      </c>
      <c r="B1725" s="1">
        <v>21977</v>
      </c>
      <c r="C1725" s="1" t="s">
        <v>239</v>
      </c>
      <c r="D1725" s="1">
        <v>24</v>
      </c>
      <c r="E1725" s="3">
        <v>40148.571527777778</v>
      </c>
      <c r="F1725" s="1">
        <v>0.55000000000000004</v>
      </c>
      <c r="G1725" s="1">
        <v>12921</v>
      </c>
      <c r="H1725" s="1" t="s">
        <v>10</v>
      </c>
      <c r="I1725" s="1">
        <f t="shared" si="6"/>
        <v>13.200000000000001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</row>
    <row r="1726" spans="1:19" x14ac:dyDescent="0.2">
      <c r="A1726" s="1">
        <v>489580</v>
      </c>
      <c r="B1726" s="1">
        <v>21212</v>
      </c>
      <c r="C1726" s="1" t="s">
        <v>253</v>
      </c>
      <c r="D1726" s="1">
        <v>24</v>
      </c>
      <c r="E1726" s="3">
        <v>40148.571527777778</v>
      </c>
      <c r="F1726" s="1">
        <v>0.55000000000000004</v>
      </c>
      <c r="G1726" s="1">
        <v>12921</v>
      </c>
      <c r="H1726" s="1" t="s">
        <v>10</v>
      </c>
      <c r="I1726" s="1">
        <f t="shared" si="6"/>
        <v>13.200000000000001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2"/>
    </row>
    <row r="1727" spans="1:19" x14ac:dyDescent="0.2">
      <c r="A1727" s="1">
        <v>489580</v>
      </c>
      <c r="B1727" s="1">
        <v>84991</v>
      </c>
      <c r="C1727" s="1" t="s">
        <v>240</v>
      </c>
      <c r="D1727" s="1">
        <v>24</v>
      </c>
      <c r="E1727" s="3">
        <v>40148.571527777778</v>
      </c>
      <c r="F1727" s="1">
        <v>0.55000000000000004</v>
      </c>
      <c r="G1727" s="1">
        <v>12921</v>
      </c>
      <c r="H1727" s="1" t="s">
        <v>10</v>
      </c>
      <c r="I1727" s="1">
        <f t="shared" si="6"/>
        <v>13.200000000000001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</row>
    <row r="1728" spans="1:19" x14ac:dyDescent="0.2">
      <c r="A1728" s="1">
        <v>489581</v>
      </c>
      <c r="B1728" s="1">
        <v>85175</v>
      </c>
      <c r="C1728" s="1" t="s">
        <v>1127</v>
      </c>
      <c r="D1728" s="1">
        <v>64</v>
      </c>
      <c r="E1728" s="3">
        <v>40148.574305555558</v>
      </c>
      <c r="F1728" s="1">
        <v>0.42</v>
      </c>
      <c r="G1728" s="1">
        <v>15945</v>
      </c>
      <c r="H1728" s="1" t="s">
        <v>10</v>
      </c>
      <c r="I1728" s="1">
        <f t="shared" si="6"/>
        <v>26.88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</row>
    <row r="1729" spans="1:19" x14ac:dyDescent="0.2">
      <c r="A1729" s="1">
        <v>489581</v>
      </c>
      <c r="B1729" s="1">
        <v>72487</v>
      </c>
      <c r="C1729" s="1" t="s">
        <v>1128</v>
      </c>
      <c r="D1729" s="1">
        <v>36</v>
      </c>
      <c r="E1729" s="3">
        <v>40148.574305555558</v>
      </c>
      <c r="F1729" s="1">
        <v>0.38</v>
      </c>
      <c r="G1729" s="1">
        <v>15945</v>
      </c>
      <c r="H1729" s="1" t="s">
        <v>10</v>
      </c>
      <c r="I1729" s="1">
        <f t="shared" si="6"/>
        <v>13.68</v>
      </c>
      <c r="J1729" s="2"/>
      <c r="K1729" s="2"/>
      <c r="L1729" s="2"/>
      <c r="M1729" s="2"/>
      <c r="N1729" s="2"/>
      <c r="O1729" s="2"/>
      <c r="P1729" s="2"/>
      <c r="Q1729" s="2"/>
      <c r="R1729" s="2"/>
      <c r="S1729" s="2"/>
    </row>
    <row r="1730" spans="1:19" x14ac:dyDescent="0.2">
      <c r="A1730" s="1">
        <v>489581</v>
      </c>
      <c r="B1730" s="1">
        <v>84950</v>
      </c>
      <c r="C1730" s="1" t="s">
        <v>1129</v>
      </c>
      <c r="D1730" s="1">
        <v>12</v>
      </c>
      <c r="E1730" s="3">
        <v>40148.574305555558</v>
      </c>
      <c r="F1730" s="1">
        <v>0.85</v>
      </c>
      <c r="G1730" s="1">
        <v>15945</v>
      </c>
      <c r="H1730" s="1" t="s">
        <v>10</v>
      </c>
      <c r="I1730" s="1">
        <f t="shared" si="6"/>
        <v>10.199999999999999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</row>
    <row r="1731" spans="1:19" x14ac:dyDescent="0.2">
      <c r="A1731" s="1">
        <v>489581</v>
      </c>
      <c r="B1731" s="1">
        <v>84360</v>
      </c>
      <c r="C1731" s="1" t="s">
        <v>1130</v>
      </c>
      <c r="D1731" s="1">
        <v>12</v>
      </c>
      <c r="E1731" s="3">
        <v>40148.574305555558</v>
      </c>
      <c r="F1731" s="1">
        <v>4.6500000000000004</v>
      </c>
      <c r="G1731" s="1">
        <v>15945</v>
      </c>
      <c r="H1731" s="1" t="s">
        <v>10</v>
      </c>
      <c r="I1731" s="1">
        <f t="shared" si="6"/>
        <v>55.800000000000004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</row>
    <row r="1732" spans="1:19" x14ac:dyDescent="0.2">
      <c r="A1732" s="1">
        <v>489581</v>
      </c>
      <c r="B1732" s="1">
        <v>84755</v>
      </c>
      <c r="C1732" s="1" t="s">
        <v>1131</v>
      </c>
      <c r="D1732" s="1">
        <v>8</v>
      </c>
      <c r="E1732" s="3">
        <v>40148.574305555558</v>
      </c>
      <c r="F1732" s="1">
        <v>0.65</v>
      </c>
      <c r="G1732" s="1">
        <v>15945</v>
      </c>
      <c r="H1732" s="1" t="s">
        <v>10</v>
      </c>
      <c r="I1732" s="1">
        <f t="shared" si="6"/>
        <v>5.2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</row>
    <row r="1733" spans="1:19" x14ac:dyDescent="0.2">
      <c r="A1733" s="1">
        <v>489581</v>
      </c>
      <c r="B1733" s="1">
        <v>85174</v>
      </c>
      <c r="C1733" s="1" t="s">
        <v>1132</v>
      </c>
      <c r="D1733" s="1">
        <v>1</v>
      </c>
      <c r="E1733" s="3">
        <v>40148.574305555558</v>
      </c>
      <c r="F1733" s="1">
        <v>4.95</v>
      </c>
      <c r="G1733" s="1">
        <v>15945</v>
      </c>
      <c r="H1733" s="1" t="s">
        <v>10</v>
      </c>
      <c r="I1733" s="1">
        <f t="shared" si="6"/>
        <v>4.95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</row>
    <row r="1734" spans="1:19" x14ac:dyDescent="0.2">
      <c r="A1734" s="1">
        <v>489581</v>
      </c>
      <c r="B1734" s="1" t="s">
        <v>1133</v>
      </c>
      <c r="C1734" s="1" t="s">
        <v>1134</v>
      </c>
      <c r="D1734" s="1">
        <v>1</v>
      </c>
      <c r="E1734" s="3">
        <v>40148.574305555558</v>
      </c>
      <c r="F1734" s="1">
        <v>1.65</v>
      </c>
      <c r="G1734" s="1">
        <v>15945</v>
      </c>
      <c r="H1734" s="1" t="s">
        <v>10</v>
      </c>
      <c r="I1734" s="1">
        <f t="shared" si="6"/>
        <v>1.65</v>
      </c>
      <c r="J1734" s="2"/>
      <c r="K1734" s="2"/>
      <c r="L1734" s="2"/>
      <c r="M1734" s="2"/>
      <c r="N1734" s="2"/>
      <c r="O1734" s="2"/>
      <c r="P1734" s="2"/>
      <c r="Q1734" s="2"/>
      <c r="R1734" s="2"/>
      <c r="S1734" s="2"/>
    </row>
    <row r="1735" spans="1:19" x14ac:dyDescent="0.2">
      <c r="A1735" s="1">
        <v>489581</v>
      </c>
      <c r="B1735" s="1">
        <v>22114</v>
      </c>
      <c r="C1735" s="1" t="s">
        <v>184</v>
      </c>
      <c r="D1735" s="1">
        <v>1</v>
      </c>
      <c r="E1735" s="3">
        <v>40148.574305555558</v>
      </c>
      <c r="F1735" s="1">
        <v>3.95</v>
      </c>
      <c r="G1735" s="1">
        <v>15945</v>
      </c>
      <c r="H1735" s="1" t="s">
        <v>10</v>
      </c>
      <c r="I1735" s="1">
        <f t="shared" si="6"/>
        <v>3.95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</row>
    <row r="1736" spans="1:19" x14ac:dyDescent="0.2">
      <c r="A1736" s="1">
        <v>489581</v>
      </c>
      <c r="B1736" s="1">
        <v>72267</v>
      </c>
      <c r="C1736" s="1" t="s">
        <v>768</v>
      </c>
      <c r="D1736" s="1">
        <v>1</v>
      </c>
      <c r="E1736" s="3">
        <v>40148.574305555558</v>
      </c>
      <c r="F1736" s="1">
        <v>2.1</v>
      </c>
      <c r="G1736" s="1">
        <v>15945</v>
      </c>
      <c r="H1736" s="1" t="s">
        <v>10</v>
      </c>
      <c r="I1736" s="1">
        <f t="shared" si="6"/>
        <v>2.1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</row>
    <row r="1737" spans="1:19" x14ac:dyDescent="0.2">
      <c r="A1737" s="1">
        <v>489581</v>
      </c>
      <c r="B1737" s="1" t="s">
        <v>1135</v>
      </c>
      <c r="C1737" s="1" t="s">
        <v>1136</v>
      </c>
      <c r="D1737" s="1">
        <v>1</v>
      </c>
      <c r="E1737" s="3">
        <v>40148.574305555558</v>
      </c>
      <c r="F1737" s="1">
        <v>0.42</v>
      </c>
      <c r="G1737" s="1">
        <v>15945</v>
      </c>
      <c r="H1737" s="1" t="s">
        <v>10</v>
      </c>
      <c r="I1737" s="1">
        <f t="shared" si="6"/>
        <v>0.42</v>
      </c>
      <c r="J1737" s="2"/>
      <c r="K1737" s="2"/>
      <c r="L1737" s="2"/>
      <c r="M1737" s="2"/>
      <c r="N1737" s="2"/>
      <c r="O1737" s="2"/>
      <c r="P1737" s="2"/>
      <c r="Q1737" s="2"/>
      <c r="R1737" s="2"/>
      <c r="S1737" s="2"/>
    </row>
    <row r="1738" spans="1:19" x14ac:dyDescent="0.2">
      <c r="A1738" s="1">
        <v>489582</v>
      </c>
      <c r="B1738" s="1" t="s">
        <v>1137</v>
      </c>
      <c r="C1738" s="1" t="s">
        <v>1138</v>
      </c>
      <c r="D1738" s="1">
        <v>72</v>
      </c>
      <c r="E1738" s="3">
        <v>40148.574305555558</v>
      </c>
      <c r="F1738" s="1">
        <v>0.95</v>
      </c>
      <c r="G1738" s="1">
        <v>14543</v>
      </c>
      <c r="H1738" s="1" t="s">
        <v>10</v>
      </c>
      <c r="I1738" s="1">
        <f t="shared" si="6"/>
        <v>68.399999999999991</v>
      </c>
      <c r="J1738" s="2"/>
      <c r="K1738" s="2"/>
      <c r="L1738" s="2"/>
      <c r="M1738" s="2"/>
      <c r="N1738" s="2"/>
      <c r="O1738" s="2"/>
      <c r="P1738" s="2"/>
      <c r="Q1738" s="2"/>
      <c r="R1738" s="2"/>
      <c r="S1738" s="2"/>
    </row>
    <row r="1739" spans="1:19" x14ac:dyDescent="0.2">
      <c r="A1739" s="1">
        <v>489582</v>
      </c>
      <c r="B1739" s="1">
        <v>84773</v>
      </c>
      <c r="C1739" s="1" t="s">
        <v>1139</v>
      </c>
      <c r="D1739" s="1">
        <v>18</v>
      </c>
      <c r="E1739" s="3">
        <v>40148.574305555558</v>
      </c>
      <c r="F1739" s="1">
        <v>2.95</v>
      </c>
      <c r="G1739" s="1">
        <v>14543</v>
      </c>
      <c r="H1739" s="1" t="s">
        <v>10</v>
      </c>
      <c r="I1739" s="1">
        <f t="shared" si="6"/>
        <v>53.1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</row>
    <row r="1740" spans="1:19" x14ac:dyDescent="0.2">
      <c r="A1740" s="1">
        <v>489582</v>
      </c>
      <c r="B1740" s="1" t="s">
        <v>1140</v>
      </c>
      <c r="C1740" s="1" t="s">
        <v>1141</v>
      </c>
      <c r="D1740" s="1">
        <v>12</v>
      </c>
      <c r="E1740" s="3">
        <v>40148.574305555558</v>
      </c>
      <c r="F1740" s="1">
        <v>4.25</v>
      </c>
      <c r="G1740" s="1">
        <v>14543</v>
      </c>
      <c r="H1740" s="1" t="s">
        <v>10</v>
      </c>
      <c r="I1740" s="1">
        <f t="shared" si="6"/>
        <v>51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</row>
    <row r="1741" spans="1:19" x14ac:dyDescent="0.2">
      <c r="A1741" s="1">
        <v>489582</v>
      </c>
      <c r="B1741" s="1" t="s">
        <v>1142</v>
      </c>
      <c r="C1741" s="1" t="s">
        <v>1143</v>
      </c>
      <c r="D1741" s="1">
        <v>10</v>
      </c>
      <c r="E1741" s="3">
        <v>40148.574305555558</v>
      </c>
      <c r="F1741" s="1">
        <v>2.95</v>
      </c>
      <c r="G1741" s="1">
        <v>14543</v>
      </c>
      <c r="H1741" s="1" t="s">
        <v>10</v>
      </c>
      <c r="I1741" s="1">
        <f t="shared" si="6"/>
        <v>29.5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</row>
    <row r="1742" spans="1:19" x14ac:dyDescent="0.2">
      <c r="A1742" s="1">
        <v>489582</v>
      </c>
      <c r="B1742" s="1" t="s">
        <v>1144</v>
      </c>
      <c r="C1742" s="1" t="s">
        <v>1145</v>
      </c>
      <c r="D1742" s="1">
        <v>6</v>
      </c>
      <c r="E1742" s="3">
        <v>40148.574305555558</v>
      </c>
      <c r="F1742" s="1">
        <v>2.95</v>
      </c>
      <c r="G1742" s="1">
        <v>14543</v>
      </c>
      <c r="H1742" s="1" t="s">
        <v>10</v>
      </c>
      <c r="I1742" s="1">
        <f t="shared" si="6"/>
        <v>17.700000000000003</v>
      </c>
      <c r="J1742" s="2"/>
      <c r="K1742" s="2"/>
      <c r="L1742" s="2"/>
      <c r="M1742" s="2"/>
      <c r="N1742" s="2"/>
      <c r="O1742" s="2"/>
      <c r="P1742" s="2"/>
      <c r="Q1742" s="2"/>
      <c r="R1742" s="2"/>
      <c r="S1742" s="2"/>
    </row>
    <row r="1743" spans="1:19" x14ac:dyDescent="0.2">
      <c r="A1743" s="1">
        <v>489582</v>
      </c>
      <c r="B1743" s="1">
        <v>35400</v>
      </c>
      <c r="C1743" s="1" t="s">
        <v>69</v>
      </c>
      <c r="D1743" s="1">
        <v>2</v>
      </c>
      <c r="E1743" s="3">
        <v>40148.574305555558</v>
      </c>
      <c r="F1743" s="1">
        <v>8.9499999999999993</v>
      </c>
      <c r="G1743" s="1">
        <v>14543</v>
      </c>
      <c r="H1743" s="1" t="s">
        <v>10</v>
      </c>
      <c r="I1743" s="1">
        <f t="shared" si="6"/>
        <v>17.899999999999999</v>
      </c>
      <c r="J1743" s="2"/>
      <c r="K1743" s="2"/>
      <c r="L1743" s="2"/>
      <c r="M1743" s="2"/>
      <c r="N1743" s="2"/>
      <c r="O1743" s="2"/>
      <c r="P1743" s="2"/>
      <c r="Q1743" s="2"/>
      <c r="R1743" s="2"/>
      <c r="S1743" s="2"/>
    </row>
    <row r="1744" spans="1:19" x14ac:dyDescent="0.2">
      <c r="A1744" s="1">
        <v>489582</v>
      </c>
      <c r="B1744" s="1">
        <v>21477</v>
      </c>
      <c r="C1744" s="1" t="s">
        <v>952</v>
      </c>
      <c r="D1744" s="1">
        <v>2</v>
      </c>
      <c r="E1744" s="3">
        <v>40148.574305555558</v>
      </c>
      <c r="F1744" s="1">
        <v>12.75</v>
      </c>
      <c r="G1744" s="1">
        <v>14543</v>
      </c>
      <c r="H1744" s="1" t="s">
        <v>10</v>
      </c>
      <c r="I1744" s="1">
        <f t="shared" si="6"/>
        <v>25.5</v>
      </c>
      <c r="J1744" s="2"/>
      <c r="K1744" s="2"/>
      <c r="L1744" s="2"/>
      <c r="M1744" s="2"/>
      <c r="N1744" s="2"/>
      <c r="O1744" s="2"/>
      <c r="P1744" s="2"/>
      <c r="Q1744" s="2"/>
      <c r="R1744" s="2"/>
      <c r="S1744" s="2"/>
    </row>
    <row r="1745" spans="1:19" x14ac:dyDescent="0.2">
      <c r="A1745" s="1">
        <v>489582</v>
      </c>
      <c r="B1745" s="1">
        <v>85048</v>
      </c>
      <c r="C1745" s="1" t="s">
        <v>14</v>
      </c>
      <c r="D1745" s="1">
        <v>2</v>
      </c>
      <c r="E1745" s="3">
        <v>40148.574305555558</v>
      </c>
      <c r="F1745" s="1">
        <v>7.95</v>
      </c>
      <c r="G1745" s="1">
        <v>14543</v>
      </c>
      <c r="H1745" s="1" t="s">
        <v>10</v>
      </c>
      <c r="I1745" s="1">
        <f t="shared" si="6"/>
        <v>15.9</v>
      </c>
      <c r="J1745" s="2"/>
      <c r="K1745" s="2"/>
      <c r="L1745" s="2"/>
      <c r="M1745" s="2"/>
      <c r="N1745" s="2"/>
      <c r="O1745" s="2"/>
      <c r="P1745" s="2"/>
      <c r="Q1745" s="2"/>
      <c r="R1745" s="2"/>
      <c r="S1745" s="2"/>
    </row>
    <row r="1746" spans="1:19" x14ac:dyDescent="0.2">
      <c r="A1746" s="1">
        <v>489582</v>
      </c>
      <c r="B1746" s="1">
        <v>21768</v>
      </c>
      <c r="C1746" s="1" t="s">
        <v>1146</v>
      </c>
      <c r="D1746" s="1">
        <v>1</v>
      </c>
      <c r="E1746" s="3">
        <v>40148.574305555558</v>
      </c>
      <c r="F1746" s="1">
        <v>14.95</v>
      </c>
      <c r="G1746" s="1">
        <v>14543</v>
      </c>
      <c r="H1746" s="1" t="s">
        <v>10</v>
      </c>
      <c r="I1746" s="1">
        <f t="shared" si="6"/>
        <v>14.95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</row>
    <row r="1747" spans="1:19" x14ac:dyDescent="0.2">
      <c r="A1747" s="1" t="s">
        <v>1147</v>
      </c>
      <c r="B1747" s="1" t="s">
        <v>1148</v>
      </c>
      <c r="C1747" s="1" t="s">
        <v>1149</v>
      </c>
      <c r="D1747" s="1">
        <v>-1</v>
      </c>
      <c r="E1747" s="3">
        <v>40148.574305555558</v>
      </c>
      <c r="F1747" s="1">
        <v>4.25</v>
      </c>
      <c r="G1747" s="1">
        <v>14621</v>
      </c>
      <c r="H1747" s="1" t="s">
        <v>10</v>
      </c>
      <c r="I1747" s="1">
        <f t="shared" si="6"/>
        <v>-4.25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</row>
    <row r="1748" spans="1:19" x14ac:dyDescent="0.2">
      <c r="A1748" s="1" t="s">
        <v>1147</v>
      </c>
      <c r="B1748" s="1" t="s">
        <v>1150</v>
      </c>
      <c r="C1748" s="1" t="s">
        <v>1151</v>
      </c>
      <c r="D1748" s="1">
        <v>-1</v>
      </c>
      <c r="E1748" s="3">
        <v>40148.574305555558</v>
      </c>
      <c r="F1748" s="1">
        <v>4.25</v>
      </c>
      <c r="G1748" s="1">
        <v>14621</v>
      </c>
      <c r="H1748" s="1" t="s">
        <v>10</v>
      </c>
      <c r="I1748" s="1">
        <f t="shared" si="6"/>
        <v>-4.25</v>
      </c>
      <c r="J1748" s="2"/>
      <c r="K1748" s="2"/>
      <c r="L1748" s="2"/>
      <c r="M1748" s="2"/>
      <c r="N1748" s="2"/>
      <c r="O1748" s="2"/>
      <c r="P1748" s="2"/>
      <c r="Q1748" s="2"/>
      <c r="R1748" s="2"/>
      <c r="S1748" s="2"/>
    </row>
    <row r="1749" spans="1:19" x14ac:dyDescent="0.2">
      <c r="A1749" s="1" t="s">
        <v>1147</v>
      </c>
      <c r="B1749" s="1">
        <v>85047</v>
      </c>
      <c r="C1749" s="1" t="s">
        <v>953</v>
      </c>
      <c r="D1749" s="1">
        <v>-1</v>
      </c>
      <c r="E1749" s="3">
        <v>40148.574305555558</v>
      </c>
      <c r="F1749" s="1">
        <v>6.35</v>
      </c>
      <c r="G1749" s="1">
        <v>14621</v>
      </c>
      <c r="H1749" s="1" t="s">
        <v>10</v>
      </c>
      <c r="I1749" s="1">
        <f t="shared" si="6"/>
        <v>-6.35</v>
      </c>
      <c r="J1749" s="2"/>
      <c r="K1749" s="2"/>
      <c r="L1749" s="2"/>
      <c r="M1749" s="2"/>
      <c r="N1749" s="2"/>
      <c r="O1749" s="2"/>
      <c r="P1749" s="2"/>
      <c r="Q1749" s="2"/>
      <c r="R1749" s="2"/>
      <c r="S1749" s="2"/>
    </row>
    <row r="1750" spans="1:19" x14ac:dyDescent="0.2">
      <c r="A1750" s="1" t="s">
        <v>1147</v>
      </c>
      <c r="B1750" s="1" t="s">
        <v>572</v>
      </c>
      <c r="C1750" s="1" t="s">
        <v>573</v>
      </c>
      <c r="D1750" s="1">
        <v>-2</v>
      </c>
      <c r="E1750" s="3">
        <v>40148.574305555558</v>
      </c>
      <c r="F1750" s="1">
        <v>4.25</v>
      </c>
      <c r="G1750" s="1">
        <v>14621</v>
      </c>
      <c r="H1750" s="1" t="s">
        <v>10</v>
      </c>
      <c r="I1750" s="1">
        <f t="shared" si="6"/>
        <v>-8.5</v>
      </c>
      <c r="J1750" s="2"/>
      <c r="K1750" s="2"/>
      <c r="L1750" s="2"/>
      <c r="M1750" s="2"/>
      <c r="N1750" s="2"/>
      <c r="O1750" s="2"/>
      <c r="P1750" s="2"/>
      <c r="Q1750" s="2"/>
      <c r="R1750" s="2"/>
      <c r="S1750" s="2"/>
    </row>
    <row r="1751" spans="1:19" x14ac:dyDescent="0.2">
      <c r="A1751" s="1">
        <v>489584</v>
      </c>
      <c r="B1751" s="1">
        <v>21335</v>
      </c>
      <c r="C1751" s="1" t="s">
        <v>1152</v>
      </c>
      <c r="D1751" s="1">
        <v>1</v>
      </c>
      <c r="E1751" s="3">
        <v>40148.574999999997</v>
      </c>
      <c r="F1751" s="1">
        <v>21.95</v>
      </c>
      <c r="G1751" s="1">
        <v>18037</v>
      </c>
      <c r="H1751" s="1" t="s">
        <v>10</v>
      </c>
      <c r="I1751" s="1">
        <f t="shared" si="6"/>
        <v>21.95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2"/>
    </row>
    <row r="1752" spans="1:19" x14ac:dyDescent="0.2">
      <c r="A1752" s="1">
        <v>489585</v>
      </c>
      <c r="B1752" s="1">
        <v>84832</v>
      </c>
      <c r="C1752" s="1" t="s">
        <v>533</v>
      </c>
      <c r="D1752" s="1">
        <v>24</v>
      </c>
      <c r="E1752" s="3">
        <v>40148.575694444444</v>
      </c>
      <c r="F1752" s="1">
        <v>0.85</v>
      </c>
      <c r="G1752" s="1">
        <v>15662</v>
      </c>
      <c r="H1752" s="1" t="s">
        <v>10</v>
      </c>
      <c r="I1752" s="1">
        <f t="shared" si="6"/>
        <v>20.399999999999999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</row>
    <row r="1753" spans="1:19" x14ac:dyDescent="0.2">
      <c r="A1753" s="1">
        <v>489585</v>
      </c>
      <c r="B1753" s="1">
        <v>21133</v>
      </c>
      <c r="C1753" s="1" t="s">
        <v>378</v>
      </c>
      <c r="D1753" s="1">
        <v>24</v>
      </c>
      <c r="E1753" s="3">
        <v>40148.575694444444</v>
      </c>
      <c r="F1753" s="1">
        <v>1.69</v>
      </c>
      <c r="G1753" s="1">
        <v>15662</v>
      </c>
      <c r="H1753" s="1" t="s">
        <v>10</v>
      </c>
      <c r="I1753" s="1">
        <f t="shared" si="6"/>
        <v>40.56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2"/>
    </row>
    <row r="1754" spans="1:19" x14ac:dyDescent="0.2">
      <c r="A1754" s="1">
        <v>489585</v>
      </c>
      <c r="B1754" s="1">
        <v>84879</v>
      </c>
      <c r="C1754" s="1" t="s">
        <v>26</v>
      </c>
      <c r="D1754" s="1">
        <v>16</v>
      </c>
      <c r="E1754" s="3">
        <v>40148.575694444444</v>
      </c>
      <c r="F1754" s="1">
        <v>1.69</v>
      </c>
      <c r="G1754" s="1">
        <v>15662</v>
      </c>
      <c r="H1754" s="1" t="s">
        <v>10</v>
      </c>
      <c r="I1754" s="1">
        <f t="shared" si="6"/>
        <v>27.04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2"/>
    </row>
    <row r="1755" spans="1:19" x14ac:dyDescent="0.2">
      <c r="A1755" s="1">
        <v>489585</v>
      </c>
      <c r="B1755" s="1">
        <v>21755</v>
      </c>
      <c r="C1755" s="1" t="s">
        <v>25</v>
      </c>
      <c r="D1755" s="1">
        <v>3</v>
      </c>
      <c r="E1755" s="3">
        <v>40148.575694444444</v>
      </c>
      <c r="F1755" s="1">
        <v>5.95</v>
      </c>
      <c r="G1755" s="1">
        <v>15662</v>
      </c>
      <c r="H1755" s="1" t="s">
        <v>10</v>
      </c>
      <c r="I1755" s="1">
        <f t="shared" si="6"/>
        <v>17.850000000000001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</row>
    <row r="1756" spans="1:19" x14ac:dyDescent="0.2">
      <c r="A1756" s="1">
        <v>489586</v>
      </c>
      <c r="B1756" s="1" t="s">
        <v>854</v>
      </c>
      <c r="C1756" s="1" t="s">
        <v>855</v>
      </c>
      <c r="D1756" s="1">
        <v>36</v>
      </c>
      <c r="E1756" s="3">
        <v>40148.576388888891</v>
      </c>
      <c r="F1756" s="1">
        <v>2.95</v>
      </c>
      <c r="G1756" s="1">
        <v>15380</v>
      </c>
      <c r="H1756" s="1" t="s">
        <v>10</v>
      </c>
      <c r="I1756" s="1">
        <f t="shared" si="6"/>
        <v>106.2</v>
      </c>
      <c r="J1756" s="2"/>
      <c r="K1756" s="2"/>
      <c r="L1756" s="2"/>
      <c r="M1756" s="2"/>
      <c r="N1756" s="2"/>
      <c r="O1756" s="2"/>
      <c r="P1756" s="2"/>
      <c r="Q1756" s="2"/>
      <c r="R1756" s="2"/>
      <c r="S1756" s="2"/>
    </row>
    <row r="1757" spans="1:19" x14ac:dyDescent="0.2">
      <c r="A1757" s="1">
        <v>489586</v>
      </c>
      <c r="B1757" s="1">
        <v>84396</v>
      </c>
      <c r="C1757" s="1" t="s">
        <v>1153</v>
      </c>
      <c r="D1757" s="1">
        <v>24</v>
      </c>
      <c r="E1757" s="3">
        <v>40148.576388888891</v>
      </c>
      <c r="F1757" s="1">
        <v>1.95</v>
      </c>
      <c r="G1757" s="1">
        <v>15380</v>
      </c>
      <c r="H1757" s="1" t="s">
        <v>10</v>
      </c>
      <c r="I1757" s="1">
        <f t="shared" si="6"/>
        <v>46.8</v>
      </c>
      <c r="J1757" s="2"/>
      <c r="K1757" s="2"/>
      <c r="L1757" s="2"/>
      <c r="M1757" s="2"/>
      <c r="N1757" s="2"/>
      <c r="O1757" s="2"/>
      <c r="P1757" s="2"/>
      <c r="Q1757" s="2"/>
      <c r="R1757" s="2"/>
      <c r="S1757" s="2"/>
    </row>
    <row r="1758" spans="1:19" x14ac:dyDescent="0.2">
      <c r="A1758" s="1">
        <v>489586</v>
      </c>
      <c r="B1758" s="1" t="s">
        <v>1113</v>
      </c>
      <c r="C1758" s="1" t="s">
        <v>1114</v>
      </c>
      <c r="D1758" s="1">
        <v>18</v>
      </c>
      <c r="E1758" s="3">
        <v>40148.576388888891</v>
      </c>
      <c r="F1758" s="1">
        <v>3.39</v>
      </c>
      <c r="G1758" s="1">
        <v>15380</v>
      </c>
      <c r="H1758" s="1" t="s">
        <v>10</v>
      </c>
      <c r="I1758" s="1">
        <f t="shared" si="6"/>
        <v>61.02</v>
      </c>
      <c r="J1758" s="2"/>
      <c r="K1758" s="2"/>
      <c r="L1758" s="2"/>
      <c r="M1758" s="2"/>
      <c r="N1758" s="2"/>
      <c r="O1758" s="2"/>
      <c r="P1758" s="2"/>
      <c r="Q1758" s="2"/>
      <c r="R1758" s="2"/>
      <c r="S1758" s="2"/>
    </row>
    <row r="1759" spans="1:19" x14ac:dyDescent="0.2">
      <c r="A1759" s="1">
        <v>489586</v>
      </c>
      <c r="B1759" s="1" t="s">
        <v>1154</v>
      </c>
      <c r="C1759" s="1" t="s">
        <v>1155</v>
      </c>
      <c r="D1759" s="1">
        <v>8</v>
      </c>
      <c r="E1759" s="3">
        <v>40148.576388888891</v>
      </c>
      <c r="F1759" s="1">
        <v>2.1</v>
      </c>
      <c r="G1759" s="1">
        <v>15380</v>
      </c>
      <c r="H1759" s="1" t="s">
        <v>10</v>
      </c>
      <c r="I1759" s="1">
        <f t="shared" si="6"/>
        <v>16.8</v>
      </c>
      <c r="J1759" s="2"/>
      <c r="K1759" s="2"/>
      <c r="L1759" s="2"/>
      <c r="M1759" s="2"/>
      <c r="N1759" s="2"/>
      <c r="O1759" s="2"/>
      <c r="P1759" s="2"/>
      <c r="Q1759" s="2"/>
      <c r="R1759" s="2"/>
      <c r="S1759" s="2"/>
    </row>
    <row r="1760" spans="1:19" x14ac:dyDescent="0.2">
      <c r="A1760" s="1">
        <v>489586</v>
      </c>
      <c r="B1760" s="1" t="s">
        <v>1156</v>
      </c>
      <c r="C1760" s="1" t="s">
        <v>1157</v>
      </c>
      <c r="D1760" s="1">
        <v>8</v>
      </c>
      <c r="E1760" s="3">
        <v>40148.576388888891</v>
      </c>
      <c r="F1760" s="1">
        <v>1.95</v>
      </c>
      <c r="G1760" s="1">
        <v>15380</v>
      </c>
      <c r="H1760" s="1" t="s">
        <v>10</v>
      </c>
      <c r="I1760" s="1">
        <f t="shared" si="6"/>
        <v>15.6</v>
      </c>
      <c r="J1760" s="2"/>
      <c r="K1760" s="2"/>
      <c r="L1760" s="2"/>
      <c r="M1760" s="2"/>
      <c r="N1760" s="2"/>
      <c r="O1760" s="2"/>
      <c r="P1760" s="2"/>
      <c r="Q1760" s="2"/>
      <c r="R1760" s="2"/>
      <c r="S1760" s="2"/>
    </row>
    <row r="1761" spans="1:19" x14ac:dyDescent="0.2">
      <c r="A1761" s="1">
        <v>489586</v>
      </c>
      <c r="B1761" s="1">
        <v>21895</v>
      </c>
      <c r="C1761" s="1" t="s">
        <v>202</v>
      </c>
      <c r="D1761" s="1">
        <v>4</v>
      </c>
      <c r="E1761" s="3">
        <v>40148.576388888891</v>
      </c>
      <c r="F1761" s="1">
        <v>4.25</v>
      </c>
      <c r="G1761" s="1">
        <v>15380</v>
      </c>
      <c r="H1761" s="1" t="s">
        <v>10</v>
      </c>
      <c r="I1761" s="1">
        <f t="shared" si="6"/>
        <v>17</v>
      </c>
      <c r="J1761" s="2"/>
      <c r="K1761" s="2"/>
      <c r="L1761" s="2"/>
      <c r="M1761" s="2"/>
      <c r="N1761" s="2"/>
      <c r="O1761" s="2"/>
      <c r="P1761" s="2"/>
      <c r="Q1761" s="2"/>
      <c r="R1761" s="2"/>
      <c r="S1761" s="2"/>
    </row>
    <row r="1762" spans="1:19" x14ac:dyDescent="0.2">
      <c r="A1762" s="1" t="s">
        <v>1158</v>
      </c>
      <c r="B1762" s="1">
        <v>21639</v>
      </c>
      <c r="C1762" s="1" t="s">
        <v>444</v>
      </c>
      <c r="D1762" s="1">
        <v>-5</v>
      </c>
      <c r="E1762" s="3">
        <v>40148.577777777777</v>
      </c>
      <c r="F1762" s="1">
        <v>0.85</v>
      </c>
      <c r="G1762" s="1">
        <v>16422</v>
      </c>
      <c r="H1762" s="1" t="s">
        <v>10</v>
      </c>
      <c r="I1762" s="1">
        <f t="shared" si="6"/>
        <v>-4.25</v>
      </c>
      <c r="J1762" s="2"/>
      <c r="K1762" s="2"/>
      <c r="L1762" s="2"/>
      <c r="M1762" s="2"/>
      <c r="N1762" s="2"/>
      <c r="O1762" s="2"/>
      <c r="P1762" s="2"/>
      <c r="Q1762" s="2"/>
      <c r="R1762" s="2"/>
      <c r="S1762" s="2"/>
    </row>
    <row r="1763" spans="1:19" x14ac:dyDescent="0.2">
      <c r="A1763" s="1" t="s">
        <v>1159</v>
      </c>
      <c r="B1763" s="1">
        <v>22120</v>
      </c>
      <c r="C1763" s="1" t="s">
        <v>1160</v>
      </c>
      <c r="D1763" s="1">
        <v>-1</v>
      </c>
      <c r="E1763" s="3">
        <v>40148.584027777775</v>
      </c>
      <c r="F1763" s="1">
        <v>9.9499999999999993</v>
      </c>
      <c r="G1763" s="1">
        <v>13711</v>
      </c>
      <c r="H1763" s="1" t="s">
        <v>10</v>
      </c>
      <c r="I1763" s="1">
        <f t="shared" si="6"/>
        <v>-9.9499999999999993</v>
      </c>
      <c r="J1763" s="2"/>
      <c r="K1763" s="2"/>
      <c r="L1763" s="2"/>
      <c r="M1763" s="2"/>
      <c r="N1763" s="2"/>
      <c r="O1763" s="2"/>
      <c r="P1763" s="2"/>
      <c r="Q1763" s="2"/>
      <c r="R1763" s="2"/>
      <c r="S1763" s="2"/>
    </row>
    <row r="1764" spans="1:19" x14ac:dyDescent="0.2">
      <c r="A1764" s="1" t="s">
        <v>1159</v>
      </c>
      <c r="B1764" s="1" t="s">
        <v>15</v>
      </c>
      <c r="C1764" s="1" t="s">
        <v>16</v>
      </c>
      <c r="D1764" s="1">
        <v>-2</v>
      </c>
      <c r="E1764" s="3">
        <v>40148.584027777775</v>
      </c>
      <c r="F1764" s="1">
        <v>6.75</v>
      </c>
      <c r="G1764" s="1">
        <v>13711</v>
      </c>
      <c r="H1764" s="1" t="s">
        <v>10</v>
      </c>
      <c r="I1764" s="1">
        <f t="shared" si="6"/>
        <v>-13.5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</row>
    <row r="1765" spans="1:19" x14ac:dyDescent="0.2">
      <c r="A1765" s="1" t="s">
        <v>1159</v>
      </c>
      <c r="B1765" s="1" t="s">
        <v>1161</v>
      </c>
      <c r="C1765" s="1" t="s">
        <v>1162</v>
      </c>
      <c r="D1765" s="1">
        <v>-2</v>
      </c>
      <c r="E1765" s="3">
        <v>40148.584027777775</v>
      </c>
      <c r="F1765" s="1">
        <v>6.75</v>
      </c>
      <c r="G1765" s="1">
        <v>13711</v>
      </c>
      <c r="H1765" s="1" t="s">
        <v>10</v>
      </c>
      <c r="I1765" s="1">
        <f t="shared" si="6"/>
        <v>-13.5</v>
      </c>
      <c r="J1765" s="2"/>
      <c r="K1765" s="2"/>
      <c r="L1765" s="2"/>
      <c r="M1765" s="2"/>
      <c r="N1765" s="2"/>
      <c r="O1765" s="2"/>
      <c r="P1765" s="2"/>
      <c r="Q1765" s="2"/>
      <c r="R1765" s="2"/>
      <c r="S1765" s="2"/>
    </row>
    <row r="1766" spans="1:19" x14ac:dyDescent="0.2">
      <c r="A1766" s="1" t="s">
        <v>1163</v>
      </c>
      <c r="B1766" s="1">
        <v>21535</v>
      </c>
      <c r="C1766" s="1" t="s">
        <v>541</v>
      </c>
      <c r="D1766" s="1">
        <v>-1</v>
      </c>
      <c r="E1766" s="3">
        <v>40148.584722222222</v>
      </c>
      <c r="F1766" s="1">
        <v>2.5499999999999998</v>
      </c>
      <c r="G1766" s="1">
        <v>16150</v>
      </c>
      <c r="H1766" s="1" t="s">
        <v>10</v>
      </c>
      <c r="I1766" s="1">
        <f t="shared" si="6"/>
        <v>-2.5499999999999998</v>
      </c>
      <c r="J1766" s="2"/>
      <c r="K1766" s="2"/>
      <c r="L1766" s="2"/>
      <c r="M1766" s="2"/>
      <c r="N1766" s="2"/>
      <c r="O1766" s="2"/>
      <c r="P1766" s="2"/>
      <c r="Q1766" s="2"/>
      <c r="R1766" s="2"/>
      <c r="S1766" s="2"/>
    </row>
    <row r="1767" spans="1:19" x14ac:dyDescent="0.2">
      <c r="A1767" s="1" t="s">
        <v>1163</v>
      </c>
      <c r="B1767" s="1">
        <v>22073</v>
      </c>
      <c r="C1767" s="1" t="s">
        <v>549</v>
      </c>
      <c r="D1767" s="1">
        <v>-1</v>
      </c>
      <c r="E1767" s="3">
        <v>40148.584722222222</v>
      </c>
      <c r="F1767" s="1">
        <v>3.75</v>
      </c>
      <c r="G1767" s="1">
        <v>16150</v>
      </c>
      <c r="H1767" s="1" t="s">
        <v>10</v>
      </c>
      <c r="I1767" s="1">
        <f t="shared" si="6"/>
        <v>-3.75</v>
      </c>
      <c r="J1767" s="2"/>
      <c r="K1767" s="2"/>
      <c r="L1767" s="2"/>
      <c r="M1767" s="2"/>
      <c r="N1767" s="2"/>
      <c r="O1767" s="2"/>
      <c r="P1767" s="2"/>
      <c r="Q1767" s="2"/>
      <c r="R1767" s="2"/>
      <c r="S1767" s="2"/>
    </row>
    <row r="1768" spans="1:19" x14ac:dyDescent="0.2">
      <c r="A1768" s="1">
        <v>489590</v>
      </c>
      <c r="B1768" s="1">
        <v>21733</v>
      </c>
      <c r="C1768" s="1" t="s">
        <v>174</v>
      </c>
      <c r="D1768" s="1">
        <v>12</v>
      </c>
      <c r="E1768" s="3">
        <v>40148.593055555553</v>
      </c>
      <c r="F1768" s="1">
        <v>2.95</v>
      </c>
      <c r="G1768" s="1">
        <v>13110</v>
      </c>
      <c r="H1768" s="1" t="s">
        <v>10</v>
      </c>
      <c r="I1768" s="1">
        <f t="shared" si="6"/>
        <v>35.400000000000006</v>
      </c>
      <c r="J1768" s="2"/>
      <c r="K1768" s="2"/>
      <c r="L1768" s="2"/>
      <c r="M1768" s="2"/>
      <c r="N1768" s="2"/>
      <c r="O1768" s="2"/>
      <c r="P1768" s="2"/>
      <c r="Q1768" s="2"/>
      <c r="R1768" s="2"/>
      <c r="S1768" s="2"/>
    </row>
    <row r="1769" spans="1:19" x14ac:dyDescent="0.2">
      <c r="A1769" s="1">
        <v>489590</v>
      </c>
      <c r="B1769" s="1">
        <v>21804</v>
      </c>
      <c r="C1769" s="1" t="s">
        <v>985</v>
      </c>
      <c r="D1769" s="1">
        <v>12</v>
      </c>
      <c r="E1769" s="3">
        <v>40148.593055555553</v>
      </c>
      <c r="F1769" s="1">
        <v>3.75</v>
      </c>
      <c r="G1769" s="1">
        <v>13110</v>
      </c>
      <c r="H1769" s="1" t="s">
        <v>10</v>
      </c>
      <c r="I1769" s="1">
        <f t="shared" si="6"/>
        <v>45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</row>
    <row r="1770" spans="1:19" x14ac:dyDescent="0.2">
      <c r="A1770" s="1">
        <v>489590</v>
      </c>
      <c r="B1770" s="1">
        <v>22295</v>
      </c>
      <c r="C1770" s="1" t="s">
        <v>30</v>
      </c>
      <c r="D1770" s="1">
        <v>12</v>
      </c>
      <c r="E1770" s="3">
        <v>40148.593055555553</v>
      </c>
      <c r="F1770" s="1">
        <v>1.65</v>
      </c>
      <c r="G1770" s="1">
        <v>13110</v>
      </c>
      <c r="H1770" s="1" t="s">
        <v>10</v>
      </c>
      <c r="I1770" s="1">
        <f t="shared" si="6"/>
        <v>19.799999999999997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</row>
    <row r="1771" spans="1:19" x14ac:dyDescent="0.2">
      <c r="A1771" s="1">
        <v>489590</v>
      </c>
      <c r="B1771" s="1">
        <v>22113</v>
      </c>
      <c r="C1771" s="1" t="s">
        <v>465</v>
      </c>
      <c r="D1771" s="1">
        <v>7</v>
      </c>
      <c r="E1771" s="3">
        <v>40148.593055555553</v>
      </c>
      <c r="F1771" s="1">
        <v>3.45</v>
      </c>
      <c r="G1771" s="1">
        <v>13110</v>
      </c>
      <c r="H1771" s="1" t="s">
        <v>10</v>
      </c>
      <c r="I1771" s="1">
        <f t="shared" si="6"/>
        <v>24.150000000000002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</row>
    <row r="1772" spans="1:19" x14ac:dyDescent="0.2">
      <c r="A1772" s="1">
        <v>489590</v>
      </c>
      <c r="B1772" s="1" t="s">
        <v>142</v>
      </c>
      <c r="C1772" s="1" t="s">
        <v>143</v>
      </c>
      <c r="D1772" s="1">
        <v>6</v>
      </c>
      <c r="E1772" s="3">
        <v>40148.593055555553</v>
      </c>
      <c r="F1772" s="1">
        <v>2.95</v>
      </c>
      <c r="G1772" s="1">
        <v>13110</v>
      </c>
      <c r="H1772" s="1" t="s">
        <v>10</v>
      </c>
      <c r="I1772" s="1">
        <f t="shared" si="6"/>
        <v>17.700000000000003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</row>
    <row r="1773" spans="1:19" x14ac:dyDescent="0.2">
      <c r="A1773" s="1">
        <v>489590</v>
      </c>
      <c r="B1773" s="1">
        <v>21755</v>
      </c>
      <c r="C1773" s="1" t="s">
        <v>25</v>
      </c>
      <c r="D1773" s="1">
        <v>6</v>
      </c>
      <c r="E1773" s="3">
        <v>40148.593055555553</v>
      </c>
      <c r="F1773" s="1">
        <v>5.95</v>
      </c>
      <c r="G1773" s="1">
        <v>13110</v>
      </c>
      <c r="H1773" s="1" t="s">
        <v>10</v>
      </c>
      <c r="I1773" s="1">
        <f t="shared" si="6"/>
        <v>35.700000000000003</v>
      </c>
      <c r="J1773" s="2"/>
      <c r="K1773" s="2"/>
      <c r="L1773" s="2"/>
      <c r="M1773" s="2"/>
      <c r="N1773" s="2"/>
      <c r="O1773" s="2"/>
      <c r="P1773" s="2"/>
      <c r="Q1773" s="2"/>
      <c r="R1773" s="2"/>
      <c r="S1773" s="2"/>
    </row>
    <row r="1774" spans="1:19" x14ac:dyDescent="0.2">
      <c r="A1774" s="1">
        <v>489590</v>
      </c>
      <c r="B1774" s="1">
        <v>22086</v>
      </c>
      <c r="C1774" s="1" t="s">
        <v>183</v>
      </c>
      <c r="D1774" s="1">
        <v>2</v>
      </c>
      <c r="E1774" s="3">
        <v>40148.593055555553</v>
      </c>
      <c r="F1774" s="1">
        <v>2.95</v>
      </c>
      <c r="G1774" s="1">
        <v>13110</v>
      </c>
      <c r="H1774" s="1" t="s">
        <v>10</v>
      </c>
      <c r="I1774" s="1">
        <f t="shared" si="6"/>
        <v>5.9</v>
      </c>
      <c r="J1774" s="2"/>
      <c r="K1774" s="2"/>
      <c r="L1774" s="2"/>
      <c r="M1774" s="2"/>
      <c r="N1774" s="2"/>
      <c r="O1774" s="2"/>
      <c r="P1774" s="2"/>
      <c r="Q1774" s="2"/>
      <c r="R1774" s="2"/>
      <c r="S1774" s="2"/>
    </row>
    <row r="1775" spans="1:19" x14ac:dyDescent="0.2">
      <c r="A1775" s="1">
        <v>489590</v>
      </c>
      <c r="B1775" s="1" t="s">
        <v>1164</v>
      </c>
      <c r="C1775" s="1" t="s">
        <v>1165</v>
      </c>
      <c r="D1775" s="1">
        <v>2</v>
      </c>
      <c r="E1775" s="3">
        <v>40148.593055555553</v>
      </c>
      <c r="F1775" s="1">
        <v>0.85</v>
      </c>
      <c r="G1775" s="1">
        <v>13110</v>
      </c>
      <c r="H1775" s="1" t="s">
        <v>10</v>
      </c>
      <c r="I1775" s="1">
        <f t="shared" si="6"/>
        <v>1.7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</row>
    <row r="1776" spans="1:19" x14ac:dyDescent="0.2">
      <c r="A1776" s="1">
        <v>489590</v>
      </c>
      <c r="B1776" s="1">
        <v>22283</v>
      </c>
      <c r="C1776" s="1" t="s">
        <v>1166</v>
      </c>
      <c r="D1776" s="1">
        <v>2</v>
      </c>
      <c r="E1776" s="3">
        <v>40148.593055555553</v>
      </c>
      <c r="F1776" s="1">
        <v>7.95</v>
      </c>
      <c r="G1776" s="1">
        <v>13110</v>
      </c>
      <c r="H1776" s="1" t="s">
        <v>10</v>
      </c>
      <c r="I1776" s="1">
        <f t="shared" si="6"/>
        <v>15.9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</row>
    <row r="1777" spans="1:19" x14ac:dyDescent="0.2">
      <c r="A1777" s="1">
        <v>489590</v>
      </c>
      <c r="B1777" s="1">
        <v>22186</v>
      </c>
      <c r="C1777" s="1" t="s">
        <v>662</v>
      </c>
      <c r="D1777" s="1">
        <v>2</v>
      </c>
      <c r="E1777" s="3">
        <v>40148.593055555553</v>
      </c>
      <c r="F1777" s="1">
        <v>2.95</v>
      </c>
      <c r="G1777" s="1">
        <v>13110</v>
      </c>
      <c r="H1777" s="1" t="s">
        <v>10</v>
      </c>
      <c r="I1777" s="1">
        <f t="shared" si="6"/>
        <v>5.9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</row>
    <row r="1778" spans="1:19" x14ac:dyDescent="0.2">
      <c r="A1778" s="1">
        <v>489590</v>
      </c>
      <c r="B1778" s="1">
        <v>22187</v>
      </c>
      <c r="C1778" s="1" t="s">
        <v>1167</v>
      </c>
      <c r="D1778" s="1">
        <v>2</v>
      </c>
      <c r="E1778" s="3">
        <v>40148.593055555553</v>
      </c>
      <c r="F1778" s="1">
        <v>4.25</v>
      </c>
      <c r="G1778" s="1">
        <v>13110</v>
      </c>
      <c r="H1778" s="1" t="s">
        <v>10</v>
      </c>
      <c r="I1778" s="1">
        <f t="shared" si="6"/>
        <v>8.5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</row>
    <row r="1779" spans="1:19" x14ac:dyDescent="0.2">
      <c r="A1779" s="1">
        <v>489590</v>
      </c>
      <c r="B1779" s="1" t="s">
        <v>1113</v>
      </c>
      <c r="C1779" s="1" t="s">
        <v>1114</v>
      </c>
      <c r="D1779" s="1">
        <v>2</v>
      </c>
      <c r="E1779" s="3">
        <v>40148.593055555553</v>
      </c>
      <c r="F1779" s="1">
        <v>4.25</v>
      </c>
      <c r="G1779" s="1">
        <v>13110</v>
      </c>
      <c r="H1779" s="1" t="s">
        <v>10</v>
      </c>
      <c r="I1779" s="1">
        <f t="shared" si="6"/>
        <v>8.5</v>
      </c>
      <c r="J1779" s="2"/>
      <c r="K1779" s="2"/>
      <c r="L1779" s="2"/>
      <c r="M1779" s="2"/>
      <c r="N1779" s="2"/>
      <c r="O1779" s="2"/>
      <c r="P1779" s="2"/>
      <c r="Q1779" s="2"/>
      <c r="R1779" s="2"/>
      <c r="S1779" s="2"/>
    </row>
    <row r="1780" spans="1:19" x14ac:dyDescent="0.2">
      <c r="A1780" s="1">
        <v>489590</v>
      </c>
      <c r="B1780" s="1" t="s">
        <v>854</v>
      </c>
      <c r="C1780" s="1" t="s">
        <v>855</v>
      </c>
      <c r="D1780" s="1">
        <v>2</v>
      </c>
      <c r="E1780" s="3">
        <v>40148.593055555553</v>
      </c>
      <c r="F1780" s="1">
        <v>3.49</v>
      </c>
      <c r="G1780" s="1">
        <v>13110</v>
      </c>
      <c r="H1780" s="1" t="s">
        <v>10</v>
      </c>
      <c r="I1780" s="1">
        <f t="shared" si="6"/>
        <v>6.98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</row>
    <row r="1781" spans="1:19" x14ac:dyDescent="0.2">
      <c r="A1781" s="1">
        <v>489590</v>
      </c>
      <c r="B1781" s="1">
        <v>35400</v>
      </c>
      <c r="C1781" s="1" t="s">
        <v>69</v>
      </c>
      <c r="D1781" s="1">
        <v>2</v>
      </c>
      <c r="E1781" s="3">
        <v>40148.593055555553</v>
      </c>
      <c r="F1781" s="1">
        <v>8.9499999999999993</v>
      </c>
      <c r="G1781" s="1">
        <v>13110</v>
      </c>
      <c r="H1781" s="1" t="s">
        <v>10</v>
      </c>
      <c r="I1781" s="1">
        <f t="shared" si="6"/>
        <v>17.899999999999999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</row>
    <row r="1782" spans="1:19" x14ac:dyDescent="0.2">
      <c r="A1782" s="1">
        <v>489590</v>
      </c>
      <c r="B1782" s="1">
        <v>21735</v>
      </c>
      <c r="C1782" s="1" t="s">
        <v>1168</v>
      </c>
      <c r="D1782" s="1">
        <v>2</v>
      </c>
      <c r="E1782" s="3">
        <v>40148.593055555553</v>
      </c>
      <c r="F1782" s="1">
        <v>12.75</v>
      </c>
      <c r="G1782" s="1">
        <v>13110</v>
      </c>
      <c r="H1782" s="1" t="s">
        <v>10</v>
      </c>
      <c r="I1782" s="1">
        <f t="shared" si="6"/>
        <v>25.5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</row>
    <row r="1783" spans="1:19" x14ac:dyDescent="0.2">
      <c r="A1783" s="1">
        <v>489590</v>
      </c>
      <c r="B1783" s="1">
        <v>21756</v>
      </c>
      <c r="C1783" s="1" t="s">
        <v>45</v>
      </c>
      <c r="D1783" s="1">
        <v>2</v>
      </c>
      <c r="E1783" s="3">
        <v>40148.593055555553</v>
      </c>
      <c r="F1783" s="1">
        <v>5.95</v>
      </c>
      <c r="G1783" s="1">
        <v>13110</v>
      </c>
      <c r="H1783" s="1" t="s">
        <v>10</v>
      </c>
      <c r="I1783" s="1">
        <f t="shared" si="6"/>
        <v>11.9</v>
      </c>
      <c r="J1783" s="2"/>
      <c r="K1783" s="2"/>
      <c r="L1783" s="2"/>
      <c r="M1783" s="2"/>
      <c r="N1783" s="2"/>
      <c r="O1783" s="2"/>
      <c r="P1783" s="2"/>
      <c r="Q1783" s="2"/>
      <c r="R1783" s="2"/>
      <c r="S1783" s="2"/>
    </row>
    <row r="1784" spans="1:19" x14ac:dyDescent="0.2">
      <c r="A1784" s="1">
        <v>489590</v>
      </c>
      <c r="B1784" s="1">
        <v>22120</v>
      </c>
      <c r="C1784" s="1" t="s">
        <v>1160</v>
      </c>
      <c r="D1784" s="1">
        <v>2</v>
      </c>
      <c r="E1784" s="3">
        <v>40148.593055555553</v>
      </c>
      <c r="F1784" s="1">
        <v>9.9499999999999993</v>
      </c>
      <c r="G1784" s="1">
        <v>13110</v>
      </c>
      <c r="H1784" s="1" t="s">
        <v>10</v>
      </c>
      <c r="I1784" s="1">
        <f t="shared" si="6"/>
        <v>19.899999999999999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</row>
    <row r="1785" spans="1:19" x14ac:dyDescent="0.2">
      <c r="A1785" s="1">
        <v>489590</v>
      </c>
      <c r="B1785" s="1">
        <v>85211</v>
      </c>
      <c r="C1785" s="1" t="s">
        <v>1169</v>
      </c>
      <c r="D1785" s="1">
        <v>1</v>
      </c>
      <c r="E1785" s="3">
        <v>40148.593055555553</v>
      </c>
      <c r="F1785" s="1">
        <v>1.65</v>
      </c>
      <c r="G1785" s="1">
        <v>13110</v>
      </c>
      <c r="H1785" s="1" t="s">
        <v>10</v>
      </c>
      <c r="I1785" s="1">
        <f t="shared" si="6"/>
        <v>1.65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</row>
    <row r="1786" spans="1:19" x14ac:dyDescent="0.2">
      <c r="A1786" s="1">
        <v>489590</v>
      </c>
      <c r="B1786" s="1">
        <v>22211</v>
      </c>
      <c r="C1786" s="1" t="s">
        <v>1170</v>
      </c>
      <c r="D1786" s="1">
        <v>1</v>
      </c>
      <c r="E1786" s="3">
        <v>40148.593055555553</v>
      </c>
      <c r="F1786" s="1">
        <v>1.65</v>
      </c>
      <c r="G1786" s="1">
        <v>13110</v>
      </c>
      <c r="H1786" s="1" t="s">
        <v>10</v>
      </c>
      <c r="I1786" s="1">
        <f t="shared" si="6"/>
        <v>1.65</v>
      </c>
      <c r="J1786" s="2"/>
      <c r="K1786" s="2"/>
      <c r="L1786" s="2"/>
      <c r="M1786" s="2"/>
      <c r="N1786" s="2"/>
      <c r="O1786" s="2"/>
      <c r="P1786" s="2"/>
      <c r="Q1786" s="2"/>
      <c r="R1786" s="2"/>
      <c r="S1786" s="2"/>
    </row>
    <row r="1787" spans="1:19" x14ac:dyDescent="0.2">
      <c r="A1787" s="1">
        <v>489590</v>
      </c>
      <c r="B1787" s="1">
        <v>22275</v>
      </c>
      <c r="C1787" s="1" t="s">
        <v>322</v>
      </c>
      <c r="D1787" s="1">
        <v>1</v>
      </c>
      <c r="E1787" s="3">
        <v>40148.593055555553</v>
      </c>
      <c r="F1787" s="1">
        <v>8.5</v>
      </c>
      <c r="G1787" s="1">
        <v>13110</v>
      </c>
      <c r="H1787" s="1" t="s">
        <v>10</v>
      </c>
      <c r="I1787" s="1">
        <f t="shared" ref="I1787:I2000" si="7">D1787*F1787</f>
        <v>8.5</v>
      </c>
      <c r="J1787" s="2"/>
      <c r="K1787" s="2"/>
      <c r="L1787" s="2"/>
      <c r="M1787" s="2"/>
      <c r="N1787" s="2"/>
      <c r="O1787" s="2"/>
      <c r="P1787" s="2"/>
      <c r="Q1787" s="2"/>
      <c r="R1787" s="2"/>
      <c r="S1787" s="2"/>
    </row>
    <row r="1788" spans="1:19" x14ac:dyDescent="0.2">
      <c r="A1788" s="1">
        <v>489590</v>
      </c>
      <c r="B1788" s="1">
        <v>22325</v>
      </c>
      <c r="C1788" s="1" t="s">
        <v>1016</v>
      </c>
      <c r="D1788" s="1">
        <v>1</v>
      </c>
      <c r="E1788" s="3">
        <v>40148.593055555553</v>
      </c>
      <c r="F1788" s="1">
        <v>4.95</v>
      </c>
      <c r="G1788" s="1">
        <v>13110</v>
      </c>
      <c r="H1788" s="1" t="s">
        <v>10</v>
      </c>
      <c r="I1788" s="1">
        <f t="shared" si="7"/>
        <v>4.95</v>
      </c>
      <c r="J1788" s="2"/>
      <c r="K1788" s="2"/>
      <c r="L1788" s="2"/>
      <c r="M1788" s="2"/>
      <c r="N1788" s="2"/>
      <c r="O1788" s="2"/>
      <c r="P1788" s="2"/>
      <c r="Q1788" s="2"/>
      <c r="R1788" s="2"/>
      <c r="S1788" s="2"/>
    </row>
    <row r="1789" spans="1:19" x14ac:dyDescent="0.2">
      <c r="A1789" s="1">
        <v>489590</v>
      </c>
      <c r="B1789" s="1">
        <v>22320</v>
      </c>
      <c r="C1789" s="1" t="s">
        <v>246</v>
      </c>
      <c r="D1789" s="1">
        <v>1</v>
      </c>
      <c r="E1789" s="3">
        <v>40148.593055555553</v>
      </c>
      <c r="F1789" s="1">
        <v>5.95</v>
      </c>
      <c r="G1789" s="1">
        <v>13110</v>
      </c>
      <c r="H1789" s="1" t="s">
        <v>10</v>
      </c>
      <c r="I1789" s="1">
        <f t="shared" si="7"/>
        <v>5.95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</row>
    <row r="1790" spans="1:19" x14ac:dyDescent="0.2">
      <c r="A1790" s="1">
        <v>489590</v>
      </c>
      <c r="B1790" s="1">
        <v>20685</v>
      </c>
      <c r="C1790" s="1" t="s">
        <v>505</v>
      </c>
      <c r="D1790" s="1">
        <v>1</v>
      </c>
      <c r="E1790" s="3">
        <v>40148.593055555553</v>
      </c>
      <c r="F1790" s="1">
        <v>6.75</v>
      </c>
      <c r="G1790" s="1">
        <v>13110</v>
      </c>
      <c r="H1790" s="1" t="s">
        <v>10</v>
      </c>
      <c r="I1790" s="1">
        <f t="shared" si="7"/>
        <v>6.75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</row>
    <row r="1791" spans="1:19" x14ac:dyDescent="0.2">
      <c r="A1791" s="1">
        <v>489590</v>
      </c>
      <c r="B1791" s="1">
        <v>48194</v>
      </c>
      <c r="C1791" s="1" t="s">
        <v>506</v>
      </c>
      <c r="D1791" s="1">
        <v>1</v>
      </c>
      <c r="E1791" s="3">
        <v>40148.593055555553</v>
      </c>
      <c r="F1791" s="1">
        <v>6.75</v>
      </c>
      <c r="G1791" s="1">
        <v>13110</v>
      </c>
      <c r="H1791" s="1" t="s">
        <v>10</v>
      </c>
      <c r="I1791" s="1">
        <f t="shared" si="7"/>
        <v>6.75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</row>
    <row r="1792" spans="1:19" x14ac:dyDescent="0.2">
      <c r="A1792" s="1">
        <v>489590</v>
      </c>
      <c r="B1792" s="1" t="s">
        <v>35</v>
      </c>
      <c r="C1792" s="1" t="s">
        <v>36</v>
      </c>
      <c r="D1792" s="1">
        <v>1</v>
      </c>
      <c r="E1792" s="3">
        <v>40148.593055555553</v>
      </c>
      <c r="F1792" s="1">
        <v>6.75</v>
      </c>
      <c r="G1792" s="1">
        <v>13110</v>
      </c>
      <c r="H1792" s="1" t="s">
        <v>10</v>
      </c>
      <c r="I1792" s="1">
        <f t="shared" si="7"/>
        <v>6.75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</row>
    <row r="1793" spans="1:19" x14ac:dyDescent="0.2">
      <c r="A1793" s="1">
        <v>489590</v>
      </c>
      <c r="B1793" s="1">
        <v>48189</v>
      </c>
      <c r="C1793" s="1" t="s">
        <v>1171</v>
      </c>
      <c r="D1793" s="1">
        <v>1</v>
      </c>
      <c r="E1793" s="3">
        <v>40148.593055555553</v>
      </c>
      <c r="F1793" s="1">
        <v>6.75</v>
      </c>
      <c r="G1793" s="1">
        <v>13110</v>
      </c>
      <c r="H1793" s="1" t="s">
        <v>10</v>
      </c>
      <c r="I1793" s="1">
        <f t="shared" si="7"/>
        <v>6.75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</row>
    <row r="1794" spans="1:19" x14ac:dyDescent="0.2">
      <c r="A1794" s="1">
        <v>489590</v>
      </c>
      <c r="B1794" s="1">
        <v>48116</v>
      </c>
      <c r="C1794" s="1" t="s">
        <v>1172</v>
      </c>
      <c r="D1794" s="1">
        <v>1</v>
      </c>
      <c r="E1794" s="3">
        <v>40148.593055555553</v>
      </c>
      <c r="F1794" s="1">
        <v>6.75</v>
      </c>
      <c r="G1794" s="1">
        <v>13110</v>
      </c>
      <c r="H1794" s="1" t="s">
        <v>10</v>
      </c>
      <c r="I1794" s="1">
        <f t="shared" si="7"/>
        <v>6.75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</row>
    <row r="1795" spans="1:19" x14ac:dyDescent="0.2">
      <c r="A1795" s="1" t="s">
        <v>1173</v>
      </c>
      <c r="B1795" s="1" t="s">
        <v>1174</v>
      </c>
      <c r="C1795" s="1" t="s">
        <v>1175</v>
      </c>
      <c r="D1795" s="1">
        <v>-3</v>
      </c>
      <c r="E1795" s="3">
        <v>40148.595138888886</v>
      </c>
      <c r="F1795" s="1">
        <v>5.45</v>
      </c>
      <c r="G1795" s="1">
        <v>12921</v>
      </c>
      <c r="H1795" s="1" t="s">
        <v>10</v>
      </c>
      <c r="I1795" s="1">
        <f t="shared" si="7"/>
        <v>-16.350000000000001</v>
      </c>
      <c r="J1795" s="2"/>
      <c r="K1795" s="2"/>
      <c r="L1795" s="2"/>
      <c r="M1795" s="2"/>
      <c r="N1795" s="2"/>
      <c r="O1795" s="2"/>
      <c r="P1795" s="2"/>
      <c r="Q1795" s="2"/>
      <c r="R1795" s="2"/>
      <c r="S1795" s="2"/>
    </row>
    <row r="1796" spans="1:19" x14ac:dyDescent="0.2">
      <c r="A1796" s="1">
        <v>489593</v>
      </c>
      <c r="B1796" s="1">
        <v>21181</v>
      </c>
      <c r="C1796" s="1" t="s">
        <v>34</v>
      </c>
      <c r="D1796" s="1">
        <v>12</v>
      </c>
      <c r="E1796" s="3">
        <v>40148.59652777778</v>
      </c>
      <c r="F1796" s="1">
        <v>2.1</v>
      </c>
      <c r="G1796" s="1">
        <v>12836</v>
      </c>
      <c r="H1796" s="1" t="s">
        <v>10</v>
      </c>
      <c r="I1796" s="1">
        <f t="shared" si="7"/>
        <v>25.200000000000003</v>
      </c>
      <c r="J1796" s="2"/>
      <c r="K1796" s="2"/>
      <c r="L1796" s="2"/>
      <c r="M1796" s="2"/>
      <c r="N1796" s="2"/>
      <c r="O1796" s="2"/>
      <c r="P1796" s="2"/>
      <c r="Q1796" s="2"/>
      <c r="R1796" s="2"/>
      <c r="S1796" s="2"/>
    </row>
    <row r="1797" spans="1:19" x14ac:dyDescent="0.2">
      <c r="A1797" s="1">
        <v>489593</v>
      </c>
      <c r="B1797" s="1">
        <v>84879</v>
      </c>
      <c r="C1797" s="1" t="s">
        <v>26</v>
      </c>
      <c r="D1797" s="1">
        <v>8</v>
      </c>
      <c r="E1797" s="3">
        <v>40148.59652777778</v>
      </c>
      <c r="F1797" s="1">
        <v>1.69</v>
      </c>
      <c r="G1797" s="1">
        <v>12836</v>
      </c>
      <c r="H1797" s="1" t="s">
        <v>10</v>
      </c>
      <c r="I1797" s="1">
        <f t="shared" si="7"/>
        <v>13.52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</row>
    <row r="1798" spans="1:19" x14ac:dyDescent="0.2">
      <c r="A1798" s="1">
        <v>489593</v>
      </c>
      <c r="B1798" s="1" t="s">
        <v>17</v>
      </c>
      <c r="C1798" s="1" t="s">
        <v>18</v>
      </c>
      <c r="D1798" s="1">
        <v>6</v>
      </c>
      <c r="E1798" s="3">
        <v>40148.59652777778</v>
      </c>
      <c r="F1798" s="1">
        <v>6.75</v>
      </c>
      <c r="G1798" s="1">
        <v>12836</v>
      </c>
      <c r="H1798" s="1" t="s">
        <v>10</v>
      </c>
      <c r="I1798" s="1">
        <f t="shared" si="7"/>
        <v>40.5</v>
      </c>
      <c r="J1798" s="2"/>
      <c r="K1798" s="2"/>
      <c r="L1798" s="2"/>
      <c r="M1798" s="2"/>
      <c r="N1798" s="2"/>
      <c r="O1798" s="2"/>
      <c r="P1798" s="2"/>
      <c r="Q1798" s="2"/>
      <c r="R1798" s="2"/>
      <c r="S1798" s="2"/>
    </row>
    <row r="1799" spans="1:19" x14ac:dyDescent="0.2">
      <c r="A1799" s="1">
        <v>489593</v>
      </c>
      <c r="B1799" s="1">
        <v>21790</v>
      </c>
      <c r="C1799" s="1" t="s">
        <v>139</v>
      </c>
      <c r="D1799" s="1">
        <v>6</v>
      </c>
      <c r="E1799" s="3">
        <v>40148.59652777778</v>
      </c>
      <c r="F1799" s="1">
        <v>0.85</v>
      </c>
      <c r="G1799" s="1">
        <v>12836</v>
      </c>
      <c r="H1799" s="1" t="s">
        <v>10</v>
      </c>
      <c r="I1799" s="1">
        <f t="shared" si="7"/>
        <v>5.0999999999999996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</row>
    <row r="1800" spans="1:19" x14ac:dyDescent="0.2">
      <c r="A1800" s="1">
        <v>489593</v>
      </c>
      <c r="B1800" s="1">
        <v>21493</v>
      </c>
      <c r="C1800" s="1" t="s">
        <v>107</v>
      </c>
      <c r="D1800" s="1">
        <v>5</v>
      </c>
      <c r="E1800" s="3">
        <v>40148.59652777778</v>
      </c>
      <c r="F1800" s="1">
        <v>0.85</v>
      </c>
      <c r="G1800" s="1">
        <v>12836</v>
      </c>
      <c r="H1800" s="1" t="s">
        <v>10</v>
      </c>
      <c r="I1800" s="1">
        <f t="shared" si="7"/>
        <v>4.25</v>
      </c>
      <c r="J1800" s="2"/>
      <c r="K1800" s="2"/>
      <c r="L1800" s="2"/>
      <c r="M1800" s="2"/>
      <c r="N1800" s="2"/>
      <c r="O1800" s="2"/>
      <c r="P1800" s="2"/>
      <c r="Q1800" s="2"/>
      <c r="R1800" s="2"/>
      <c r="S1800" s="2"/>
    </row>
    <row r="1801" spans="1:19" x14ac:dyDescent="0.2">
      <c r="A1801" s="1">
        <v>489593</v>
      </c>
      <c r="B1801" s="1" t="s">
        <v>244</v>
      </c>
      <c r="C1801" s="1" t="s">
        <v>245</v>
      </c>
      <c r="D1801" s="1">
        <v>4</v>
      </c>
      <c r="E1801" s="3">
        <v>40148.59652777778</v>
      </c>
      <c r="F1801" s="1">
        <v>6.75</v>
      </c>
      <c r="G1801" s="1">
        <v>12836</v>
      </c>
      <c r="H1801" s="1" t="s">
        <v>10</v>
      </c>
      <c r="I1801" s="1">
        <f t="shared" si="7"/>
        <v>27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</row>
    <row r="1802" spans="1:19" x14ac:dyDescent="0.2">
      <c r="A1802" s="1">
        <v>489593</v>
      </c>
      <c r="B1802" s="1">
        <v>37503</v>
      </c>
      <c r="C1802" s="1" t="s">
        <v>790</v>
      </c>
      <c r="D1802" s="1">
        <v>4</v>
      </c>
      <c r="E1802" s="3">
        <v>40148.59652777778</v>
      </c>
      <c r="F1802" s="1">
        <v>10.75</v>
      </c>
      <c r="G1802" s="1">
        <v>12836</v>
      </c>
      <c r="H1802" s="1" t="s">
        <v>10</v>
      </c>
      <c r="I1802" s="1">
        <f t="shared" si="7"/>
        <v>43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</row>
    <row r="1803" spans="1:19" x14ac:dyDescent="0.2">
      <c r="A1803" s="1">
        <v>489593</v>
      </c>
      <c r="B1803" s="1">
        <v>22086</v>
      </c>
      <c r="C1803" s="1" t="s">
        <v>183</v>
      </c>
      <c r="D1803" s="1">
        <v>4</v>
      </c>
      <c r="E1803" s="3">
        <v>40148.59652777778</v>
      </c>
      <c r="F1803" s="1">
        <v>2.95</v>
      </c>
      <c r="G1803" s="1">
        <v>12836</v>
      </c>
      <c r="H1803" s="1" t="s">
        <v>10</v>
      </c>
      <c r="I1803" s="1">
        <f t="shared" si="7"/>
        <v>11.8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</row>
    <row r="1804" spans="1:19" x14ac:dyDescent="0.2">
      <c r="A1804" s="1">
        <v>489593</v>
      </c>
      <c r="B1804" s="1">
        <v>21490</v>
      </c>
      <c r="C1804" s="1" t="s">
        <v>298</v>
      </c>
      <c r="D1804" s="1">
        <v>4</v>
      </c>
      <c r="E1804" s="3">
        <v>40148.59652777778</v>
      </c>
      <c r="F1804" s="1">
        <v>1.95</v>
      </c>
      <c r="G1804" s="1">
        <v>12836</v>
      </c>
      <c r="H1804" s="1" t="s">
        <v>10</v>
      </c>
      <c r="I1804" s="1">
        <f t="shared" si="7"/>
        <v>7.8</v>
      </c>
      <c r="J1804" s="2"/>
      <c r="K1804" s="2"/>
      <c r="L1804" s="2"/>
      <c r="M1804" s="2"/>
      <c r="N1804" s="2"/>
      <c r="O1804" s="2"/>
      <c r="P1804" s="2"/>
      <c r="Q1804" s="2"/>
      <c r="R1804" s="2"/>
      <c r="S1804" s="2"/>
    </row>
    <row r="1805" spans="1:19" x14ac:dyDescent="0.2">
      <c r="A1805" s="1">
        <v>489593</v>
      </c>
      <c r="B1805" s="1">
        <v>21491</v>
      </c>
      <c r="C1805" s="1" t="s">
        <v>112</v>
      </c>
      <c r="D1805" s="1">
        <v>4</v>
      </c>
      <c r="E1805" s="3">
        <v>40148.59652777778</v>
      </c>
      <c r="F1805" s="1">
        <v>1.95</v>
      </c>
      <c r="G1805" s="1">
        <v>12836</v>
      </c>
      <c r="H1805" s="1" t="s">
        <v>10</v>
      </c>
      <c r="I1805" s="1">
        <f t="shared" si="7"/>
        <v>7.8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2"/>
    </row>
    <row r="1806" spans="1:19" x14ac:dyDescent="0.2">
      <c r="A1806" s="1">
        <v>489593</v>
      </c>
      <c r="B1806" s="1">
        <v>48194</v>
      </c>
      <c r="C1806" s="1" t="s">
        <v>506</v>
      </c>
      <c r="D1806" s="1">
        <v>3</v>
      </c>
      <c r="E1806" s="3">
        <v>40148.59652777778</v>
      </c>
      <c r="F1806" s="1">
        <v>6.75</v>
      </c>
      <c r="G1806" s="1">
        <v>12836</v>
      </c>
      <c r="H1806" s="1" t="s">
        <v>10</v>
      </c>
      <c r="I1806" s="1">
        <f t="shared" si="7"/>
        <v>20.25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</row>
    <row r="1807" spans="1:19" x14ac:dyDescent="0.2">
      <c r="A1807" s="1">
        <v>489593</v>
      </c>
      <c r="B1807" s="1">
        <v>22113</v>
      </c>
      <c r="C1807" s="1" t="s">
        <v>465</v>
      </c>
      <c r="D1807" s="1">
        <v>3</v>
      </c>
      <c r="E1807" s="3">
        <v>40148.59652777778</v>
      </c>
      <c r="F1807" s="1">
        <v>3.45</v>
      </c>
      <c r="G1807" s="1">
        <v>12836</v>
      </c>
      <c r="H1807" s="1" t="s">
        <v>10</v>
      </c>
      <c r="I1807" s="1">
        <f t="shared" si="7"/>
        <v>10.350000000000001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</row>
    <row r="1808" spans="1:19" x14ac:dyDescent="0.2">
      <c r="A1808" s="1">
        <v>489593</v>
      </c>
      <c r="B1808" s="1">
        <v>22349</v>
      </c>
      <c r="C1808" s="1" t="s">
        <v>22</v>
      </c>
      <c r="D1808" s="1">
        <v>3</v>
      </c>
      <c r="E1808" s="3">
        <v>40148.59652777778</v>
      </c>
      <c r="F1808" s="1">
        <v>3.75</v>
      </c>
      <c r="G1808" s="1">
        <v>12836</v>
      </c>
      <c r="H1808" s="1" t="s">
        <v>10</v>
      </c>
      <c r="I1808" s="1">
        <f t="shared" si="7"/>
        <v>11.25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</row>
    <row r="1809" spans="1:19" x14ac:dyDescent="0.2">
      <c r="A1809" s="1">
        <v>489593</v>
      </c>
      <c r="B1809" s="1">
        <v>21791</v>
      </c>
      <c r="C1809" s="1" t="s">
        <v>324</v>
      </c>
      <c r="D1809" s="1">
        <v>3</v>
      </c>
      <c r="E1809" s="3">
        <v>40148.59652777778</v>
      </c>
      <c r="F1809" s="1">
        <v>1.25</v>
      </c>
      <c r="G1809" s="1">
        <v>12836</v>
      </c>
      <c r="H1809" s="1" t="s">
        <v>10</v>
      </c>
      <c r="I1809" s="1">
        <f t="shared" si="7"/>
        <v>3.75</v>
      </c>
      <c r="J1809" s="2"/>
      <c r="K1809" s="2"/>
      <c r="L1809" s="2"/>
      <c r="M1809" s="2"/>
      <c r="N1809" s="2"/>
      <c r="O1809" s="2"/>
      <c r="P1809" s="2"/>
      <c r="Q1809" s="2"/>
      <c r="R1809" s="2"/>
      <c r="S1809" s="2"/>
    </row>
    <row r="1810" spans="1:19" x14ac:dyDescent="0.2">
      <c r="A1810" s="1">
        <v>489593</v>
      </c>
      <c r="B1810" s="1">
        <v>22150</v>
      </c>
      <c r="C1810" s="1" t="s">
        <v>656</v>
      </c>
      <c r="D1810" s="1">
        <v>3</v>
      </c>
      <c r="E1810" s="3">
        <v>40148.59652777778</v>
      </c>
      <c r="F1810" s="1">
        <v>1.95</v>
      </c>
      <c r="G1810" s="1">
        <v>12836</v>
      </c>
      <c r="H1810" s="1" t="s">
        <v>10</v>
      </c>
      <c r="I1810" s="1">
        <f t="shared" si="7"/>
        <v>5.85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</row>
    <row r="1811" spans="1:19" x14ac:dyDescent="0.2">
      <c r="A1811" s="1">
        <v>489593</v>
      </c>
      <c r="B1811" s="1">
        <v>22112</v>
      </c>
      <c r="C1811" s="1" t="s">
        <v>65</v>
      </c>
      <c r="D1811" s="1">
        <v>2</v>
      </c>
      <c r="E1811" s="3">
        <v>40148.59652777778</v>
      </c>
      <c r="F1811" s="1">
        <v>4.95</v>
      </c>
      <c r="G1811" s="1">
        <v>12836</v>
      </c>
      <c r="H1811" s="1" t="s">
        <v>10</v>
      </c>
      <c r="I1811" s="1">
        <f t="shared" si="7"/>
        <v>9.9</v>
      </c>
      <c r="J1811" s="2"/>
      <c r="K1811" s="2"/>
      <c r="L1811" s="2"/>
      <c r="M1811" s="2"/>
      <c r="N1811" s="2"/>
      <c r="O1811" s="2"/>
      <c r="P1811" s="2"/>
      <c r="Q1811" s="2"/>
      <c r="R1811" s="2"/>
      <c r="S1811" s="2"/>
    </row>
    <row r="1812" spans="1:19" x14ac:dyDescent="0.2">
      <c r="A1812" s="1">
        <v>489593</v>
      </c>
      <c r="B1812" s="1">
        <v>21480</v>
      </c>
      <c r="C1812" s="1" t="s">
        <v>664</v>
      </c>
      <c r="D1812" s="1">
        <v>2</v>
      </c>
      <c r="E1812" s="3">
        <v>40148.59652777778</v>
      </c>
      <c r="F1812" s="1">
        <v>2.95</v>
      </c>
      <c r="G1812" s="1">
        <v>12836</v>
      </c>
      <c r="H1812" s="1" t="s">
        <v>10</v>
      </c>
      <c r="I1812" s="1">
        <f t="shared" si="7"/>
        <v>5.9</v>
      </c>
      <c r="J1812" s="2"/>
      <c r="K1812" s="2"/>
      <c r="L1812" s="2"/>
      <c r="M1812" s="2"/>
      <c r="N1812" s="2"/>
      <c r="O1812" s="2"/>
      <c r="P1812" s="2"/>
      <c r="Q1812" s="2"/>
      <c r="R1812" s="2"/>
      <c r="S1812" s="2"/>
    </row>
    <row r="1813" spans="1:19" x14ac:dyDescent="0.2">
      <c r="A1813" s="1">
        <v>489593</v>
      </c>
      <c r="B1813" s="1">
        <v>21257</v>
      </c>
      <c r="C1813" s="1" t="s">
        <v>1176</v>
      </c>
      <c r="D1813" s="1">
        <v>2</v>
      </c>
      <c r="E1813" s="3">
        <v>40148.59652777778</v>
      </c>
      <c r="F1813" s="1">
        <v>7.95</v>
      </c>
      <c r="G1813" s="1">
        <v>12836</v>
      </c>
      <c r="H1813" s="1" t="s">
        <v>10</v>
      </c>
      <c r="I1813" s="1">
        <f t="shared" si="7"/>
        <v>15.9</v>
      </c>
      <c r="J1813" s="2"/>
      <c r="K1813" s="2"/>
      <c r="L1813" s="2"/>
      <c r="M1813" s="2"/>
      <c r="N1813" s="2"/>
      <c r="O1813" s="2"/>
      <c r="P1813" s="2"/>
      <c r="Q1813" s="2"/>
      <c r="R1813" s="2"/>
      <c r="S1813" s="2"/>
    </row>
    <row r="1814" spans="1:19" x14ac:dyDescent="0.2">
      <c r="A1814" s="1">
        <v>489593</v>
      </c>
      <c r="B1814" s="1">
        <v>22171</v>
      </c>
      <c r="C1814" s="1" t="s">
        <v>1177</v>
      </c>
      <c r="D1814" s="1">
        <v>2</v>
      </c>
      <c r="E1814" s="3">
        <v>40148.59652777778</v>
      </c>
      <c r="F1814" s="1">
        <v>8.5</v>
      </c>
      <c r="G1814" s="1">
        <v>12836</v>
      </c>
      <c r="H1814" s="1" t="s">
        <v>10</v>
      </c>
      <c r="I1814" s="1">
        <f t="shared" si="7"/>
        <v>17</v>
      </c>
      <c r="J1814" s="2"/>
      <c r="K1814" s="2"/>
      <c r="L1814" s="2"/>
      <c r="M1814" s="2"/>
      <c r="N1814" s="2"/>
      <c r="O1814" s="2"/>
      <c r="P1814" s="2"/>
      <c r="Q1814" s="2"/>
      <c r="R1814" s="2"/>
      <c r="S1814" s="2"/>
    </row>
    <row r="1815" spans="1:19" x14ac:dyDescent="0.2">
      <c r="A1815" s="1">
        <v>489593</v>
      </c>
      <c r="B1815" s="1">
        <v>22273</v>
      </c>
      <c r="C1815" s="1" t="s">
        <v>242</v>
      </c>
      <c r="D1815" s="1">
        <v>2</v>
      </c>
      <c r="E1815" s="3">
        <v>40148.59652777778</v>
      </c>
      <c r="F1815" s="1">
        <v>2.95</v>
      </c>
      <c r="G1815" s="1">
        <v>12836</v>
      </c>
      <c r="H1815" s="1" t="s">
        <v>10</v>
      </c>
      <c r="I1815" s="1">
        <f t="shared" si="7"/>
        <v>5.9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</row>
    <row r="1816" spans="1:19" x14ac:dyDescent="0.2">
      <c r="A1816" s="1">
        <v>489593</v>
      </c>
      <c r="B1816" s="1">
        <v>22272</v>
      </c>
      <c r="C1816" s="1" t="s">
        <v>60</v>
      </c>
      <c r="D1816" s="1">
        <v>2</v>
      </c>
      <c r="E1816" s="3">
        <v>40148.59652777778</v>
      </c>
      <c r="F1816" s="1">
        <v>2.95</v>
      </c>
      <c r="G1816" s="1">
        <v>12836</v>
      </c>
      <c r="H1816" s="1" t="s">
        <v>10</v>
      </c>
      <c r="I1816" s="1">
        <f t="shared" si="7"/>
        <v>5.9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</row>
    <row r="1817" spans="1:19" x14ac:dyDescent="0.2">
      <c r="A1817" s="1">
        <v>489593</v>
      </c>
      <c r="B1817" s="1">
        <v>21591</v>
      </c>
      <c r="C1817" s="1" t="s">
        <v>602</v>
      </c>
      <c r="D1817" s="1">
        <v>2</v>
      </c>
      <c r="E1817" s="3">
        <v>40148.59652777778</v>
      </c>
      <c r="F1817" s="1">
        <v>1.25</v>
      </c>
      <c r="G1817" s="1">
        <v>12836</v>
      </c>
      <c r="H1817" s="1" t="s">
        <v>10</v>
      </c>
      <c r="I1817" s="1">
        <f t="shared" si="7"/>
        <v>2.5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2"/>
    </row>
    <row r="1818" spans="1:19" x14ac:dyDescent="0.2">
      <c r="A1818" s="1">
        <v>489593</v>
      </c>
      <c r="B1818" s="1">
        <v>21257</v>
      </c>
      <c r="C1818" s="1" t="s">
        <v>1176</v>
      </c>
      <c r="D1818" s="1">
        <v>2</v>
      </c>
      <c r="E1818" s="3">
        <v>40148.59652777778</v>
      </c>
      <c r="F1818" s="1">
        <v>7.95</v>
      </c>
      <c r="G1818" s="1">
        <v>12836</v>
      </c>
      <c r="H1818" s="1" t="s">
        <v>10</v>
      </c>
      <c r="I1818" s="1">
        <f t="shared" si="7"/>
        <v>15.9</v>
      </c>
      <c r="J1818" s="2"/>
      <c r="K1818" s="2"/>
      <c r="L1818" s="2"/>
      <c r="M1818" s="2"/>
      <c r="N1818" s="2"/>
      <c r="O1818" s="2"/>
      <c r="P1818" s="2"/>
      <c r="Q1818" s="2"/>
      <c r="R1818" s="2"/>
      <c r="S1818" s="2"/>
    </row>
    <row r="1819" spans="1:19" x14ac:dyDescent="0.2">
      <c r="A1819" s="1">
        <v>489593</v>
      </c>
      <c r="B1819" s="1">
        <v>21761</v>
      </c>
      <c r="C1819" s="1" t="s">
        <v>984</v>
      </c>
      <c r="D1819" s="1">
        <v>1</v>
      </c>
      <c r="E1819" s="3">
        <v>40148.59652777778</v>
      </c>
      <c r="F1819" s="1">
        <v>29.95</v>
      </c>
      <c r="G1819" s="1">
        <v>12836</v>
      </c>
      <c r="H1819" s="1" t="s">
        <v>10</v>
      </c>
      <c r="I1819" s="1">
        <f t="shared" si="7"/>
        <v>29.95</v>
      </c>
      <c r="J1819" s="2"/>
      <c r="K1819" s="2"/>
      <c r="L1819" s="2"/>
      <c r="M1819" s="2"/>
      <c r="N1819" s="2"/>
      <c r="O1819" s="2"/>
      <c r="P1819" s="2"/>
      <c r="Q1819" s="2"/>
      <c r="R1819" s="2"/>
      <c r="S1819" s="2"/>
    </row>
    <row r="1820" spans="1:19" x14ac:dyDescent="0.2">
      <c r="A1820" s="1">
        <v>489593</v>
      </c>
      <c r="B1820" s="1">
        <v>85067</v>
      </c>
      <c r="C1820" s="1" t="s">
        <v>974</v>
      </c>
      <c r="D1820" s="1">
        <v>1</v>
      </c>
      <c r="E1820" s="3">
        <v>40148.59652777778</v>
      </c>
      <c r="F1820" s="1">
        <v>18.95</v>
      </c>
      <c r="G1820" s="1">
        <v>12836</v>
      </c>
      <c r="H1820" s="1" t="s">
        <v>10</v>
      </c>
      <c r="I1820" s="1">
        <f t="shared" si="7"/>
        <v>18.95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</row>
    <row r="1821" spans="1:19" x14ac:dyDescent="0.2">
      <c r="A1821" s="1">
        <v>489593</v>
      </c>
      <c r="B1821" s="1">
        <v>21016</v>
      </c>
      <c r="C1821" s="1" t="s">
        <v>741</v>
      </c>
      <c r="D1821" s="1">
        <v>1</v>
      </c>
      <c r="E1821" s="3">
        <v>40148.59652777778</v>
      </c>
      <c r="F1821" s="1">
        <v>0.85</v>
      </c>
      <c r="G1821" s="1">
        <v>12836</v>
      </c>
      <c r="H1821" s="1" t="s">
        <v>10</v>
      </c>
      <c r="I1821" s="1">
        <f t="shared" si="7"/>
        <v>0.85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</row>
    <row r="1822" spans="1:19" x14ac:dyDescent="0.2">
      <c r="A1822" s="1">
        <v>489593</v>
      </c>
      <c r="B1822" s="1">
        <v>21767</v>
      </c>
      <c r="C1822" s="1" t="s">
        <v>1178</v>
      </c>
      <c r="D1822" s="1">
        <v>1</v>
      </c>
      <c r="E1822" s="3">
        <v>40148.59652777778</v>
      </c>
      <c r="F1822" s="1">
        <v>29.95</v>
      </c>
      <c r="G1822" s="1">
        <v>12836</v>
      </c>
      <c r="H1822" s="1" t="s">
        <v>10</v>
      </c>
      <c r="I1822" s="1">
        <f t="shared" si="7"/>
        <v>29.95</v>
      </c>
      <c r="J1822" s="2"/>
      <c r="K1822" s="2"/>
      <c r="L1822" s="2"/>
      <c r="M1822" s="2"/>
      <c r="N1822" s="2"/>
      <c r="O1822" s="2"/>
      <c r="P1822" s="2"/>
      <c r="Q1822" s="2"/>
      <c r="R1822" s="2"/>
      <c r="S1822" s="2"/>
    </row>
    <row r="1823" spans="1:19" x14ac:dyDescent="0.2">
      <c r="A1823" s="1">
        <v>489593</v>
      </c>
      <c r="B1823" s="1">
        <v>85068</v>
      </c>
      <c r="C1823" s="1" t="s">
        <v>1179</v>
      </c>
      <c r="D1823" s="1">
        <v>1</v>
      </c>
      <c r="E1823" s="3">
        <v>40148.59652777778</v>
      </c>
      <c r="F1823" s="1">
        <v>7.95</v>
      </c>
      <c r="G1823" s="1">
        <v>12836</v>
      </c>
      <c r="H1823" s="1" t="s">
        <v>10</v>
      </c>
      <c r="I1823" s="1">
        <f t="shared" si="7"/>
        <v>7.95</v>
      </c>
      <c r="J1823" s="2"/>
      <c r="K1823" s="2"/>
      <c r="L1823" s="2"/>
      <c r="M1823" s="2"/>
      <c r="N1823" s="2"/>
      <c r="O1823" s="2"/>
      <c r="P1823" s="2"/>
      <c r="Q1823" s="2"/>
      <c r="R1823" s="2"/>
      <c r="S1823" s="2"/>
    </row>
    <row r="1824" spans="1:19" x14ac:dyDescent="0.2">
      <c r="A1824" s="1">
        <v>489593</v>
      </c>
      <c r="B1824" s="1">
        <v>21768</v>
      </c>
      <c r="C1824" s="1" t="s">
        <v>1146</v>
      </c>
      <c r="D1824" s="1">
        <v>1</v>
      </c>
      <c r="E1824" s="3">
        <v>40148.59652777778</v>
      </c>
      <c r="F1824" s="1">
        <v>14.95</v>
      </c>
      <c r="G1824" s="1">
        <v>12836</v>
      </c>
      <c r="H1824" s="1" t="s">
        <v>10</v>
      </c>
      <c r="I1824" s="1">
        <f t="shared" si="7"/>
        <v>14.95</v>
      </c>
      <c r="J1824" s="2"/>
      <c r="K1824" s="2"/>
      <c r="L1824" s="2"/>
      <c r="M1824" s="2"/>
      <c r="N1824" s="2"/>
      <c r="O1824" s="2"/>
      <c r="P1824" s="2"/>
      <c r="Q1824" s="2"/>
      <c r="R1824" s="2"/>
      <c r="S1824" s="2"/>
    </row>
    <row r="1825" spans="1:19" x14ac:dyDescent="0.2">
      <c r="A1825" s="1">
        <v>489593</v>
      </c>
      <c r="B1825" s="1">
        <v>84855</v>
      </c>
      <c r="C1825" s="1" t="s">
        <v>1118</v>
      </c>
      <c r="D1825" s="1">
        <v>1</v>
      </c>
      <c r="E1825" s="3">
        <v>40148.59652777778</v>
      </c>
      <c r="F1825" s="1">
        <v>4.95</v>
      </c>
      <c r="G1825" s="1">
        <v>12836</v>
      </c>
      <c r="H1825" s="1" t="s">
        <v>10</v>
      </c>
      <c r="I1825" s="1">
        <f t="shared" si="7"/>
        <v>4.95</v>
      </c>
      <c r="J1825" s="2"/>
      <c r="K1825" s="2"/>
      <c r="L1825" s="2"/>
      <c r="M1825" s="2"/>
      <c r="N1825" s="2"/>
      <c r="O1825" s="2"/>
      <c r="P1825" s="2"/>
      <c r="Q1825" s="2"/>
      <c r="R1825" s="2"/>
      <c r="S1825" s="2"/>
    </row>
    <row r="1826" spans="1:19" x14ac:dyDescent="0.2">
      <c r="A1826" s="1">
        <v>489594</v>
      </c>
      <c r="B1826" s="1">
        <v>21232</v>
      </c>
      <c r="C1826" s="1" t="s">
        <v>11</v>
      </c>
      <c r="D1826" s="1">
        <v>12</v>
      </c>
      <c r="E1826" s="3">
        <v>40148.59652777778</v>
      </c>
      <c r="F1826" s="1">
        <v>1.25</v>
      </c>
      <c r="G1826" s="1">
        <v>15005</v>
      </c>
      <c r="H1826" s="1" t="s">
        <v>10</v>
      </c>
      <c r="I1826" s="1">
        <f t="shared" si="7"/>
        <v>15</v>
      </c>
      <c r="J1826" s="2"/>
      <c r="K1826" s="2"/>
      <c r="L1826" s="2"/>
      <c r="M1826" s="2"/>
      <c r="N1826" s="2"/>
      <c r="O1826" s="2"/>
      <c r="P1826" s="2"/>
      <c r="Q1826" s="2"/>
      <c r="R1826" s="2"/>
      <c r="S1826" s="2"/>
    </row>
    <row r="1827" spans="1:19" x14ac:dyDescent="0.2">
      <c r="A1827" s="1">
        <v>489594</v>
      </c>
      <c r="B1827" s="1">
        <v>21231</v>
      </c>
      <c r="C1827" s="1" t="s">
        <v>293</v>
      </c>
      <c r="D1827" s="1">
        <v>11</v>
      </c>
      <c r="E1827" s="3">
        <v>40148.59652777778</v>
      </c>
      <c r="F1827" s="1">
        <v>1.25</v>
      </c>
      <c r="G1827" s="1">
        <v>15005</v>
      </c>
      <c r="H1827" s="1" t="s">
        <v>10</v>
      </c>
      <c r="I1827" s="1">
        <f t="shared" si="7"/>
        <v>13.75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</row>
    <row r="1828" spans="1:19" x14ac:dyDescent="0.2">
      <c r="A1828" s="1">
        <v>489594</v>
      </c>
      <c r="B1828" s="1" t="s">
        <v>1180</v>
      </c>
      <c r="C1828" s="1" t="s">
        <v>1181</v>
      </c>
      <c r="D1828" s="1">
        <v>8</v>
      </c>
      <c r="E1828" s="3">
        <v>40148.59652777778</v>
      </c>
      <c r="F1828" s="1">
        <v>1.25</v>
      </c>
      <c r="G1828" s="1">
        <v>15005</v>
      </c>
      <c r="H1828" s="1" t="s">
        <v>10</v>
      </c>
      <c r="I1828" s="1">
        <f t="shared" si="7"/>
        <v>10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</row>
    <row r="1829" spans="1:19" x14ac:dyDescent="0.2">
      <c r="A1829" s="1">
        <v>489594</v>
      </c>
      <c r="B1829" s="1">
        <v>37502</v>
      </c>
      <c r="C1829" s="1" t="s">
        <v>1182</v>
      </c>
      <c r="D1829" s="1">
        <v>8</v>
      </c>
      <c r="E1829" s="3">
        <v>40148.59652777778</v>
      </c>
      <c r="F1829" s="1">
        <v>2.95</v>
      </c>
      <c r="G1829" s="1">
        <v>15005</v>
      </c>
      <c r="H1829" s="1" t="s">
        <v>10</v>
      </c>
      <c r="I1829" s="1">
        <f t="shared" si="7"/>
        <v>23.6</v>
      </c>
      <c r="J1829" s="2"/>
      <c r="K1829" s="2"/>
      <c r="L1829" s="2"/>
      <c r="M1829" s="2"/>
      <c r="N1829" s="2"/>
      <c r="O1829" s="2"/>
      <c r="P1829" s="2"/>
      <c r="Q1829" s="2"/>
      <c r="R1829" s="2"/>
      <c r="S1829" s="2"/>
    </row>
    <row r="1830" spans="1:19" x14ac:dyDescent="0.2">
      <c r="A1830" s="1">
        <v>489594</v>
      </c>
      <c r="B1830" s="1" t="s">
        <v>1183</v>
      </c>
      <c r="C1830" s="1" t="s">
        <v>1184</v>
      </c>
      <c r="D1830" s="1">
        <v>8</v>
      </c>
      <c r="E1830" s="3">
        <v>40148.59652777778</v>
      </c>
      <c r="F1830" s="1">
        <v>0.65</v>
      </c>
      <c r="G1830" s="1">
        <v>15005</v>
      </c>
      <c r="H1830" s="1" t="s">
        <v>10</v>
      </c>
      <c r="I1830" s="1">
        <f t="shared" si="7"/>
        <v>5.2</v>
      </c>
      <c r="J1830" s="2"/>
      <c r="K1830" s="2"/>
      <c r="L1830" s="2"/>
      <c r="M1830" s="2"/>
      <c r="N1830" s="2"/>
      <c r="O1830" s="2"/>
      <c r="P1830" s="2"/>
      <c r="Q1830" s="2"/>
      <c r="R1830" s="2"/>
      <c r="S1830" s="2"/>
    </row>
    <row r="1831" spans="1:19" x14ac:dyDescent="0.2">
      <c r="A1831" s="1">
        <v>489594</v>
      </c>
      <c r="B1831" s="1" t="s">
        <v>1185</v>
      </c>
      <c r="C1831" s="1" t="s">
        <v>1186</v>
      </c>
      <c r="D1831" s="1">
        <v>8</v>
      </c>
      <c r="E1831" s="3">
        <v>40148.59652777778</v>
      </c>
      <c r="F1831" s="1">
        <v>0.42</v>
      </c>
      <c r="G1831" s="1">
        <v>15005</v>
      </c>
      <c r="H1831" s="1" t="s">
        <v>10</v>
      </c>
      <c r="I1831" s="1">
        <f t="shared" si="7"/>
        <v>3.36</v>
      </c>
      <c r="J1831" s="2"/>
      <c r="K1831" s="2"/>
      <c r="L1831" s="2"/>
      <c r="M1831" s="2"/>
      <c r="N1831" s="2"/>
      <c r="O1831" s="2"/>
      <c r="P1831" s="2"/>
      <c r="Q1831" s="2"/>
      <c r="R1831" s="2"/>
      <c r="S1831" s="2"/>
    </row>
    <row r="1832" spans="1:19" x14ac:dyDescent="0.2">
      <c r="A1832" s="1">
        <v>489594</v>
      </c>
      <c r="B1832" s="1" t="s">
        <v>1187</v>
      </c>
      <c r="C1832" s="1" t="s">
        <v>1188</v>
      </c>
      <c r="D1832" s="1">
        <v>7</v>
      </c>
      <c r="E1832" s="3">
        <v>40148.59652777778</v>
      </c>
      <c r="F1832" s="1">
        <v>1.25</v>
      </c>
      <c r="G1832" s="1">
        <v>15005</v>
      </c>
      <c r="H1832" s="1" t="s">
        <v>10</v>
      </c>
      <c r="I1832" s="1">
        <f t="shared" si="7"/>
        <v>8.75</v>
      </c>
      <c r="J1832" s="2"/>
      <c r="K1832" s="2"/>
      <c r="L1832" s="2"/>
      <c r="M1832" s="2"/>
      <c r="N1832" s="2"/>
      <c r="O1832" s="2"/>
      <c r="P1832" s="2"/>
      <c r="Q1832" s="2"/>
      <c r="R1832" s="2"/>
      <c r="S1832" s="2"/>
    </row>
    <row r="1833" spans="1:19" x14ac:dyDescent="0.2">
      <c r="A1833" s="1">
        <v>489594</v>
      </c>
      <c r="B1833" s="1">
        <v>20676</v>
      </c>
      <c r="C1833" s="1" t="s">
        <v>510</v>
      </c>
      <c r="D1833" s="1">
        <v>6</v>
      </c>
      <c r="E1833" s="3">
        <v>40148.59652777778</v>
      </c>
      <c r="F1833" s="1">
        <v>1.25</v>
      </c>
      <c r="G1833" s="1">
        <v>15005</v>
      </c>
      <c r="H1833" s="1" t="s">
        <v>10</v>
      </c>
      <c r="I1833" s="1">
        <f t="shared" si="7"/>
        <v>7.5</v>
      </c>
      <c r="J1833" s="2"/>
      <c r="K1833" s="2"/>
      <c r="L1833" s="2"/>
      <c r="M1833" s="2"/>
      <c r="N1833" s="2"/>
      <c r="O1833" s="2"/>
      <c r="P1833" s="2"/>
      <c r="Q1833" s="2"/>
      <c r="R1833" s="2"/>
      <c r="S1833" s="2"/>
    </row>
    <row r="1834" spans="1:19" x14ac:dyDescent="0.2">
      <c r="A1834" s="1">
        <v>489594</v>
      </c>
      <c r="B1834" s="1">
        <v>22347</v>
      </c>
      <c r="C1834" s="1" t="s">
        <v>1189</v>
      </c>
      <c r="D1834" s="1">
        <v>6</v>
      </c>
      <c r="E1834" s="3">
        <v>40148.59652777778</v>
      </c>
      <c r="F1834" s="1">
        <v>1.25</v>
      </c>
      <c r="G1834" s="1">
        <v>15005</v>
      </c>
      <c r="H1834" s="1" t="s">
        <v>10</v>
      </c>
      <c r="I1834" s="1">
        <f t="shared" si="7"/>
        <v>7.5</v>
      </c>
      <c r="J1834" s="2"/>
      <c r="K1834" s="2"/>
      <c r="L1834" s="2"/>
      <c r="M1834" s="2"/>
      <c r="N1834" s="2"/>
      <c r="O1834" s="2"/>
      <c r="P1834" s="2"/>
      <c r="Q1834" s="2"/>
      <c r="R1834" s="2"/>
      <c r="S1834" s="2"/>
    </row>
    <row r="1835" spans="1:19" x14ac:dyDescent="0.2">
      <c r="A1835" s="1">
        <v>489594</v>
      </c>
      <c r="B1835" s="1">
        <v>22065</v>
      </c>
      <c r="C1835" s="1" t="s">
        <v>104</v>
      </c>
      <c r="D1835" s="1">
        <v>6</v>
      </c>
      <c r="E1835" s="3">
        <v>40148.59652777778</v>
      </c>
      <c r="F1835" s="1">
        <v>1.45</v>
      </c>
      <c r="G1835" s="1">
        <v>15005</v>
      </c>
      <c r="H1835" s="1" t="s">
        <v>10</v>
      </c>
      <c r="I1835" s="1">
        <f t="shared" si="7"/>
        <v>8.6999999999999993</v>
      </c>
      <c r="J1835" s="2"/>
      <c r="K1835" s="2"/>
      <c r="L1835" s="2"/>
      <c r="M1835" s="2"/>
      <c r="N1835" s="2"/>
      <c r="O1835" s="2"/>
      <c r="P1835" s="2"/>
      <c r="Q1835" s="2"/>
      <c r="R1835" s="2"/>
      <c r="S1835" s="2"/>
    </row>
    <row r="1836" spans="1:19" x14ac:dyDescent="0.2">
      <c r="A1836" s="1">
        <v>489594</v>
      </c>
      <c r="B1836" s="1">
        <v>82482</v>
      </c>
      <c r="C1836" s="1" t="s">
        <v>863</v>
      </c>
      <c r="D1836" s="1">
        <v>6</v>
      </c>
      <c r="E1836" s="3">
        <v>40148.59652777778</v>
      </c>
      <c r="F1836" s="1">
        <v>2.5499999999999998</v>
      </c>
      <c r="G1836" s="1">
        <v>15005</v>
      </c>
      <c r="H1836" s="1" t="s">
        <v>10</v>
      </c>
      <c r="I1836" s="1">
        <f t="shared" si="7"/>
        <v>15.299999999999999</v>
      </c>
      <c r="J1836" s="2"/>
      <c r="K1836" s="2"/>
      <c r="L1836" s="2"/>
      <c r="M1836" s="2"/>
      <c r="N1836" s="2"/>
      <c r="O1836" s="2"/>
      <c r="P1836" s="2"/>
      <c r="Q1836" s="2"/>
      <c r="R1836" s="2"/>
      <c r="S1836" s="2"/>
    </row>
    <row r="1837" spans="1:19" x14ac:dyDescent="0.2">
      <c r="A1837" s="1">
        <v>489594</v>
      </c>
      <c r="B1837" s="1" t="s">
        <v>1190</v>
      </c>
      <c r="C1837" s="1" t="s">
        <v>1191</v>
      </c>
      <c r="D1837" s="1">
        <v>5</v>
      </c>
      <c r="E1837" s="3">
        <v>40148.59652777778</v>
      </c>
      <c r="F1837" s="1">
        <v>1.25</v>
      </c>
      <c r="G1837" s="1">
        <v>15005</v>
      </c>
      <c r="H1837" s="1" t="s">
        <v>10</v>
      </c>
      <c r="I1837" s="1">
        <f t="shared" si="7"/>
        <v>6.25</v>
      </c>
      <c r="J1837" s="2"/>
      <c r="K1837" s="2"/>
      <c r="L1837" s="2"/>
      <c r="M1837" s="2"/>
      <c r="N1837" s="2"/>
      <c r="O1837" s="2"/>
      <c r="P1837" s="2"/>
      <c r="Q1837" s="2"/>
      <c r="R1837" s="2"/>
      <c r="S1837" s="2"/>
    </row>
    <row r="1838" spans="1:19" x14ac:dyDescent="0.2">
      <c r="A1838" s="1">
        <v>489594</v>
      </c>
      <c r="B1838" s="1" t="s">
        <v>1192</v>
      </c>
      <c r="C1838" s="1" t="s">
        <v>1193</v>
      </c>
      <c r="D1838" s="1">
        <v>5</v>
      </c>
      <c r="E1838" s="3">
        <v>40148.59652777778</v>
      </c>
      <c r="F1838" s="1">
        <v>1.25</v>
      </c>
      <c r="G1838" s="1">
        <v>15005</v>
      </c>
      <c r="H1838" s="1" t="s">
        <v>10</v>
      </c>
      <c r="I1838" s="1">
        <f t="shared" si="7"/>
        <v>6.25</v>
      </c>
      <c r="J1838" s="2"/>
      <c r="K1838" s="2"/>
      <c r="L1838" s="2"/>
      <c r="M1838" s="2"/>
      <c r="N1838" s="2"/>
      <c r="O1838" s="2"/>
      <c r="P1838" s="2"/>
      <c r="Q1838" s="2"/>
      <c r="R1838" s="2"/>
      <c r="S1838" s="2"/>
    </row>
    <row r="1839" spans="1:19" x14ac:dyDescent="0.2">
      <c r="A1839" s="1">
        <v>489594</v>
      </c>
      <c r="B1839" s="1" t="s">
        <v>1194</v>
      </c>
      <c r="C1839" s="1" t="s">
        <v>1195</v>
      </c>
      <c r="D1839" s="1">
        <v>4</v>
      </c>
      <c r="E1839" s="3">
        <v>40148.59652777778</v>
      </c>
      <c r="F1839" s="1">
        <v>2.1</v>
      </c>
      <c r="G1839" s="1">
        <v>15005</v>
      </c>
      <c r="H1839" s="1" t="s">
        <v>10</v>
      </c>
      <c r="I1839" s="1">
        <f t="shared" si="7"/>
        <v>8.4</v>
      </c>
      <c r="J1839" s="2"/>
      <c r="K1839" s="2"/>
      <c r="L1839" s="2"/>
      <c r="M1839" s="2"/>
      <c r="N1839" s="2"/>
      <c r="O1839" s="2"/>
      <c r="P1839" s="2"/>
      <c r="Q1839" s="2"/>
      <c r="R1839" s="2"/>
      <c r="S1839" s="2"/>
    </row>
    <row r="1840" spans="1:19" x14ac:dyDescent="0.2">
      <c r="A1840" s="1">
        <v>489594</v>
      </c>
      <c r="B1840" s="1">
        <v>20675</v>
      </c>
      <c r="C1840" s="1" t="s">
        <v>360</v>
      </c>
      <c r="D1840" s="1">
        <v>4</v>
      </c>
      <c r="E1840" s="3">
        <v>40148.59652777778</v>
      </c>
      <c r="F1840" s="1">
        <v>1.25</v>
      </c>
      <c r="G1840" s="1">
        <v>15005</v>
      </c>
      <c r="H1840" s="1" t="s">
        <v>10</v>
      </c>
      <c r="I1840" s="1">
        <f t="shared" si="7"/>
        <v>5</v>
      </c>
      <c r="J1840" s="2"/>
      <c r="K1840" s="2"/>
      <c r="L1840" s="2"/>
      <c r="M1840" s="2"/>
      <c r="N1840" s="2"/>
      <c r="O1840" s="2"/>
      <c r="P1840" s="2"/>
      <c r="Q1840" s="2"/>
      <c r="R1840" s="2"/>
      <c r="S1840" s="2"/>
    </row>
    <row r="1841" spans="1:19" x14ac:dyDescent="0.2">
      <c r="A1841" s="1">
        <v>489594</v>
      </c>
      <c r="B1841" s="1">
        <v>20975</v>
      </c>
      <c r="C1841" s="1" t="s">
        <v>638</v>
      </c>
      <c r="D1841" s="1">
        <v>4</v>
      </c>
      <c r="E1841" s="3">
        <v>40148.59652777778</v>
      </c>
      <c r="F1841" s="1">
        <v>0.65</v>
      </c>
      <c r="G1841" s="1">
        <v>15005</v>
      </c>
      <c r="H1841" s="1" t="s">
        <v>10</v>
      </c>
      <c r="I1841" s="1">
        <f t="shared" si="7"/>
        <v>2.6</v>
      </c>
      <c r="J1841" s="2"/>
      <c r="K1841" s="2"/>
      <c r="L1841" s="2"/>
      <c r="M1841" s="2"/>
      <c r="N1841" s="2"/>
      <c r="O1841" s="2"/>
      <c r="P1841" s="2"/>
      <c r="Q1841" s="2"/>
      <c r="R1841" s="2"/>
      <c r="S1841" s="2"/>
    </row>
    <row r="1842" spans="1:19" x14ac:dyDescent="0.2">
      <c r="A1842" s="1">
        <v>489594</v>
      </c>
      <c r="B1842" s="1">
        <v>21791</v>
      </c>
      <c r="C1842" s="1" t="s">
        <v>324</v>
      </c>
      <c r="D1842" s="1">
        <v>4</v>
      </c>
      <c r="E1842" s="3">
        <v>40148.59652777778</v>
      </c>
      <c r="F1842" s="1">
        <v>1.25</v>
      </c>
      <c r="G1842" s="1">
        <v>15005</v>
      </c>
      <c r="H1842" s="1" t="s">
        <v>10</v>
      </c>
      <c r="I1842" s="1">
        <f t="shared" si="7"/>
        <v>5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2"/>
    </row>
    <row r="1843" spans="1:19" x14ac:dyDescent="0.2">
      <c r="A1843" s="1">
        <v>489594</v>
      </c>
      <c r="B1843" s="1" t="s">
        <v>1196</v>
      </c>
      <c r="C1843" s="1" t="s">
        <v>1197</v>
      </c>
      <c r="D1843" s="1">
        <v>4</v>
      </c>
      <c r="E1843" s="3">
        <v>40148.59652777778</v>
      </c>
      <c r="F1843" s="1">
        <v>0.85</v>
      </c>
      <c r="G1843" s="1">
        <v>15005</v>
      </c>
      <c r="H1843" s="1" t="s">
        <v>10</v>
      </c>
      <c r="I1843" s="1">
        <f t="shared" si="7"/>
        <v>3.4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2"/>
    </row>
    <row r="1844" spans="1:19" x14ac:dyDescent="0.2">
      <c r="A1844" s="1">
        <v>489594</v>
      </c>
      <c r="B1844" s="1">
        <v>22064</v>
      </c>
      <c r="C1844" s="1" t="s">
        <v>12</v>
      </c>
      <c r="D1844" s="1">
        <v>4</v>
      </c>
      <c r="E1844" s="3">
        <v>40148.59652777778</v>
      </c>
      <c r="F1844" s="1">
        <v>1.65</v>
      </c>
      <c r="G1844" s="1">
        <v>15005</v>
      </c>
      <c r="H1844" s="1" t="s">
        <v>10</v>
      </c>
      <c r="I1844" s="1">
        <f t="shared" si="7"/>
        <v>6.6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2"/>
    </row>
    <row r="1845" spans="1:19" x14ac:dyDescent="0.2">
      <c r="A1845" s="1">
        <v>489594</v>
      </c>
      <c r="B1845" s="1">
        <v>20726</v>
      </c>
      <c r="C1845" s="1" t="s">
        <v>193</v>
      </c>
      <c r="D1845" s="1">
        <v>4</v>
      </c>
      <c r="E1845" s="3">
        <v>40148.59652777778</v>
      </c>
      <c r="F1845" s="1">
        <v>1.65</v>
      </c>
      <c r="G1845" s="1">
        <v>15005</v>
      </c>
      <c r="H1845" s="1" t="s">
        <v>10</v>
      </c>
      <c r="I1845" s="1">
        <f t="shared" si="7"/>
        <v>6.6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2"/>
    </row>
    <row r="1846" spans="1:19" x14ac:dyDescent="0.2">
      <c r="A1846" s="1">
        <v>489594</v>
      </c>
      <c r="B1846" s="1">
        <v>20977</v>
      </c>
      <c r="C1846" s="1" t="s">
        <v>869</v>
      </c>
      <c r="D1846" s="1">
        <v>3</v>
      </c>
      <c r="E1846" s="3">
        <v>40148.59652777778</v>
      </c>
      <c r="F1846" s="1">
        <v>1.25</v>
      </c>
      <c r="G1846" s="1">
        <v>15005</v>
      </c>
      <c r="H1846" s="1" t="s">
        <v>10</v>
      </c>
      <c r="I1846" s="1">
        <f t="shared" si="7"/>
        <v>3.75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2"/>
    </row>
    <row r="1847" spans="1:19" x14ac:dyDescent="0.2">
      <c r="A1847" s="1">
        <v>489594</v>
      </c>
      <c r="B1847" s="1">
        <v>37448</v>
      </c>
      <c r="C1847" s="1" t="s">
        <v>1198</v>
      </c>
      <c r="D1847" s="1">
        <v>3</v>
      </c>
      <c r="E1847" s="3">
        <v>40148.59652777778</v>
      </c>
      <c r="F1847" s="1">
        <v>1.49</v>
      </c>
      <c r="G1847" s="1">
        <v>15005</v>
      </c>
      <c r="H1847" s="1" t="s">
        <v>10</v>
      </c>
      <c r="I1847" s="1">
        <f t="shared" si="7"/>
        <v>4.47</v>
      </c>
      <c r="J1847" s="2"/>
      <c r="K1847" s="2"/>
      <c r="L1847" s="2"/>
      <c r="M1847" s="2"/>
      <c r="N1847" s="2"/>
      <c r="O1847" s="2"/>
      <c r="P1847" s="2"/>
      <c r="Q1847" s="2"/>
      <c r="R1847" s="2"/>
      <c r="S1847" s="2"/>
    </row>
    <row r="1848" spans="1:19" x14ac:dyDescent="0.2">
      <c r="A1848" s="1">
        <v>489594</v>
      </c>
      <c r="B1848" s="1">
        <v>22131</v>
      </c>
      <c r="C1848" s="1" t="s">
        <v>812</v>
      </c>
      <c r="D1848" s="1">
        <v>3</v>
      </c>
      <c r="E1848" s="3">
        <v>40148.59652777778</v>
      </c>
      <c r="F1848" s="1">
        <v>1.95</v>
      </c>
      <c r="G1848" s="1">
        <v>15005</v>
      </c>
      <c r="H1848" s="1" t="s">
        <v>10</v>
      </c>
      <c r="I1848" s="1">
        <f t="shared" si="7"/>
        <v>5.85</v>
      </c>
      <c r="J1848" s="2"/>
      <c r="K1848" s="2"/>
      <c r="L1848" s="2"/>
      <c r="M1848" s="2"/>
      <c r="N1848" s="2"/>
      <c r="O1848" s="2"/>
      <c r="P1848" s="2"/>
      <c r="Q1848" s="2"/>
      <c r="R1848" s="2"/>
      <c r="S1848" s="2"/>
    </row>
    <row r="1849" spans="1:19" x14ac:dyDescent="0.2">
      <c r="A1849" s="1">
        <v>489594</v>
      </c>
      <c r="B1849" s="1">
        <v>37450</v>
      </c>
      <c r="C1849" s="1" t="s">
        <v>265</v>
      </c>
      <c r="D1849" s="1">
        <v>3</v>
      </c>
      <c r="E1849" s="3">
        <v>40148.59652777778</v>
      </c>
      <c r="F1849" s="1">
        <v>2.95</v>
      </c>
      <c r="G1849" s="1">
        <v>15005</v>
      </c>
      <c r="H1849" s="1" t="s">
        <v>10</v>
      </c>
      <c r="I1849" s="1">
        <f t="shared" si="7"/>
        <v>8.8500000000000014</v>
      </c>
      <c r="J1849" s="2"/>
      <c r="K1849" s="2"/>
      <c r="L1849" s="2"/>
      <c r="M1849" s="2"/>
      <c r="N1849" s="2"/>
      <c r="O1849" s="2"/>
      <c r="P1849" s="2"/>
      <c r="Q1849" s="2"/>
      <c r="R1849" s="2"/>
      <c r="S1849" s="2"/>
    </row>
    <row r="1850" spans="1:19" x14ac:dyDescent="0.2">
      <c r="A1850" s="1">
        <v>489594</v>
      </c>
      <c r="B1850" s="1">
        <v>21034</v>
      </c>
      <c r="C1850" s="1" t="s">
        <v>606</v>
      </c>
      <c r="D1850" s="1">
        <v>3</v>
      </c>
      <c r="E1850" s="3">
        <v>40148.59652777778</v>
      </c>
      <c r="F1850" s="1">
        <v>0.95</v>
      </c>
      <c r="G1850" s="1">
        <v>15005</v>
      </c>
      <c r="H1850" s="1" t="s">
        <v>10</v>
      </c>
      <c r="I1850" s="1">
        <f t="shared" si="7"/>
        <v>2.8499999999999996</v>
      </c>
      <c r="J1850" s="2"/>
      <c r="K1850" s="2"/>
      <c r="L1850" s="2"/>
      <c r="M1850" s="2"/>
      <c r="N1850" s="2"/>
      <c r="O1850" s="2"/>
      <c r="P1850" s="2"/>
      <c r="Q1850" s="2"/>
      <c r="R1850" s="2"/>
      <c r="S1850" s="2"/>
    </row>
    <row r="1851" spans="1:19" x14ac:dyDescent="0.2">
      <c r="A1851" s="1">
        <v>489594</v>
      </c>
      <c r="B1851" s="1">
        <v>20725</v>
      </c>
      <c r="C1851" s="1" t="s">
        <v>191</v>
      </c>
      <c r="D1851" s="1">
        <v>3</v>
      </c>
      <c r="E1851" s="3">
        <v>40148.59652777778</v>
      </c>
      <c r="F1851" s="1">
        <v>1.65</v>
      </c>
      <c r="G1851" s="1">
        <v>15005</v>
      </c>
      <c r="H1851" s="1" t="s">
        <v>10</v>
      </c>
      <c r="I1851" s="1">
        <f t="shared" si="7"/>
        <v>4.9499999999999993</v>
      </c>
      <c r="J1851" s="2"/>
      <c r="K1851" s="2"/>
      <c r="L1851" s="2"/>
      <c r="M1851" s="2"/>
      <c r="N1851" s="2"/>
      <c r="O1851" s="2"/>
      <c r="P1851" s="2"/>
      <c r="Q1851" s="2"/>
      <c r="R1851" s="2"/>
      <c r="S1851" s="2"/>
    </row>
    <row r="1852" spans="1:19" x14ac:dyDescent="0.2">
      <c r="A1852" s="1">
        <v>489594</v>
      </c>
      <c r="B1852" s="1">
        <v>22114</v>
      </c>
      <c r="C1852" s="1" t="s">
        <v>184</v>
      </c>
      <c r="D1852" s="1">
        <v>3</v>
      </c>
      <c r="E1852" s="3">
        <v>40148.59652777778</v>
      </c>
      <c r="F1852" s="1">
        <v>3.95</v>
      </c>
      <c r="G1852" s="1">
        <v>15005</v>
      </c>
      <c r="H1852" s="1" t="s">
        <v>10</v>
      </c>
      <c r="I1852" s="1">
        <f t="shared" si="7"/>
        <v>11.850000000000001</v>
      </c>
      <c r="J1852" s="2"/>
      <c r="K1852" s="2"/>
      <c r="L1852" s="2"/>
      <c r="M1852" s="2"/>
      <c r="N1852" s="2"/>
      <c r="O1852" s="2"/>
      <c r="P1852" s="2"/>
      <c r="Q1852" s="2"/>
      <c r="R1852" s="2"/>
      <c r="S1852" s="2"/>
    </row>
    <row r="1853" spans="1:19" x14ac:dyDescent="0.2">
      <c r="A1853" s="1">
        <v>489594</v>
      </c>
      <c r="B1853" s="1">
        <v>21931</v>
      </c>
      <c r="C1853" s="1" t="s">
        <v>367</v>
      </c>
      <c r="D1853" s="1">
        <v>2</v>
      </c>
      <c r="E1853" s="3">
        <v>40148.59652777778</v>
      </c>
      <c r="F1853" s="1">
        <v>1.95</v>
      </c>
      <c r="G1853" s="1">
        <v>15005</v>
      </c>
      <c r="H1853" s="1" t="s">
        <v>10</v>
      </c>
      <c r="I1853" s="1">
        <f t="shared" si="7"/>
        <v>3.9</v>
      </c>
      <c r="J1853" s="2"/>
      <c r="K1853" s="2"/>
      <c r="L1853" s="2"/>
      <c r="M1853" s="2"/>
      <c r="N1853" s="2"/>
      <c r="O1853" s="2"/>
      <c r="P1853" s="2"/>
      <c r="Q1853" s="2"/>
      <c r="R1853" s="2"/>
      <c r="S1853" s="2"/>
    </row>
    <row r="1854" spans="1:19" x14ac:dyDescent="0.2">
      <c r="A1854" s="1">
        <v>489594</v>
      </c>
      <c r="B1854" s="1" t="s">
        <v>800</v>
      </c>
      <c r="C1854" s="1" t="s">
        <v>801</v>
      </c>
      <c r="D1854" s="1">
        <v>2</v>
      </c>
      <c r="E1854" s="3">
        <v>40148.59652777778</v>
      </c>
      <c r="F1854" s="1">
        <v>1.95</v>
      </c>
      <c r="G1854" s="1">
        <v>15005</v>
      </c>
      <c r="H1854" s="1" t="s">
        <v>10</v>
      </c>
      <c r="I1854" s="1">
        <f t="shared" si="7"/>
        <v>3.9</v>
      </c>
      <c r="J1854" s="2"/>
      <c r="K1854" s="2"/>
      <c r="L1854" s="2"/>
      <c r="M1854" s="2"/>
      <c r="N1854" s="2"/>
      <c r="O1854" s="2"/>
      <c r="P1854" s="2"/>
      <c r="Q1854" s="2"/>
      <c r="R1854" s="2"/>
      <c r="S1854" s="2"/>
    </row>
    <row r="1855" spans="1:19" x14ac:dyDescent="0.2">
      <c r="A1855" s="1">
        <v>489594</v>
      </c>
      <c r="B1855" s="1">
        <v>21929</v>
      </c>
      <c r="C1855" s="1" t="s">
        <v>168</v>
      </c>
      <c r="D1855" s="1">
        <v>2</v>
      </c>
      <c r="E1855" s="3">
        <v>40148.59652777778</v>
      </c>
      <c r="F1855" s="1">
        <v>1.95</v>
      </c>
      <c r="G1855" s="1">
        <v>15005</v>
      </c>
      <c r="H1855" s="1" t="s">
        <v>10</v>
      </c>
      <c r="I1855" s="1">
        <f t="shared" si="7"/>
        <v>3.9</v>
      </c>
      <c r="J1855" s="2"/>
      <c r="K1855" s="2"/>
      <c r="L1855" s="2"/>
      <c r="M1855" s="2"/>
      <c r="N1855" s="2"/>
      <c r="O1855" s="2"/>
      <c r="P1855" s="2"/>
      <c r="Q1855" s="2"/>
      <c r="R1855" s="2"/>
      <c r="S1855" s="2"/>
    </row>
    <row r="1856" spans="1:19" x14ac:dyDescent="0.2">
      <c r="A1856" s="1">
        <v>489594</v>
      </c>
      <c r="B1856" s="1">
        <v>37447</v>
      </c>
      <c r="C1856" s="1" t="s">
        <v>1199</v>
      </c>
      <c r="D1856" s="1">
        <v>2</v>
      </c>
      <c r="E1856" s="3">
        <v>40148.59652777778</v>
      </c>
      <c r="F1856" s="1">
        <v>1.49</v>
      </c>
      <c r="G1856" s="1">
        <v>15005</v>
      </c>
      <c r="H1856" s="1" t="s">
        <v>10</v>
      </c>
      <c r="I1856" s="1">
        <f t="shared" si="7"/>
        <v>2.98</v>
      </c>
      <c r="J1856" s="2"/>
      <c r="K1856" s="2"/>
      <c r="L1856" s="2"/>
      <c r="M1856" s="2"/>
      <c r="N1856" s="2"/>
      <c r="O1856" s="2"/>
      <c r="P1856" s="2"/>
      <c r="Q1856" s="2"/>
      <c r="R1856" s="2"/>
      <c r="S1856" s="2"/>
    </row>
    <row r="1857" spans="1:19" x14ac:dyDescent="0.2">
      <c r="A1857" s="1">
        <v>489594</v>
      </c>
      <c r="B1857" s="1">
        <v>22055</v>
      </c>
      <c r="C1857" s="1" t="s">
        <v>1200</v>
      </c>
      <c r="D1857" s="1">
        <v>2</v>
      </c>
      <c r="E1857" s="3">
        <v>40148.59652777778</v>
      </c>
      <c r="F1857" s="1">
        <v>1.65</v>
      </c>
      <c r="G1857" s="1">
        <v>15005</v>
      </c>
      <c r="H1857" s="1" t="s">
        <v>10</v>
      </c>
      <c r="I1857" s="1">
        <f t="shared" si="7"/>
        <v>3.3</v>
      </c>
      <c r="J1857" s="2"/>
      <c r="K1857" s="2"/>
      <c r="L1857" s="2"/>
      <c r="M1857" s="2"/>
      <c r="N1857" s="2"/>
      <c r="O1857" s="2"/>
      <c r="P1857" s="2"/>
      <c r="Q1857" s="2"/>
      <c r="R1857" s="2"/>
      <c r="S1857" s="2"/>
    </row>
    <row r="1858" spans="1:19" x14ac:dyDescent="0.2">
      <c r="A1858" s="1">
        <v>489594</v>
      </c>
      <c r="B1858" s="1">
        <v>37448</v>
      </c>
      <c r="C1858" s="1" t="s">
        <v>1198</v>
      </c>
      <c r="D1858" s="1">
        <v>2</v>
      </c>
      <c r="E1858" s="3">
        <v>40148.59652777778</v>
      </c>
      <c r="F1858" s="1">
        <v>1.49</v>
      </c>
      <c r="G1858" s="1">
        <v>15005</v>
      </c>
      <c r="H1858" s="1" t="s">
        <v>10</v>
      </c>
      <c r="I1858" s="1">
        <f t="shared" si="7"/>
        <v>2.98</v>
      </c>
      <c r="J1858" s="2"/>
      <c r="K1858" s="2"/>
      <c r="L1858" s="2"/>
      <c r="M1858" s="2"/>
      <c r="N1858" s="2"/>
      <c r="O1858" s="2"/>
      <c r="P1858" s="2"/>
      <c r="Q1858" s="2"/>
      <c r="R1858" s="2"/>
      <c r="S1858" s="2"/>
    </row>
    <row r="1859" spans="1:19" x14ac:dyDescent="0.2">
      <c r="A1859" s="1">
        <v>489594</v>
      </c>
      <c r="B1859" s="1">
        <v>22350</v>
      </c>
      <c r="C1859" s="1" t="s">
        <v>21</v>
      </c>
      <c r="D1859" s="1">
        <v>2</v>
      </c>
      <c r="E1859" s="3">
        <v>40148.59652777778</v>
      </c>
      <c r="F1859" s="1">
        <v>2.5499999999999998</v>
      </c>
      <c r="G1859" s="1">
        <v>15005</v>
      </c>
      <c r="H1859" s="1" t="s">
        <v>10</v>
      </c>
      <c r="I1859" s="1">
        <f t="shared" si="7"/>
        <v>5.0999999999999996</v>
      </c>
      <c r="J1859" s="2"/>
      <c r="K1859" s="2"/>
      <c r="L1859" s="2"/>
      <c r="M1859" s="2"/>
      <c r="N1859" s="2"/>
      <c r="O1859" s="2"/>
      <c r="P1859" s="2"/>
      <c r="Q1859" s="2"/>
      <c r="R1859" s="2"/>
      <c r="S1859" s="2"/>
    </row>
    <row r="1860" spans="1:19" x14ac:dyDescent="0.2">
      <c r="A1860" s="1">
        <v>489594</v>
      </c>
      <c r="B1860" s="1" t="s">
        <v>1201</v>
      </c>
      <c r="C1860" s="1" t="s">
        <v>1202</v>
      </c>
      <c r="D1860" s="1">
        <v>2</v>
      </c>
      <c r="E1860" s="3">
        <v>40148.59652777778</v>
      </c>
      <c r="F1860" s="1">
        <v>2.5499999999999998</v>
      </c>
      <c r="G1860" s="1">
        <v>15005</v>
      </c>
      <c r="H1860" s="1" t="s">
        <v>10</v>
      </c>
      <c r="I1860" s="1">
        <f t="shared" si="7"/>
        <v>5.0999999999999996</v>
      </c>
      <c r="J1860" s="2"/>
      <c r="K1860" s="2"/>
      <c r="L1860" s="2"/>
      <c r="M1860" s="2"/>
      <c r="N1860" s="2"/>
      <c r="O1860" s="2"/>
      <c r="P1860" s="2"/>
      <c r="Q1860" s="2"/>
      <c r="R1860" s="2"/>
      <c r="S1860" s="2"/>
    </row>
    <row r="1861" spans="1:19" x14ac:dyDescent="0.2">
      <c r="A1861" s="1">
        <v>489594</v>
      </c>
      <c r="B1861" s="1">
        <v>37449</v>
      </c>
      <c r="C1861" s="1" t="s">
        <v>329</v>
      </c>
      <c r="D1861" s="1">
        <v>2</v>
      </c>
      <c r="E1861" s="3">
        <v>40148.59652777778</v>
      </c>
      <c r="F1861" s="1">
        <v>9.9499999999999993</v>
      </c>
      <c r="G1861" s="1">
        <v>15005</v>
      </c>
      <c r="H1861" s="1" t="s">
        <v>10</v>
      </c>
      <c r="I1861" s="1">
        <f t="shared" si="7"/>
        <v>19.899999999999999</v>
      </c>
      <c r="J1861" s="2"/>
      <c r="K1861" s="2"/>
      <c r="L1861" s="2"/>
      <c r="M1861" s="2"/>
      <c r="N1861" s="2"/>
      <c r="O1861" s="2"/>
      <c r="P1861" s="2"/>
      <c r="Q1861" s="2"/>
      <c r="R1861" s="2"/>
      <c r="S1861" s="2"/>
    </row>
    <row r="1862" spans="1:19" x14ac:dyDescent="0.2">
      <c r="A1862" s="1">
        <v>489594</v>
      </c>
      <c r="B1862" s="1">
        <v>21875</v>
      </c>
      <c r="C1862" s="1" t="s">
        <v>501</v>
      </c>
      <c r="D1862" s="1">
        <v>2</v>
      </c>
      <c r="E1862" s="3">
        <v>40148.59652777778</v>
      </c>
      <c r="F1862" s="1">
        <v>1.25</v>
      </c>
      <c r="G1862" s="1">
        <v>15005</v>
      </c>
      <c r="H1862" s="1" t="s">
        <v>10</v>
      </c>
      <c r="I1862" s="1">
        <f t="shared" si="7"/>
        <v>2.5</v>
      </c>
      <c r="J1862" s="2"/>
      <c r="K1862" s="2"/>
      <c r="L1862" s="2"/>
      <c r="M1862" s="2"/>
      <c r="N1862" s="2"/>
      <c r="O1862" s="2"/>
      <c r="P1862" s="2"/>
      <c r="Q1862" s="2"/>
      <c r="R1862" s="2"/>
      <c r="S1862" s="2"/>
    </row>
    <row r="1863" spans="1:19" x14ac:dyDescent="0.2">
      <c r="A1863" s="1">
        <v>489594</v>
      </c>
      <c r="B1863" s="1">
        <v>22068</v>
      </c>
      <c r="C1863" s="1" t="s">
        <v>641</v>
      </c>
      <c r="D1863" s="1">
        <v>2</v>
      </c>
      <c r="E1863" s="3">
        <v>40148.59652777778</v>
      </c>
      <c r="F1863" s="1">
        <v>1.65</v>
      </c>
      <c r="G1863" s="1">
        <v>15005</v>
      </c>
      <c r="H1863" s="1" t="s">
        <v>10</v>
      </c>
      <c r="I1863" s="1">
        <f t="shared" si="7"/>
        <v>3.3</v>
      </c>
      <c r="J1863" s="2"/>
      <c r="K1863" s="2"/>
      <c r="L1863" s="2"/>
      <c r="M1863" s="2"/>
      <c r="N1863" s="2"/>
      <c r="O1863" s="2"/>
      <c r="P1863" s="2"/>
      <c r="Q1863" s="2"/>
      <c r="R1863" s="2"/>
      <c r="S1863" s="2"/>
    </row>
    <row r="1864" spans="1:19" x14ac:dyDescent="0.2">
      <c r="A1864" s="1">
        <v>489594</v>
      </c>
      <c r="B1864" s="1">
        <v>22187</v>
      </c>
      <c r="C1864" s="1" t="s">
        <v>1167</v>
      </c>
      <c r="D1864" s="1">
        <v>2</v>
      </c>
      <c r="E1864" s="3">
        <v>40148.59652777778</v>
      </c>
      <c r="F1864" s="1">
        <v>4.25</v>
      </c>
      <c r="G1864" s="1">
        <v>15005</v>
      </c>
      <c r="H1864" s="1" t="s">
        <v>10</v>
      </c>
      <c r="I1864" s="1">
        <f t="shared" si="7"/>
        <v>8.5</v>
      </c>
      <c r="J1864" s="2"/>
      <c r="K1864" s="2"/>
      <c r="L1864" s="2"/>
      <c r="M1864" s="2"/>
      <c r="N1864" s="2"/>
      <c r="O1864" s="2"/>
      <c r="P1864" s="2"/>
      <c r="Q1864" s="2"/>
      <c r="R1864" s="2"/>
      <c r="S1864" s="2"/>
    </row>
    <row r="1865" spans="1:19" x14ac:dyDescent="0.2">
      <c r="A1865" s="1">
        <v>489594</v>
      </c>
      <c r="B1865" s="1">
        <v>85045</v>
      </c>
      <c r="C1865" s="1" t="s">
        <v>482</v>
      </c>
      <c r="D1865" s="1">
        <v>1</v>
      </c>
      <c r="E1865" s="3">
        <v>40148.59652777778</v>
      </c>
      <c r="F1865" s="1">
        <v>4.95</v>
      </c>
      <c r="G1865" s="1">
        <v>15005</v>
      </c>
      <c r="H1865" s="1" t="s">
        <v>10</v>
      </c>
      <c r="I1865" s="1">
        <f t="shared" si="7"/>
        <v>4.95</v>
      </c>
      <c r="J1865" s="2"/>
      <c r="K1865" s="2"/>
      <c r="L1865" s="2"/>
      <c r="M1865" s="2"/>
      <c r="N1865" s="2"/>
      <c r="O1865" s="2"/>
      <c r="P1865" s="2"/>
      <c r="Q1865" s="2"/>
      <c r="R1865" s="2"/>
      <c r="S1865" s="2"/>
    </row>
    <row r="1866" spans="1:19" x14ac:dyDescent="0.2">
      <c r="A1866" s="1">
        <v>489594</v>
      </c>
      <c r="B1866" s="1">
        <v>85042</v>
      </c>
      <c r="C1866" s="1" t="s">
        <v>270</v>
      </c>
      <c r="D1866" s="1">
        <v>1</v>
      </c>
      <c r="E1866" s="3">
        <v>40148.59652777778</v>
      </c>
      <c r="F1866" s="1">
        <v>4.95</v>
      </c>
      <c r="G1866" s="1">
        <v>15005</v>
      </c>
      <c r="H1866" s="1" t="s">
        <v>10</v>
      </c>
      <c r="I1866" s="1">
        <f t="shared" si="7"/>
        <v>4.95</v>
      </c>
      <c r="J1866" s="2"/>
      <c r="K1866" s="2"/>
      <c r="L1866" s="2"/>
      <c r="M1866" s="2"/>
      <c r="N1866" s="2"/>
      <c r="O1866" s="2"/>
      <c r="P1866" s="2"/>
      <c r="Q1866" s="2"/>
      <c r="R1866" s="2"/>
      <c r="S1866" s="2"/>
    </row>
    <row r="1867" spans="1:19" x14ac:dyDescent="0.2">
      <c r="A1867" s="1">
        <v>489594</v>
      </c>
      <c r="B1867" s="1">
        <v>22062</v>
      </c>
      <c r="C1867" s="1" t="s">
        <v>1203</v>
      </c>
      <c r="D1867" s="1">
        <v>1</v>
      </c>
      <c r="E1867" s="3">
        <v>40148.59652777778</v>
      </c>
      <c r="F1867" s="1">
        <v>2.95</v>
      </c>
      <c r="G1867" s="1">
        <v>15005</v>
      </c>
      <c r="H1867" s="1" t="s">
        <v>10</v>
      </c>
      <c r="I1867" s="1">
        <f t="shared" si="7"/>
        <v>2.95</v>
      </c>
      <c r="J1867" s="2"/>
      <c r="K1867" s="2"/>
      <c r="L1867" s="2"/>
      <c r="M1867" s="2"/>
      <c r="N1867" s="2"/>
      <c r="O1867" s="2"/>
      <c r="P1867" s="2"/>
      <c r="Q1867" s="2"/>
      <c r="R1867" s="2"/>
      <c r="S1867" s="2"/>
    </row>
    <row r="1868" spans="1:19" x14ac:dyDescent="0.2">
      <c r="A1868" s="1">
        <v>489594</v>
      </c>
      <c r="B1868" s="1">
        <v>22055</v>
      </c>
      <c r="C1868" s="1" t="s">
        <v>1200</v>
      </c>
      <c r="D1868" s="1">
        <v>1</v>
      </c>
      <c r="E1868" s="3">
        <v>40148.59652777778</v>
      </c>
      <c r="F1868" s="1">
        <v>1.65</v>
      </c>
      <c r="G1868" s="1">
        <v>15005</v>
      </c>
      <c r="H1868" s="1" t="s">
        <v>10</v>
      </c>
      <c r="I1868" s="1">
        <f t="shared" si="7"/>
        <v>1.65</v>
      </c>
      <c r="J1868" s="2"/>
      <c r="K1868" s="2"/>
      <c r="L1868" s="2"/>
      <c r="M1868" s="2"/>
      <c r="N1868" s="2"/>
      <c r="O1868" s="2"/>
      <c r="P1868" s="2"/>
      <c r="Q1868" s="2"/>
      <c r="R1868" s="2"/>
      <c r="S1868" s="2"/>
    </row>
    <row r="1869" spans="1:19" x14ac:dyDescent="0.2">
      <c r="A1869" s="1">
        <v>489594</v>
      </c>
      <c r="B1869" s="1">
        <v>37448</v>
      </c>
      <c r="C1869" s="1" t="s">
        <v>1198</v>
      </c>
      <c r="D1869" s="1">
        <v>1</v>
      </c>
      <c r="E1869" s="3">
        <v>40148.59652777778</v>
      </c>
      <c r="F1869" s="1">
        <v>1.49</v>
      </c>
      <c r="G1869" s="1">
        <v>15005</v>
      </c>
      <c r="H1869" s="1" t="s">
        <v>10</v>
      </c>
      <c r="I1869" s="1">
        <f t="shared" si="7"/>
        <v>1.49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</row>
    <row r="1870" spans="1:19" x14ac:dyDescent="0.2">
      <c r="A1870" s="1">
        <v>489594</v>
      </c>
      <c r="B1870" s="1" t="s">
        <v>1204</v>
      </c>
      <c r="C1870" s="1" t="s">
        <v>1205</v>
      </c>
      <c r="D1870" s="1">
        <v>1</v>
      </c>
      <c r="E1870" s="3">
        <v>40148.59652777778</v>
      </c>
      <c r="F1870" s="1">
        <v>2.5499999999999998</v>
      </c>
      <c r="G1870" s="1">
        <v>15005</v>
      </c>
      <c r="H1870" s="1" t="s">
        <v>10</v>
      </c>
      <c r="I1870" s="1">
        <f t="shared" si="7"/>
        <v>2.5499999999999998</v>
      </c>
      <c r="J1870" s="2"/>
      <c r="K1870" s="2"/>
      <c r="L1870" s="2"/>
      <c r="M1870" s="2"/>
      <c r="N1870" s="2"/>
      <c r="O1870" s="2"/>
      <c r="P1870" s="2"/>
      <c r="Q1870" s="2"/>
      <c r="R1870" s="2"/>
      <c r="S1870" s="2"/>
    </row>
    <row r="1871" spans="1:19" x14ac:dyDescent="0.2">
      <c r="A1871" s="1">
        <v>489594</v>
      </c>
      <c r="B1871" s="1" t="s">
        <v>57</v>
      </c>
      <c r="C1871" s="1" t="s">
        <v>58</v>
      </c>
      <c r="D1871" s="1">
        <v>1</v>
      </c>
      <c r="E1871" s="3">
        <v>40148.59652777778</v>
      </c>
      <c r="F1871" s="1">
        <v>2.5499999999999998</v>
      </c>
      <c r="G1871" s="1">
        <v>15005</v>
      </c>
      <c r="H1871" s="1" t="s">
        <v>10</v>
      </c>
      <c r="I1871" s="1">
        <f t="shared" si="7"/>
        <v>2.5499999999999998</v>
      </c>
      <c r="J1871" s="2"/>
      <c r="K1871" s="2"/>
      <c r="L1871" s="2"/>
      <c r="M1871" s="2"/>
      <c r="N1871" s="2"/>
      <c r="O1871" s="2"/>
      <c r="P1871" s="2"/>
      <c r="Q1871" s="2"/>
      <c r="R1871" s="2"/>
      <c r="S1871" s="2"/>
    </row>
    <row r="1872" spans="1:19" x14ac:dyDescent="0.2">
      <c r="A1872" s="1">
        <v>489594</v>
      </c>
      <c r="B1872" s="1">
        <v>22062</v>
      </c>
      <c r="C1872" s="1" t="s">
        <v>1203</v>
      </c>
      <c r="D1872" s="1">
        <v>1</v>
      </c>
      <c r="E1872" s="3">
        <v>40148.59652777778</v>
      </c>
      <c r="F1872" s="1">
        <v>2.95</v>
      </c>
      <c r="G1872" s="1">
        <v>15005</v>
      </c>
      <c r="H1872" s="1" t="s">
        <v>10</v>
      </c>
      <c r="I1872" s="1">
        <f t="shared" si="7"/>
        <v>2.95</v>
      </c>
      <c r="J1872" s="2"/>
      <c r="K1872" s="2"/>
      <c r="L1872" s="2"/>
      <c r="M1872" s="2"/>
      <c r="N1872" s="2"/>
      <c r="O1872" s="2"/>
      <c r="P1872" s="2"/>
      <c r="Q1872" s="2"/>
      <c r="R1872" s="2"/>
      <c r="S1872" s="2"/>
    </row>
    <row r="1873" spans="1:19" x14ac:dyDescent="0.2">
      <c r="A1873" s="1">
        <v>489594</v>
      </c>
      <c r="B1873" s="1" t="s">
        <v>1206</v>
      </c>
      <c r="C1873" s="1" t="s">
        <v>1207</v>
      </c>
      <c r="D1873" s="1">
        <v>1</v>
      </c>
      <c r="E1873" s="3">
        <v>40148.59652777778</v>
      </c>
      <c r="F1873" s="1">
        <v>2.95</v>
      </c>
      <c r="G1873" s="1">
        <v>15005</v>
      </c>
      <c r="H1873" s="1" t="s">
        <v>10</v>
      </c>
      <c r="I1873" s="1">
        <f t="shared" si="7"/>
        <v>2.95</v>
      </c>
      <c r="J1873" s="2"/>
      <c r="K1873" s="2"/>
      <c r="L1873" s="2"/>
      <c r="M1873" s="2"/>
      <c r="N1873" s="2"/>
      <c r="O1873" s="2"/>
      <c r="P1873" s="2"/>
      <c r="Q1873" s="2"/>
      <c r="R1873" s="2"/>
      <c r="S1873" s="2"/>
    </row>
    <row r="1874" spans="1:19" x14ac:dyDescent="0.2">
      <c r="A1874" s="1">
        <v>489594</v>
      </c>
      <c r="B1874" s="1">
        <v>37503</v>
      </c>
      <c r="C1874" s="1" t="s">
        <v>790</v>
      </c>
      <c r="D1874" s="1">
        <v>1</v>
      </c>
      <c r="E1874" s="3">
        <v>40148.59652777778</v>
      </c>
      <c r="F1874" s="1">
        <v>10.75</v>
      </c>
      <c r="G1874" s="1">
        <v>15005</v>
      </c>
      <c r="H1874" s="1" t="s">
        <v>10</v>
      </c>
      <c r="I1874" s="1">
        <f t="shared" si="7"/>
        <v>10.75</v>
      </c>
      <c r="J1874" s="2"/>
      <c r="K1874" s="2"/>
      <c r="L1874" s="2"/>
      <c r="M1874" s="2"/>
      <c r="N1874" s="2"/>
      <c r="O1874" s="2"/>
      <c r="P1874" s="2"/>
      <c r="Q1874" s="2"/>
      <c r="R1874" s="2"/>
      <c r="S1874" s="2"/>
    </row>
    <row r="1875" spans="1:19" x14ac:dyDescent="0.2">
      <c r="A1875" s="1">
        <v>489594</v>
      </c>
      <c r="B1875" s="1">
        <v>37450</v>
      </c>
      <c r="C1875" s="1" t="s">
        <v>265</v>
      </c>
      <c r="D1875" s="1">
        <v>1</v>
      </c>
      <c r="E1875" s="3">
        <v>40148.59652777778</v>
      </c>
      <c r="F1875" s="1">
        <v>2.95</v>
      </c>
      <c r="G1875" s="1">
        <v>15005</v>
      </c>
      <c r="H1875" s="1" t="s">
        <v>10</v>
      </c>
      <c r="I1875" s="1">
        <f t="shared" si="7"/>
        <v>2.95</v>
      </c>
      <c r="J1875" s="2"/>
      <c r="K1875" s="2"/>
      <c r="L1875" s="2"/>
      <c r="M1875" s="2"/>
      <c r="N1875" s="2"/>
      <c r="O1875" s="2"/>
      <c r="P1875" s="2"/>
      <c r="Q1875" s="2"/>
      <c r="R1875" s="2"/>
      <c r="S1875" s="2"/>
    </row>
    <row r="1876" spans="1:19" x14ac:dyDescent="0.2">
      <c r="A1876" s="1">
        <v>489594</v>
      </c>
      <c r="B1876" s="1">
        <v>21216</v>
      </c>
      <c r="C1876" s="1" t="s">
        <v>1120</v>
      </c>
      <c r="D1876" s="1">
        <v>1</v>
      </c>
      <c r="E1876" s="3">
        <v>40148.59652777778</v>
      </c>
      <c r="F1876" s="1">
        <v>4.95</v>
      </c>
      <c r="G1876" s="1">
        <v>15005</v>
      </c>
      <c r="H1876" s="1" t="s">
        <v>10</v>
      </c>
      <c r="I1876" s="1">
        <f t="shared" si="7"/>
        <v>4.95</v>
      </c>
      <c r="J1876" s="2"/>
      <c r="K1876" s="2"/>
      <c r="L1876" s="2"/>
      <c r="M1876" s="2"/>
      <c r="N1876" s="2"/>
      <c r="O1876" s="2"/>
      <c r="P1876" s="2"/>
      <c r="Q1876" s="2"/>
      <c r="R1876" s="2"/>
      <c r="S1876" s="2"/>
    </row>
    <row r="1877" spans="1:19" x14ac:dyDescent="0.2">
      <c r="A1877" s="1" t="s">
        <v>1208</v>
      </c>
      <c r="B1877" s="1">
        <v>22301</v>
      </c>
      <c r="C1877" s="1" t="s">
        <v>306</v>
      </c>
      <c r="D1877" s="1">
        <v>-2</v>
      </c>
      <c r="E1877" s="3">
        <v>40148.59652777778</v>
      </c>
      <c r="F1877" s="1">
        <v>2.5499999999999998</v>
      </c>
      <c r="G1877" s="1">
        <v>18287</v>
      </c>
      <c r="H1877" s="1" t="s">
        <v>10</v>
      </c>
      <c r="I1877" s="1">
        <f t="shared" si="7"/>
        <v>-5.0999999999999996</v>
      </c>
      <c r="J1877" s="2"/>
      <c r="K1877" s="2"/>
      <c r="L1877" s="2"/>
      <c r="M1877" s="2"/>
      <c r="N1877" s="2"/>
      <c r="O1877" s="2"/>
      <c r="P1877" s="2"/>
      <c r="Q1877" s="2"/>
      <c r="R1877" s="2"/>
      <c r="S1877" s="2"/>
    </row>
    <row r="1878" spans="1:19" x14ac:dyDescent="0.2">
      <c r="A1878" s="1" t="s">
        <v>1209</v>
      </c>
      <c r="B1878" s="1">
        <v>21752</v>
      </c>
      <c r="C1878" s="1" t="s">
        <v>1210</v>
      </c>
      <c r="D1878" s="1">
        <v>-1</v>
      </c>
      <c r="E1878" s="3">
        <v>40148.597222222219</v>
      </c>
      <c r="F1878" s="1">
        <v>14.95</v>
      </c>
      <c r="G1878" s="1">
        <v>15254</v>
      </c>
      <c r="H1878" s="1" t="s">
        <v>10</v>
      </c>
      <c r="I1878" s="1">
        <f t="shared" si="7"/>
        <v>-14.95</v>
      </c>
      <c r="J1878" s="2"/>
      <c r="K1878" s="2"/>
      <c r="L1878" s="2"/>
      <c r="M1878" s="2"/>
      <c r="N1878" s="2"/>
      <c r="O1878" s="2"/>
      <c r="P1878" s="2"/>
      <c r="Q1878" s="2"/>
      <c r="R1878" s="2"/>
      <c r="S1878" s="2"/>
    </row>
    <row r="1879" spans="1:19" x14ac:dyDescent="0.2">
      <c r="A1879" s="1">
        <v>489596</v>
      </c>
      <c r="B1879" s="1">
        <v>22275</v>
      </c>
      <c r="C1879" s="1" t="s">
        <v>322</v>
      </c>
      <c r="D1879" s="1">
        <v>2</v>
      </c>
      <c r="E1879" s="3">
        <v>40148.602083333331</v>
      </c>
      <c r="F1879" s="1">
        <v>8.5</v>
      </c>
      <c r="H1879" s="1" t="s">
        <v>10</v>
      </c>
      <c r="I1879" s="1">
        <f t="shared" si="7"/>
        <v>17</v>
      </c>
      <c r="J1879" s="2"/>
      <c r="K1879" s="2"/>
      <c r="L1879" s="2"/>
      <c r="M1879" s="2"/>
      <c r="N1879" s="2"/>
      <c r="O1879" s="2"/>
      <c r="P1879" s="2"/>
      <c r="Q1879" s="2"/>
      <c r="R1879" s="2"/>
      <c r="S1879" s="2"/>
    </row>
    <row r="1880" spans="1:19" x14ac:dyDescent="0.2">
      <c r="A1880" s="1">
        <v>489597</v>
      </c>
      <c r="B1880" s="1">
        <v>21212</v>
      </c>
      <c r="C1880" s="1" t="s">
        <v>253</v>
      </c>
      <c r="D1880" s="1">
        <v>18</v>
      </c>
      <c r="E1880" s="3">
        <v>40148.602777777778</v>
      </c>
      <c r="F1880" s="1">
        <v>1.3</v>
      </c>
      <c r="H1880" s="1" t="s">
        <v>10</v>
      </c>
      <c r="I1880" s="1">
        <f t="shared" si="7"/>
        <v>23.400000000000002</v>
      </c>
      <c r="J1880" s="2"/>
      <c r="K1880" s="2"/>
      <c r="L1880" s="2"/>
      <c r="M1880" s="2"/>
      <c r="N1880" s="2"/>
      <c r="O1880" s="2"/>
      <c r="P1880" s="2"/>
      <c r="Q1880" s="2"/>
      <c r="R1880" s="2"/>
      <c r="S1880" s="2"/>
    </row>
    <row r="1881" spans="1:19" x14ac:dyDescent="0.2">
      <c r="A1881" s="1">
        <v>489597</v>
      </c>
      <c r="B1881" s="1">
        <v>21098</v>
      </c>
      <c r="C1881" s="1" t="s">
        <v>894</v>
      </c>
      <c r="D1881" s="1">
        <v>14</v>
      </c>
      <c r="E1881" s="3">
        <v>40148.602777777778</v>
      </c>
      <c r="F1881" s="1">
        <v>2.57</v>
      </c>
      <c r="H1881" s="1" t="s">
        <v>10</v>
      </c>
      <c r="I1881" s="1">
        <f t="shared" si="7"/>
        <v>35.979999999999997</v>
      </c>
      <c r="J1881" s="2"/>
      <c r="K1881" s="2"/>
      <c r="L1881" s="2"/>
      <c r="M1881" s="2"/>
      <c r="N1881" s="2"/>
      <c r="O1881" s="2"/>
      <c r="P1881" s="2"/>
      <c r="Q1881" s="2"/>
      <c r="R1881" s="2"/>
      <c r="S1881" s="2"/>
    </row>
    <row r="1882" spans="1:19" x14ac:dyDescent="0.2">
      <c r="A1882" s="1">
        <v>489597</v>
      </c>
      <c r="B1882" s="1">
        <v>21231</v>
      </c>
      <c r="C1882" s="1" t="s">
        <v>293</v>
      </c>
      <c r="D1882" s="1">
        <v>13</v>
      </c>
      <c r="E1882" s="3">
        <v>40148.602777777778</v>
      </c>
      <c r="F1882" s="1">
        <v>2.57</v>
      </c>
      <c r="H1882" s="1" t="s">
        <v>10</v>
      </c>
      <c r="I1882" s="1">
        <f t="shared" si="7"/>
        <v>33.409999999999997</v>
      </c>
      <c r="J1882" s="2"/>
      <c r="K1882" s="2"/>
      <c r="L1882" s="2"/>
      <c r="M1882" s="2"/>
      <c r="N1882" s="2"/>
      <c r="O1882" s="2"/>
      <c r="P1882" s="2"/>
      <c r="Q1882" s="2"/>
      <c r="R1882" s="2"/>
      <c r="S1882" s="2"/>
    </row>
    <row r="1883" spans="1:19" x14ac:dyDescent="0.2">
      <c r="A1883" s="1">
        <v>489597</v>
      </c>
      <c r="B1883" s="1">
        <v>21232</v>
      </c>
      <c r="C1883" s="1" t="s">
        <v>11</v>
      </c>
      <c r="D1883" s="1">
        <v>12</v>
      </c>
      <c r="E1883" s="3">
        <v>40148.602777777778</v>
      </c>
      <c r="F1883" s="1">
        <v>2.57</v>
      </c>
      <c r="H1883" s="1" t="s">
        <v>10</v>
      </c>
      <c r="I1883" s="1">
        <f t="shared" si="7"/>
        <v>30.839999999999996</v>
      </c>
      <c r="J1883" s="2"/>
      <c r="K1883" s="2"/>
      <c r="L1883" s="2"/>
      <c r="M1883" s="2"/>
      <c r="N1883" s="2"/>
      <c r="O1883" s="2"/>
      <c r="P1883" s="2"/>
      <c r="Q1883" s="2"/>
      <c r="R1883" s="2"/>
      <c r="S1883" s="2"/>
    </row>
    <row r="1884" spans="1:19" x14ac:dyDescent="0.2">
      <c r="A1884" s="1">
        <v>489597</v>
      </c>
      <c r="B1884" s="1">
        <v>21396</v>
      </c>
      <c r="C1884" s="1" t="s">
        <v>1211</v>
      </c>
      <c r="D1884" s="1">
        <v>7</v>
      </c>
      <c r="E1884" s="3">
        <v>40148.602777777778</v>
      </c>
      <c r="F1884" s="1">
        <v>3.43</v>
      </c>
      <c r="H1884" s="1" t="s">
        <v>10</v>
      </c>
      <c r="I1884" s="1">
        <f t="shared" si="7"/>
        <v>24.01</v>
      </c>
      <c r="J1884" s="2"/>
      <c r="K1884" s="2"/>
      <c r="L1884" s="2"/>
      <c r="M1884" s="2"/>
      <c r="N1884" s="2"/>
      <c r="O1884" s="2"/>
      <c r="P1884" s="2"/>
      <c r="Q1884" s="2"/>
      <c r="R1884" s="2"/>
      <c r="S1884" s="2"/>
    </row>
    <row r="1885" spans="1:19" x14ac:dyDescent="0.2">
      <c r="A1885" s="1">
        <v>489597</v>
      </c>
      <c r="B1885" s="1">
        <v>20712</v>
      </c>
      <c r="C1885" s="1" t="s">
        <v>701</v>
      </c>
      <c r="D1885" s="1">
        <v>6</v>
      </c>
      <c r="E1885" s="3">
        <v>40148.602777777778</v>
      </c>
      <c r="F1885" s="1">
        <v>4.3</v>
      </c>
      <c r="H1885" s="1" t="s">
        <v>10</v>
      </c>
      <c r="I1885" s="1">
        <f t="shared" si="7"/>
        <v>25.799999999999997</v>
      </c>
      <c r="J1885" s="2"/>
      <c r="K1885" s="2"/>
      <c r="L1885" s="2"/>
      <c r="M1885" s="2"/>
      <c r="N1885" s="2"/>
      <c r="O1885" s="2"/>
      <c r="P1885" s="2"/>
      <c r="Q1885" s="2"/>
      <c r="R1885" s="2"/>
      <c r="S1885" s="2"/>
    </row>
    <row r="1886" spans="1:19" x14ac:dyDescent="0.2">
      <c r="A1886" s="1">
        <v>489597</v>
      </c>
      <c r="B1886" s="1">
        <v>21242</v>
      </c>
      <c r="C1886" s="1" t="s">
        <v>538</v>
      </c>
      <c r="D1886" s="1">
        <v>6</v>
      </c>
      <c r="E1886" s="3">
        <v>40148.602777777778</v>
      </c>
      <c r="F1886" s="1">
        <v>3.43</v>
      </c>
      <c r="H1886" s="1" t="s">
        <v>10</v>
      </c>
      <c r="I1886" s="1">
        <f t="shared" si="7"/>
        <v>20.580000000000002</v>
      </c>
      <c r="J1886" s="2"/>
      <c r="K1886" s="2"/>
      <c r="L1886" s="2"/>
      <c r="M1886" s="2"/>
      <c r="N1886" s="2"/>
      <c r="O1886" s="2"/>
      <c r="P1886" s="2"/>
      <c r="Q1886" s="2"/>
      <c r="R1886" s="2"/>
      <c r="S1886" s="2"/>
    </row>
    <row r="1887" spans="1:19" x14ac:dyDescent="0.2">
      <c r="A1887" s="1">
        <v>489597</v>
      </c>
      <c r="B1887" s="1">
        <v>21329</v>
      </c>
      <c r="C1887" s="1" t="s">
        <v>97</v>
      </c>
      <c r="D1887" s="1">
        <v>6</v>
      </c>
      <c r="E1887" s="3">
        <v>40148.602777777778</v>
      </c>
      <c r="F1887" s="1">
        <v>3.43</v>
      </c>
      <c r="H1887" s="1" t="s">
        <v>10</v>
      </c>
      <c r="I1887" s="1">
        <f t="shared" si="7"/>
        <v>20.580000000000002</v>
      </c>
      <c r="J1887" s="2"/>
      <c r="K1887" s="2"/>
      <c r="L1887" s="2"/>
      <c r="M1887" s="2"/>
      <c r="N1887" s="2"/>
      <c r="O1887" s="2"/>
      <c r="P1887" s="2"/>
      <c r="Q1887" s="2"/>
      <c r="R1887" s="2"/>
      <c r="S1887" s="2"/>
    </row>
    <row r="1888" spans="1:19" x14ac:dyDescent="0.2">
      <c r="A1888" s="1">
        <v>489597</v>
      </c>
      <c r="B1888" s="1">
        <v>20977</v>
      </c>
      <c r="C1888" s="1" t="s">
        <v>869</v>
      </c>
      <c r="D1888" s="1">
        <v>5</v>
      </c>
      <c r="E1888" s="3">
        <v>40148.602777777778</v>
      </c>
      <c r="F1888" s="1">
        <v>2.57</v>
      </c>
      <c r="H1888" s="1" t="s">
        <v>10</v>
      </c>
      <c r="I1888" s="1">
        <f t="shared" si="7"/>
        <v>12.85</v>
      </c>
      <c r="J1888" s="2"/>
      <c r="K1888" s="2"/>
      <c r="L1888" s="2"/>
      <c r="M1888" s="2"/>
      <c r="N1888" s="2"/>
      <c r="O1888" s="2"/>
      <c r="P1888" s="2"/>
      <c r="Q1888" s="2"/>
      <c r="R1888" s="2"/>
      <c r="S1888" s="2"/>
    </row>
    <row r="1889" spans="1:19" x14ac:dyDescent="0.2">
      <c r="A1889" s="1">
        <v>489597</v>
      </c>
      <c r="B1889" s="1">
        <v>21108</v>
      </c>
      <c r="C1889" s="1" t="s">
        <v>1212</v>
      </c>
      <c r="D1889" s="1">
        <v>5</v>
      </c>
      <c r="E1889" s="3">
        <v>40148.602777777778</v>
      </c>
      <c r="F1889" s="1">
        <v>5.17</v>
      </c>
      <c r="H1889" s="1" t="s">
        <v>10</v>
      </c>
      <c r="I1889" s="1">
        <f t="shared" si="7"/>
        <v>25.85</v>
      </c>
      <c r="J1889" s="2"/>
      <c r="K1889" s="2"/>
      <c r="L1889" s="2"/>
      <c r="M1889" s="2"/>
      <c r="N1889" s="2"/>
      <c r="O1889" s="2"/>
      <c r="P1889" s="2"/>
      <c r="Q1889" s="2"/>
      <c r="R1889" s="2"/>
      <c r="S1889" s="2"/>
    </row>
    <row r="1890" spans="1:19" x14ac:dyDescent="0.2">
      <c r="A1890" s="1">
        <v>489597</v>
      </c>
      <c r="B1890" s="1">
        <v>21071</v>
      </c>
      <c r="C1890" s="1" t="s">
        <v>709</v>
      </c>
      <c r="D1890" s="1">
        <v>4</v>
      </c>
      <c r="E1890" s="3">
        <v>40148.602777777778</v>
      </c>
      <c r="F1890" s="1">
        <v>2.57</v>
      </c>
      <c r="H1890" s="1" t="s">
        <v>10</v>
      </c>
      <c r="I1890" s="1">
        <f t="shared" si="7"/>
        <v>10.28</v>
      </c>
      <c r="J1890" s="2"/>
      <c r="K1890" s="2"/>
      <c r="L1890" s="2"/>
      <c r="M1890" s="2"/>
      <c r="N1890" s="2"/>
      <c r="O1890" s="2"/>
      <c r="P1890" s="2"/>
      <c r="Q1890" s="2"/>
      <c r="R1890" s="2"/>
      <c r="S1890" s="2"/>
    </row>
    <row r="1891" spans="1:19" x14ac:dyDescent="0.2">
      <c r="A1891" s="1">
        <v>489597</v>
      </c>
      <c r="B1891" s="1">
        <v>21314</v>
      </c>
      <c r="C1891" s="1" t="s">
        <v>1011</v>
      </c>
      <c r="D1891" s="1">
        <v>4</v>
      </c>
      <c r="E1891" s="3">
        <v>40148.602777777778</v>
      </c>
      <c r="F1891" s="1">
        <v>4.3</v>
      </c>
      <c r="H1891" s="1" t="s">
        <v>10</v>
      </c>
      <c r="I1891" s="1">
        <f t="shared" si="7"/>
        <v>17.2</v>
      </c>
      <c r="J1891" s="2"/>
      <c r="K1891" s="2"/>
      <c r="L1891" s="2"/>
      <c r="M1891" s="2"/>
      <c r="N1891" s="2"/>
      <c r="O1891" s="2"/>
      <c r="P1891" s="2"/>
      <c r="Q1891" s="2"/>
      <c r="R1891" s="2"/>
      <c r="S1891" s="2"/>
    </row>
    <row r="1892" spans="1:19" x14ac:dyDescent="0.2">
      <c r="A1892" s="1">
        <v>489597</v>
      </c>
      <c r="B1892" s="1">
        <v>21357</v>
      </c>
      <c r="C1892" s="1" t="s">
        <v>691</v>
      </c>
      <c r="D1892" s="1">
        <v>4</v>
      </c>
      <c r="E1892" s="3">
        <v>40148.602777777778</v>
      </c>
      <c r="F1892" s="1">
        <v>2.57</v>
      </c>
      <c r="H1892" s="1" t="s">
        <v>10</v>
      </c>
      <c r="I1892" s="1">
        <f t="shared" si="7"/>
        <v>10.28</v>
      </c>
      <c r="J1892" s="2"/>
      <c r="K1892" s="2"/>
      <c r="L1892" s="2"/>
      <c r="M1892" s="2"/>
      <c r="N1892" s="2"/>
      <c r="O1892" s="2"/>
      <c r="P1892" s="2"/>
      <c r="Q1892" s="2"/>
      <c r="R1892" s="2"/>
      <c r="S1892" s="2"/>
    </row>
    <row r="1893" spans="1:19" x14ac:dyDescent="0.2">
      <c r="A1893" s="1">
        <v>489597</v>
      </c>
      <c r="B1893" s="1">
        <v>20724</v>
      </c>
      <c r="C1893" s="1" t="s">
        <v>190</v>
      </c>
      <c r="D1893" s="1">
        <v>3</v>
      </c>
      <c r="E1893" s="3">
        <v>40148.602777777778</v>
      </c>
      <c r="F1893" s="1">
        <v>1.7</v>
      </c>
      <c r="H1893" s="1" t="s">
        <v>10</v>
      </c>
      <c r="I1893" s="1">
        <f t="shared" si="7"/>
        <v>5.0999999999999996</v>
      </c>
      <c r="J1893" s="2"/>
      <c r="K1893" s="2"/>
      <c r="L1893" s="2"/>
      <c r="M1893" s="2"/>
      <c r="N1893" s="2"/>
      <c r="O1893" s="2"/>
      <c r="P1893" s="2"/>
      <c r="Q1893" s="2"/>
      <c r="R1893" s="2"/>
      <c r="S1893" s="2"/>
    </row>
    <row r="1894" spans="1:19" x14ac:dyDescent="0.2">
      <c r="A1894" s="1">
        <v>489597</v>
      </c>
      <c r="B1894" s="1">
        <v>20752</v>
      </c>
      <c r="C1894" s="1" t="s">
        <v>277</v>
      </c>
      <c r="D1894" s="1">
        <v>3</v>
      </c>
      <c r="E1894" s="3">
        <v>40148.602777777778</v>
      </c>
      <c r="F1894" s="1">
        <v>4.3</v>
      </c>
      <c r="H1894" s="1" t="s">
        <v>10</v>
      </c>
      <c r="I1894" s="1">
        <f t="shared" si="7"/>
        <v>12.899999999999999</v>
      </c>
      <c r="J1894" s="2"/>
      <c r="K1894" s="2"/>
      <c r="L1894" s="2"/>
      <c r="M1894" s="2"/>
      <c r="N1894" s="2"/>
      <c r="O1894" s="2"/>
      <c r="P1894" s="2"/>
      <c r="Q1894" s="2"/>
      <c r="R1894" s="2"/>
      <c r="S1894" s="2"/>
    </row>
    <row r="1895" spans="1:19" x14ac:dyDescent="0.2">
      <c r="A1895" s="1">
        <v>489597</v>
      </c>
      <c r="B1895" s="1">
        <v>20798</v>
      </c>
      <c r="C1895" s="1" t="s">
        <v>1213</v>
      </c>
      <c r="D1895" s="1">
        <v>3</v>
      </c>
      <c r="E1895" s="3">
        <v>40148.602777777778</v>
      </c>
      <c r="F1895" s="1">
        <v>4.3</v>
      </c>
      <c r="H1895" s="1" t="s">
        <v>10</v>
      </c>
      <c r="I1895" s="1">
        <f t="shared" si="7"/>
        <v>12.899999999999999</v>
      </c>
      <c r="J1895" s="2"/>
      <c r="K1895" s="2"/>
      <c r="L1895" s="2"/>
      <c r="M1895" s="2"/>
      <c r="N1895" s="2"/>
      <c r="O1895" s="2"/>
      <c r="P1895" s="2"/>
      <c r="Q1895" s="2"/>
      <c r="R1895" s="2"/>
      <c r="S1895" s="2"/>
    </row>
    <row r="1896" spans="1:19" x14ac:dyDescent="0.2">
      <c r="A1896" s="1">
        <v>489597</v>
      </c>
      <c r="B1896" s="1">
        <v>20799</v>
      </c>
      <c r="C1896" s="1" t="s">
        <v>1214</v>
      </c>
      <c r="D1896" s="1">
        <v>3</v>
      </c>
      <c r="E1896" s="3">
        <v>40148.602777777778</v>
      </c>
      <c r="F1896" s="1">
        <v>4.3</v>
      </c>
      <c r="H1896" s="1" t="s">
        <v>10</v>
      </c>
      <c r="I1896" s="1">
        <f t="shared" si="7"/>
        <v>12.899999999999999</v>
      </c>
      <c r="J1896" s="2"/>
      <c r="K1896" s="2"/>
      <c r="L1896" s="2"/>
      <c r="M1896" s="2"/>
      <c r="N1896" s="2"/>
      <c r="O1896" s="2"/>
      <c r="P1896" s="2"/>
      <c r="Q1896" s="2"/>
      <c r="R1896" s="2"/>
      <c r="S1896" s="2"/>
    </row>
    <row r="1897" spans="1:19" x14ac:dyDescent="0.2">
      <c r="A1897" s="1">
        <v>489597</v>
      </c>
      <c r="B1897" s="1">
        <v>20966</v>
      </c>
      <c r="C1897" s="1" t="s">
        <v>681</v>
      </c>
      <c r="D1897" s="1">
        <v>3</v>
      </c>
      <c r="E1897" s="3">
        <v>40148.602777777778</v>
      </c>
      <c r="F1897" s="1">
        <v>2.57</v>
      </c>
      <c r="H1897" s="1" t="s">
        <v>10</v>
      </c>
      <c r="I1897" s="1">
        <f t="shared" si="7"/>
        <v>7.7099999999999991</v>
      </c>
      <c r="J1897" s="2"/>
      <c r="K1897" s="2"/>
      <c r="L1897" s="2"/>
      <c r="M1897" s="2"/>
      <c r="N1897" s="2"/>
      <c r="O1897" s="2"/>
      <c r="P1897" s="2"/>
      <c r="Q1897" s="2"/>
      <c r="R1897" s="2"/>
      <c r="S1897" s="2"/>
    </row>
    <row r="1898" spans="1:19" x14ac:dyDescent="0.2">
      <c r="A1898" s="1">
        <v>489597</v>
      </c>
      <c r="B1898" s="1">
        <v>20979</v>
      </c>
      <c r="C1898" s="1" t="s">
        <v>862</v>
      </c>
      <c r="D1898" s="1">
        <v>3</v>
      </c>
      <c r="E1898" s="3">
        <v>40148.602777777778</v>
      </c>
      <c r="F1898" s="1">
        <v>2.57</v>
      </c>
      <c r="H1898" s="1" t="s">
        <v>10</v>
      </c>
      <c r="I1898" s="1">
        <f t="shared" si="7"/>
        <v>7.7099999999999991</v>
      </c>
      <c r="J1898" s="2"/>
      <c r="K1898" s="2"/>
      <c r="L1898" s="2"/>
      <c r="M1898" s="2"/>
      <c r="N1898" s="2"/>
      <c r="O1898" s="2"/>
      <c r="P1898" s="2"/>
      <c r="Q1898" s="2"/>
      <c r="R1898" s="2"/>
      <c r="S1898" s="2"/>
    </row>
    <row r="1899" spans="1:19" x14ac:dyDescent="0.2">
      <c r="A1899" s="1">
        <v>489597</v>
      </c>
      <c r="B1899" s="1">
        <v>20981</v>
      </c>
      <c r="C1899" s="1" t="s">
        <v>874</v>
      </c>
      <c r="D1899" s="1">
        <v>3</v>
      </c>
      <c r="E1899" s="3">
        <v>40148.602777777778</v>
      </c>
      <c r="F1899" s="1">
        <v>1.7</v>
      </c>
      <c r="H1899" s="1" t="s">
        <v>10</v>
      </c>
      <c r="I1899" s="1">
        <f t="shared" si="7"/>
        <v>5.0999999999999996</v>
      </c>
      <c r="J1899" s="2"/>
      <c r="K1899" s="2"/>
      <c r="L1899" s="2"/>
      <c r="M1899" s="2"/>
      <c r="N1899" s="2"/>
      <c r="O1899" s="2"/>
      <c r="P1899" s="2"/>
      <c r="Q1899" s="2"/>
      <c r="R1899" s="2"/>
      <c r="S1899" s="2"/>
    </row>
    <row r="1900" spans="1:19" x14ac:dyDescent="0.2">
      <c r="A1900" s="1">
        <v>489597</v>
      </c>
      <c r="B1900" s="1">
        <v>21058</v>
      </c>
      <c r="C1900" s="1" t="s">
        <v>299</v>
      </c>
      <c r="D1900" s="1">
        <v>3</v>
      </c>
      <c r="E1900" s="3">
        <v>40148.602777777778</v>
      </c>
      <c r="F1900" s="1">
        <v>1.7</v>
      </c>
      <c r="H1900" s="1" t="s">
        <v>10</v>
      </c>
      <c r="I1900" s="1">
        <f t="shared" si="7"/>
        <v>5.0999999999999996</v>
      </c>
      <c r="J1900" s="2"/>
      <c r="K1900" s="2"/>
      <c r="L1900" s="2"/>
      <c r="M1900" s="2"/>
      <c r="N1900" s="2"/>
      <c r="O1900" s="2"/>
      <c r="P1900" s="2"/>
      <c r="Q1900" s="2"/>
      <c r="R1900" s="2"/>
      <c r="S1900" s="2"/>
    </row>
    <row r="1901" spans="1:19" x14ac:dyDescent="0.2">
      <c r="A1901" s="1">
        <v>489597</v>
      </c>
      <c r="B1901" s="1">
        <v>21116</v>
      </c>
      <c r="C1901" s="1" t="s">
        <v>1215</v>
      </c>
      <c r="D1901" s="1">
        <v>3</v>
      </c>
      <c r="E1901" s="3">
        <v>40148.602777777778</v>
      </c>
      <c r="F1901" s="1">
        <v>8.65</v>
      </c>
      <c r="H1901" s="1" t="s">
        <v>10</v>
      </c>
      <c r="I1901" s="1">
        <f t="shared" si="7"/>
        <v>25.950000000000003</v>
      </c>
      <c r="J1901" s="2"/>
      <c r="K1901" s="2"/>
      <c r="L1901" s="2"/>
      <c r="M1901" s="2"/>
      <c r="N1901" s="2"/>
      <c r="O1901" s="2"/>
      <c r="P1901" s="2"/>
      <c r="Q1901" s="2"/>
      <c r="R1901" s="2"/>
      <c r="S1901" s="2"/>
    </row>
    <row r="1902" spans="1:19" x14ac:dyDescent="0.2">
      <c r="A1902" s="1">
        <v>489597</v>
      </c>
      <c r="B1902" s="1">
        <v>21174</v>
      </c>
      <c r="C1902" s="1" t="s">
        <v>514</v>
      </c>
      <c r="D1902" s="1">
        <v>3</v>
      </c>
      <c r="E1902" s="3">
        <v>40148.602777777778</v>
      </c>
      <c r="F1902" s="1">
        <v>4.3</v>
      </c>
      <c r="H1902" s="1" t="s">
        <v>10</v>
      </c>
      <c r="I1902" s="1">
        <f t="shared" si="7"/>
        <v>12.899999999999999</v>
      </c>
      <c r="J1902" s="2"/>
      <c r="K1902" s="2"/>
      <c r="L1902" s="2"/>
      <c r="M1902" s="2"/>
      <c r="N1902" s="2"/>
      <c r="O1902" s="2"/>
      <c r="P1902" s="2"/>
      <c r="Q1902" s="2"/>
      <c r="R1902" s="2"/>
      <c r="S1902" s="2"/>
    </row>
    <row r="1903" spans="1:19" x14ac:dyDescent="0.2">
      <c r="A1903" s="1">
        <v>489597</v>
      </c>
      <c r="B1903" s="1">
        <v>21191</v>
      </c>
      <c r="C1903" s="1" t="s">
        <v>1216</v>
      </c>
      <c r="D1903" s="1">
        <v>3</v>
      </c>
      <c r="E1903" s="3">
        <v>40148.602777777778</v>
      </c>
      <c r="F1903" s="1">
        <v>4.3</v>
      </c>
      <c r="H1903" s="1" t="s">
        <v>10</v>
      </c>
      <c r="I1903" s="1">
        <f t="shared" si="7"/>
        <v>12.899999999999999</v>
      </c>
      <c r="J1903" s="2"/>
      <c r="K1903" s="2"/>
      <c r="L1903" s="2"/>
      <c r="M1903" s="2"/>
      <c r="N1903" s="2"/>
      <c r="O1903" s="2"/>
      <c r="P1903" s="2"/>
      <c r="Q1903" s="2"/>
      <c r="R1903" s="2"/>
      <c r="S1903" s="2"/>
    </row>
    <row r="1904" spans="1:19" x14ac:dyDescent="0.2">
      <c r="A1904" s="1">
        <v>489597</v>
      </c>
      <c r="B1904" s="1">
        <v>21210</v>
      </c>
      <c r="C1904" s="1" t="s">
        <v>889</v>
      </c>
      <c r="D1904" s="1">
        <v>3</v>
      </c>
      <c r="E1904" s="3">
        <v>40148.602777777778</v>
      </c>
      <c r="F1904" s="1">
        <v>3.04</v>
      </c>
      <c r="H1904" s="1" t="s">
        <v>10</v>
      </c>
      <c r="I1904" s="1">
        <f t="shared" si="7"/>
        <v>9.120000000000001</v>
      </c>
      <c r="J1904" s="2"/>
      <c r="K1904" s="2"/>
      <c r="L1904" s="2"/>
      <c r="M1904" s="2"/>
      <c r="N1904" s="2"/>
      <c r="O1904" s="2"/>
      <c r="P1904" s="2"/>
      <c r="Q1904" s="2"/>
      <c r="R1904" s="2"/>
      <c r="S1904" s="2"/>
    </row>
    <row r="1905" spans="1:19" x14ac:dyDescent="0.2">
      <c r="A1905" s="1">
        <v>489597</v>
      </c>
      <c r="B1905" s="1">
        <v>21291</v>
      </c>
      <c r="C1905" s="1" t="s">
        <v>1217</v>
      </c>
      <c r="D1905" s="1">
        <v>3</v>
      </c>
      <c r="E1905" s="3">
        <v>40148.602777777778</v>
      </c>
      <c r="F1905" s="1">
        <v>1.7</v>
      </c>
      <c r="H1905" s="1" t="s">
        <v>10</v>
      </c>
      <c r="I1905" s="1">
        <f t="shared" si="7"/>
        <v>5.0999999999999996</v>
      </c>
      <c r="J1905" s="2"/>
      <c r="K1905" s="2"/>
      <c r="L1905" s="2"/>
      <c r="M1905" s="2"/>
      <c r="N1905" s="2"/>
      <c r="O1905" s="2"/>
      <c r="P1905" s="2"/>
      <c r="Q1905" s="2"/>
      <c r="R1905" s="2"/>
      <c r="S1905" s="2"/>
    </row>
    <row r="1906" spans="1:19" x14ac:dyDescent="0.2">
      <c r="A1906" s="1">
        <v>489597</v>
      </c>
      <c r="B1906" s="1">
        <v>20675</v>
      </c>
      <c r="C1906" s="1" t="s">
        <v>360</v>
      </c>
      <c r="D1906" s="1">
        <v>2</v>
      </c>
      <c r="E1906" s="3">
        <v>40148.602777777778</v>
      </c>
      <c r="F1906" s="1">
        <v>2.57</v>
      </c>
      <c r="H1906" s="1" t="s">
        <v>10</v>
      </c>
      <c r="I1906" s="1">
        <f t="shared" si="7"/>
        <v>5.14</v>
      </c>
      <c r="J1906" s="2"/>
      <c r="K1906" s="2"/>
      <c r="L1906" s="2"/>
      <c r="M1906" s="2"/>
      <c r="N1906" s="2"/>
      <c r="O1906" s="2"/>
      <c r="P1906" s="2"/>
      <c r="Q1906" s="2"/>
      <c r="R1906" s="2"/>
      <c r="S1906" s="2"/>
    </row>
    <row r="1907" spans="1:19" x14ac:dyDescent="0.2">
      <c r="A1907" s="1">
        <v>489597</v>
      </c>
      <c r="B1907" s="1">
        <v>20677</v>
      </c>
      <c r="C1907" s="1" t="s">
        <v>509</v>
      </c>
      <c r="D1907" s="1">
        <v>2</v>
      </c>
      <c r="E1907" s="3">
        <v>40148.602777777778</v>
      </c>
      <c r="F1907" s="1">
        <v>2.57</v>
      </c>
      <c r="H1907" s="1" t="s">
        <v>10</v>
      </c>
      <c r="I1907" s="1">
        <f t="shared" si="7"/>
        <v>5.14</v>
      </c>
      <c r="J1907" s="2"/>
      <c r="K1907" s="2"/>
      <c r="L1907" s="2"/>
      <c r="M1907" s="2"/>
      <c r="N1907" s="2"/>
      <c r="O1907" s="2"/>
      <c r="P1907" s="2"/>
      <c r="Q1907" s="2"/>
      <c r="R1907" s="2"/>
      <c r="S1907" s="2"/>
    </row>
    <row r="1908" spans="1:19" x14ac:dyDescent="0.2">
      <c r="A1908" s="1">
        <v>489597</v>
      </c>
      <c r="B1908" s="1">
        <v>20754</v>
      </c>
      <c r="C1908" s="1" t="s">
        <v>152</v>
      </c>
      <c r="D1908" s="1">
        <v>2</v>
      </c>
      <c r="E1908" s="3">
        <v>40148.602777777778</v>
      </c>
      <c r="F1908" s="1">
        <v>4.3</v>
      </c>
      <c r="H1908" s="1" t="s">
        <v>10</v>
      </c>
      <c r="I1908" s="1">
        <f t="shared" si="7"/>
        <v>8.6</v>
      </c>
      <c r="J1908" s="2"/>
      <c r="K1908" s="2"/>
      <c r="L1908" s="2"/>
      <c r="M1908" s="2"/>
      <c r="N1908" s="2"/>
      <c r="O1908" s="2"/>
      <c r="P1908" s="2"/>
      <c r="Q1908" s="2"/>
      <c r="R1908" s="2"/>
      <c r="S1908" s="2"/>
    </row>
    <row r="1909" spans="1:19" x14ac:dyDescent="0.2">
      <c r="A1909" s="1">
        <v>489597</v>
      </c>
      <c r="B1909" s="1">
        <v>20782</v>
      </c>
      <c r="C1909" s="1" t="s">
        <v>495</v>
      </c>
      <c r="D1909" s="1">
        <v>2</v>
      </c>
      <c r="E1909" s="3">
        <v>40148.602777777778</v>
      </c>
      <c r="F1909" s="1">
        <v>11.26</v>
      </c>
      <c r="H1909" s="1" t="s">
        <v>10</v>
      </c>
      <c r="I1909" s="1">
        <f t="shared" si="7"/>
        <v>22.52</v>
      </c>
      <c r="J1909" s="2"/>
      <c r="K1909" s="2"/>
      <c r="L1909" s="2"/>
      <c r="M1909" s="2"/>
      <c r="N1909" s="2"/>
      <c r="O1909" s="2"/>
      <c r="P1909" s="2"/>
      <c r="Q1909" s="2"/>
      <c r="R1909" s="2"/>
      <c r="S1909" s="2"/>
    </row>
    <row r="1910" spans="1:19" x14ac:dyDescent="0.2">
      <c r="A1910" s="1">
        <v>489597</v>
      </c>
      <c r="B1910" s="1">
        <v>20865</v>
      </c>
      <c r="C1910" s="1" t="s">
        <v>1218</v>
      </c>
      <c r="D1910" s="1">
        <v>2</v>
      </c>
      <c r="E1910" s="3">
        <v>40148.602777777778</v>
      </c>
      <c r="F1910" s="1">
        <v>4.3</v>
      </c>
      <c r="H1910" s="1" t="s">
        <v>10</v>
      </c>
      <c r="I1910" s="1">
        <f t="shared" si="7"/>
        <v>8.6</v>
      </c>
      <c r="J1910" s="2"/>
      <c r="K1910" s="2"/>
      <c r="L1910" s="2"/>
      <c r="M1910" s="2"/>
      <c r="N1910" s="2"/>
      <c r="O1910" s="2"/>
      <c r="P1910" s="2"/>
      <c r="Q1910" s="2"/>
      <c r="R1910" s="2"/>
      <c r="S1910" s="2"/>
    </row>
    <row r="1911" spans="1:19" x14ac:dyDescent="0.2">
      <c r="A1911" s="1">
        <v>489597</v>
      </c>
      <c r="B1911" s="1">
        <v>20866</v>
      </c>
      <c r="C1911" s="1" t="s">
        <v>866</v>
      </c>
      <c r="D1911" s="1">
        <v>2</v>
      </c>
      <c r="E1911" s="3">
        <v>40148.602777777778</v>
      </c>
      <c r="F1911" s="1">
        <v>2.57</v>
      </c>
      <c r="H1911" s="1" t="s">
        <v>10</v>
      </c>
      <c r="I1911" s="1">
        <f t="shared" si="7"/>
        <v>5.14</v>
      </c>
      <c r="J1911" s="2"/>
      <c r="K1911" s="2"/>
      <c r="L1911" s="2"/>
      <c r="M1911" s="2"/>
      <c r="N1911" s="2"/>
      <c r="O1911" s="2"/>
      <c r="P1911" s="2"/>
      <c r="Q1911" s="2"/>
      <c r="R1911" s="2"/>
      <c r="S1911" s="2"/>
    </row>
    <row r="1912" spans="1:19" x14ac:dyDescent="0.2">
      <c r="A1912" s="1">
        <v>489597</v>
      </c>
      <c r="B1912" s="1">
        <v>20961</v>
      </c>
      <c r="C1912" s="1" t="s">
        <v>679</v>
      </c>
      <c r="D1912" s="1">
        <v>2</v>
      </c>
      <c r="E1912" s="3">
        <v>40148.602777777778</v>
      </c>
      <c r="F1912" s="1">
        <v>2.57</v>
      </c>
      <c r="H1912" s="1" t="s">
        <v>10</v>
      </c>
      <c r="I1912" s="1">
        <f t="shared" si="7"/>
        <v>5.14</v>
      </c>
      <c r="J1912" s="2"/>
      <c r="K1912" s="2"/>
      <c r="L1912" s="2"/>
      <c r="M1912" s="2"/>
      <c r="N1912" s="2"/>
      <c r="O1912" s="2"/>
      <c r="P1912" s="2"/>
      <c r="Q1912" s="2"/>
      <c r="R1912" s="2"/>
      <c r="S1912" s="2"/>
    </row>
    <row r="1913" spans="1:19" x14ac:dyDescent="0.2">
      <c r="A1913" s="1">
        <v>489597</v>
      </c>
      <c r="B1913" s="1">
        <v>20982</v>
      </c>
      <c r="C1913" s="1" t="s">
        <v>380</v>
      </c>
      <c r="D1913" s="1">
        <v>2</v>
      </c>
      <c r="E1913" s="3">
        <v>40148.602777777778</v>
      </c>
      <c r="F1913" s="1">
        <v>1.7</v>
      </c>
      <c r="H1913" s="1" t="s">
        <v>10</v>
      </c>
      <c r="I1913" s="1">
        <f t="shared" si="7"/>
        <v>3.4</v>
      </c>
      <c r="J1913" s="2"/>
      <c r="K1913" s="2"/>
      <c r="L1913" s="2"/>
      <c r="M1913" s="2"/>
      <c r="N1913" s="2"/>
      <c r="O1913" s="2"/>
      <c r="P1913" s="2"/>
      <c r="Q1913" s="2"/>
      <c r="R1913" s="2"/>
      <c r="S1913" s="2"/>
    </row>
    <row r="1914" spans="1:19" x14ac:dyDescent="0.2">
      <c r="A1914" s="1">
        <v>489597</v>
      </c>
      <c r="B1914" s="1">
        <v>21080</v>
      </c>
      <c r="C1914" s="1" t="s">
        <v>761</v>
      </c>
      <c r="D1914" s="1">
        <v>2</v>
      </c>
      <c r="E1914" s="3">
        <v>40148.602777777778</v>
      </c>
      <c r="F1914" s="1">
        <v>1.7</v>
      </c>
      <c r="H1914" s="1" t="s">
        <v>10</v>
      </c>
      <c r="I1914" s="1">
        <f t="shared" si="7"/>
        <v>3.4</v>
      </c>
      <c r="J1914" s="2"/>
      <c r="K1914" s="2"/>
      <c r="L1914" s="2"/>
      <c r="M1914" s="2"/>
      <c r="N1914" s="2"/>
      <c r="O1914" s="2"/>
      <c r="P1914" s="2"/>
      <c r="Q1914" s="2"/>
      <c r="R1914" s="2"/>
      <c r="S1914" s="2"/>
    </row>
    <row r="1915" spans="1:19" x14ac:dyDescent="0.2">
      <c r="A1915" s="1">
        <v>489597</v>
      </c>
      <c r="B1915" s="1">
        <v>21154</v>
      </c>
      <c r="C1915" s="1" t="s">
        <v>1219</v>
      </c>
      <c r="D1915" s="1">
        <v>2</v>
      </c>
      <c r="E1915" s="3">
        <v>40148.602777777778</v>
      </c>
      <c r="F1915" s="1">
        <v>2.57</v>
      </c>
      <c r="H1915" s="1" t="s">
        <v>10</v>
      </c>
      <c r="I1915" s="1">
        <f t="shared" si="7"/>
        <v>5.14</v>
      </c>
      <c r="J1915" s="2"/>
      <c r="K1915" s="2"/>
      <c r="L1915" s="2"/>
      <c r="M1915" s="2"/>
      <c r="N1915" s="2"/>
      <c r="O1915" s="2"/>
      <c r="P1915" s="2"/>
      <c r="Q1915" s="2"/>
      <c r="R1915" s="2"/>
      <c r="S1915" s="2"/>
    </row>
    <row r="1916" spans="1:19" x14ac:dyDescent="0.2">
      <c r="A1916" s="1">
        <v>489597</v>
      </c>
      <c r="B1916" s="1">
        <v>21165</v>
      </c>
      <c r="C1916" s="1" t="s">
        <v>1220</v>
      </c>
      <c r="D1916" s="1">
        <v>2</v>
      </c>
      <c r="E1916" s="3">
        <v>40148.602777777778</v>
      </c>
      <c r="F1916" s="1">
        <v>4.3</v>
      </c>
      <c r="H1916" s="1" t="s">
        <v>10</v>
      </c>
      <c r="I1916" s="1">
        <f t="shared" si="7"/>
        <v>8.6</v>
      </c>
      <c r="J1916" s="2"/>
      <c r="K1916" s="2"/>
      <c r="L1916" s="2"/>
      <c r="M1916" s="2"/>
      <c r="N1916" s="2"/>
      <c r="O1916" s="2"/>
      <c r="P1916" s="2"/>
      <c r="Q1916" s="2"/>
      <c r="R1916" s="2"/>
      <c r="S1916" s="2"/>
    </row>
    <row r="1917" spans="1:19" x14ac:dyDescent="0.2">
      <c r="A1917" s="1">
        <v>489597</v>
      </c>
      <c r="B1917" s="1">
        <v>21175</v>
      </c>
      <c r="C1917" s="1" t="s">
        <v>487</v>
      </c>
      <c r="D1917" s="1">
        <v>2</v>
      </c>
      <c r="E1917" s="3">
        <v>40148.602777777778</v>
      </c>
      <c r="F1917" s="1">
        <v>4.3</v>
      </c>
      <c r="H1917" s="1" t="s">
        <v>10</v>
      </c>
      <c r="I1917" s="1">
        <f t="shared" si="7"/>
        <v>8.6</v>
      </c>
      <c r="J1917" s="2"/>
      <c r="K1917" s="2"/>
      <c r="L1917" s="2"/>
      <c r="M1917" s="2"/>
      <c r="N1917" s="2"/>
      <c r="O1917" s="2"/>
      <c r="P1917" s="2"/>
      <c r="Q1917" s="2"/>
      <c r="R1917" s="2"/>
      <c r="S1917" s="2"/>
    </row>
    <row r="1918" spans="1:19" x14ac:dyDescent="0.2">
      <c r="A1918" s="1">
        <v>489597</v>
      </c>
      <c r="B1918" s="1">
        <v>21185</v>
      </c>
      <c r="C1918" s="1" t="s">
        <v>1221</v>
      </c>
      <c r="D1918" s="1">
        <v>2</v>
      </c>
      <c r="E1918" s="3">
        <v>40148.602777777778</v>
      </c>
      <c r="F1918" s="1">
        <v>13</v>
      </c>
      <c r="H1918" s="1" t="s">
        <v>10</v>
      </c>
      <c r="I1918" s="1">
        <f t="shared" si="7"/>
        <v>26</v>
      </c>
      <c r="J1918" s="2"/>
      <c r="K1918" s="2"/>
      <c r="L1918" s="2"/>
      <c r="M1918" s="2"/>
      <c r="N1918" s="2"/>
      <c r="O1918" s="2"/>
      <c r="P1918" s="2"/>
      <c r="Q1918" s="2"/>
      <c r="R1918" s="2"/>
      <c r="S1918" s="2"/>
    </row>
    <row r="1919" spans="1:19" x14ac:dyDescent="0.2">
      <c r="A1919" s="1">
        <v>489597</v>
      </c>
      <c r="B1919" s="1">
        <v>21249</v>
      </c>
      <c r="C1919" s="1" t="s">
        <v>1222</v>
      </c>
      <c r="D1919" s="1">
        <v>2</v>
      </c>
      <c r="E1919" s="3">
        <v>40148.602777777778</v>
      </c>
      <c r="F1919" s="1">
        <v>6.04</v>
      </c>
      <c r="H1919" s="1" t="s">
        <v>10</v>
      </c>
      <c r="I1919" s="1">
        <f t="shared" si="7"/>
        <v>12.08</v>
      </c>
      <c r="J1919" s="2"/>
      <c r="K1919" s="2"/>
      <c r="L1919" s="2"/>
      <c r="M1919" s="2"/>
      <c r="N1919" s="2"/>
      <c r="O1919" s="2"/>
      <c r="P1919" s="2"/>
      <c r="Q1919" s="2"/>
      <c r="R1919" s="2"/>
      <c r="S1919" s="2"/>
    </row>
    <row r="1920" spans="1:19" x14ac:dyDescent="0.2">
      <c r="A1920" s="1">
        <v>489597</v>
      </c>
      <c r="B1920" s="1">
        <v>21251</v>
      </c>
      <c r="C1920" s="1" t="s">
        <v>1223</v>
      </c>
      <c r="D1920" s="1">
        <v>2</v>
      </c>
      <c r="E1920" s="3">
        <v>40148.602777777778</v>
      </c>
      <c r="F1920" s="1">
        <v>6.04</v>
      </c>
      <c r="H1920" s="1" t="s">
        <v>10</v>
      </c>
      <c r="I1920" s="1">
        <f t="shared" si="7"/>
        <v>12.08</v>
      </c>
      <c r="J1920" s="2"/>
      <c r="K1920" s="2"/>
      <c r="L1920" s="2"/>
      <c r="M1920" s="2"/>
      <c r="N1920" s="2"/>
      <c r="O1920" s="2"/>
      <c r="P1920" s="2"/>
      <c r="Q1920" s="2"/>
      <c r="R1920" s="2"/>
      <c r="S1920" s="2"/>
    </row>
    <row r="1921" spans="1:19" x14ac:dyDescent="0.2">
      <c r="A1921" s="1">
        <v>489597</v>
      </c>
      <c r="B1921" s="1">
        <v>21256</v>
      </c>
      <c r="C1921" s="1" t="s">
        <v>1224</v>
      </c>
      <c r="D1921" s="1">
        <v>2</v>
      </c>
      <c r="E1921" s="3">
        <v>40148.602777777778</v>
      </c>
      <c r="F1921" s="1">
        <v>3.43</v>
      </c>
      <c r="H1921" s="1" t="s">
        <v>10</v>
      </c>
      <c r="I1921" s="1">
        <f t="shared" si="7"/>
        <v>6.86</v>
      </c>
      <c r="J1921" s="2"/>
      <c r="K1921" s="2"/>
      <c r="L1921" s="2"/>
      <c r="M1921" s="2"/>
      <c r="N1921" s="2"/>
      <c r="O1921" s="2"/>
      <c r="P1921" s="2"/>
      <c r="Q1921" s="2"/>
      <c r="R1921" s="2"/>
      <c r="S1921" s="2"/>
    </row>
    <row r="1922" spans="1:19" x14ac:dyDescent="0.2">
      <c r="A1922" s="1">
        <v>489597</v>
      </c>
      <c r="B1922" s="1">
        <v>21330</v>
      </c>
      <c r="C1922" s="1" t="s">
        <v>1225</v>
      </c>
      <c r="D1922" s="1">
        <v>2</v>
      </c>
      <c r="E1922" s="3">
        <v>40148.602777777778</v>
      </c>
      <c r="F1922" s="1">
        <v>3.43</v>
      </c>
      <c r="H1922" s="1" t="s">
        <v>10</v>
      </c>
      <c r="I1922" s="1">
        <f t="shared" si="7"/>
        <v>6.86</v>
      </c>
      <c r="J1922" s="2"/>
      <c r="K1922" s="2"/>
      <c r="L1922" s="2"/>
      <c r="M1922" s="2"/>
      <c r="N1922" s="2"/>
      <c r="O1922" s="2"/>
      <c r="P1922" s="2"/>
      <c r="Q1922" s="2"/>
      <c r="R1922" s="2"/>
      <c r="S1922" s="2"/>
    </row>
    <row r="1923" spans="1:19" x14ac:dyDescent="0.2">
      <c r="A1923" s="1">
        <v>489597</v>
      </c>
      <c r="B1923" s="1">
        <v>21356</v>
      </c>
      <c r="C1923" s="1" t="s">
        <v>690</v>
      </c>
      <c r="D1923" s="1">
        <v>2</v>
      </c>
      <c r="E1923" s="3">
        <v>40148.602777777778</v>
      </c>
      <c r="F1923" s="1">
        <v>2.57</v>
      </c>
      <c r="H1923" s="1" t="s">
        <v>10</v>
      </c>
      <c r="I1923" s="1">
        <f t="shared" si="7"/>
        <v>5.14</v>
      </c>
      <c r="J1923" s="2"/>
      <c r="K1923" s="2"/>
      <c r="L1923" s="2"/>
      <c r="M1923" s="2"/>
      <c r="N1923" s="2"/>
      <c r="O1923" s="2"/>
      <c r="P1923" s="2"/>
      <c r="Q1923" s="2"/>
      <c r="R1923" s="2"/>
      <c r="S1923" s="2"/>
    </row>
    <row r="1924" spans="1:19" x14ac:dyDescent="0.2">
      <c r="A1924" s="1">
        <v>489597</v>
      </c>
      <c r="B1924" s="1">
        <v>21481</v>
      </c>
      <c r="C1924" s="1" t="s">
        <v>279</v>
      </c>
      <c r="D1924" s="1">
        <v>2</v>
      </c>
      <c r="E1924" s="3">
        <v>40148.602777777778</v>
      </c>
      <c r="F1924" s="1">
        <v>6.04</v>
      </c>
      <c r="H1924" s="1" t="s">
        <v>10</v>
      </c>
      <c r="I1924" s="1">
        <f t="shared" si="7"/>
        <v>12.08</v>
      </c>
      <c r="J1924" s="2"/>
      <c r="K1924" s="2"/>
      <c r="L1924" s="2"/>
      <c r="M1924" s="2"/>
      <c r="N1924" s="2"/>
      <c r="O1924" s="2"/>
      <c r="P1924" s="2"/>
      <c r="Q1924" s="2"/>
      <c r="R1924" s="2"/>
      <c r="S1924" s="2"/>
    </row>
    <row r="1925" spans="1:19" x14ac:dyDescent="0.2">
      <c r="A1925" s="1">
        <v>489597</v>
      </c>
      <c r="B1925" s="1" t="s">
        <v>1226</v>
      </c>
      <c r="C1925" s="1" t="s">
        <v>1227</v>
      </c>
      <c r="D1925" s="1">
        <v>1</v>
      </c>
      <c r="E1925" s="3">
        <v>40148.602777777778</v>
      </c>
      <c r="F1925" s="1">
        <v>5.17</v>
      </c>
      <c r="H1925" s="1" t="s">
        <v>10</v>
      </c>
      <c r="I1925" s="1">
        <f t="shared" si="7"/>
        <v>5.17</v>
      </c>
      <c r="J1925" s="2"/>
      <c r="K1925" s="2"/>
      <c r="L1925" s="2"/>
      <c r="M1925" s="2"/>
      <c r="N1925" s="2"/>
      <c r="O1925" s="2"/>
      <c r="P1925" s="2"/>
      <c r="Q1925" s="2"/>
      <c r="R1925" s="2"/>
      <c r="S1925" s="2"/>
    </row>
    <row r="1926" spans="1:19" x14ac:dyDescent="0.2">
      <c r="A1926" s="1">
        <v>489597</v>
      </c>
      <c r="B1926" s="1" t="s">
        <v>1228</v>
      </c>
      <c r="C1926" s="1" t="s">
        <v>1229</v>
      </c>
      <c r="D1926" s="1">
        <v>1</v>
      </c>
      <c r="E1926" s="3">
        <v>40148.602777777778</v>
      </c>
      <c r="F1926" s="1">
        <v>1.7</v>
      </c>
      <c r="H1926" s="1" t="s">
        <v>10</v>
      </c>
      <c r="I1926" s="1">
        <f t="shared" si="7"/>
        <v>1.7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</row>
    <row r="1927" spans="1:19" x14ac:dyDescent="0.2">
      <c r="A1927" s="1">
        <v>489597</v>
      </c>
      <c r="B1927" s="1">
        <v>20616</v>
      </c>
      <c r="C1927" s="1" t="s">
        <v>1230</v>
      </c>
      <c r="D1927" s="1">
        <v>1</v>
      </c>
      <c r="E1927" s="3">
        <v>40148.602777777778</v>
      </c>
      <c r="F1927" s="1">
        <v>4.3</v>
      </c>
      <c r="H1927" s="1" t="s">
        <v>10</v>
      </c>
      <c r="I1927" s="1">
        <f t="shared" si="7"/>
        <v>4.3</v>
      </c>
      <c r="J1927" s="2"/>
      <c r="K1927" s="2"/>
      <c r="L1927" s="2"/>
      <c r="M1927" s="2"/>
      <c r="N1927" s="2"/>
      <c r="O1927" s="2"/>
      <c r="P1927" s="2"/>
      <c r="Q1927" s="2"/>
      <c r="R1927" s="2"/>
      <c r="S1927" s="2"/>
    </row>
    <row r="1928" spans="1:19" x14ac:dyDescent="0.2">
      <c r="A1928" s="1">
        <v>489597</v>
      </c>
      <c r="B1928" s="1">
        <v>20618</v>
      </c>
      <c r="C1928" s="1" t="s">
        <v>1231</v>
      </c>
      <c r="D1928" s="1">
        <v>1</v>
      </c>
      <c r="E1928" s="3">
        <v>40148.602777777778</v>
      </c>
      <c r="F1928" s="1">
        <v>4.3</v>
      </c>
      <c r="H1928" s="1" t="s">
        <v>10</v>
      </c>
      <c r="I1928" s="1">
        <f t="shared" si="7"/>
        <v>4.3</v>
      </c>
      <c r="J1928" s="2"/>
      <c r="K1928" s="2"/>
      <c r="L1928" s="2"/>
      <c r="M1928" s="2"/>
      <c r="N1928" s="2"/>
      <c r="O1928" s="2"/>
      <c r="P1928" s="2"/>
      <c r="Q1928" s="2"/>
      <c r="R1928" s="2"/>
      <c r="S1928" s="2"/>
    </row>
    <row r="1929" spans="1:19" x14ac:dyDescent="0.2">
      <c r="A1929" s="1">
        <v>489597</v>
      </c>
      <c r="B1929" s="1">
        <v>20652</v>
      </c>
      <c r="C1929" s="1" t="s">
        <v>1232</v>
      </c>
      <c r="D1929" s="1">
        <v>1</v>
      </c>
      <c r="E1929" s="3">
        <v>40148.602777777778</v>
      </c>
      <c r="F1929" s="1">
        <v>2.57</v>
      </c>
      <c r="H1929" s="1" t="s">
        <v>10</v>
      </c>
      <c r="I1929" s="1">
        <f t="shared" si="7"/>
        <v>2.57</v>
      </c>
      <c r="J1929" s="2"/>
      <c r="K1929" s="2"/>
      <c r="L1929" s="2"/>
      <c r="M1929" s="2"/>
      <c r="N1929" s="2"/>
      <c r="O1929" s="2"/>
      <c r="P1929" s="2"/>
      <c r="Q1929" s="2"/>
      <c r="R1929" s="2"/>
      <c r="S1929" s="2"/>
    </row>
    <row r="1930" spans="1:19" x14ac:dyDescent="0.2">
      <c r="A1930" s="1">
        <v>489597</v>
      </c>
      <c r="B1930" s="1">
        <v>20654</v>
      </c>
      <c r="C1930" s="1" t="s">
        <v>1233</v>
      </c>
      <c r="D1930" s="1">
        <v>1</v>
      </c>
      <c r="E1930" s="3">
        <v>40148.602777777778</v>
      </c>
      <c r="F1930" s="1">
        <v>2.57</v>
      </c>
      <c r="H1930" s="1" t="s">
        <v>10</v>
      </c>
      <c r="I1930" s="1">
        <f t="shared" si="7"/>
        <v>2.57</v>
      </c>
      <c r="J1930" s="2"/>
      <c r="K1930" s="2"/>
      <c r="L1930" s="2"/>
      <c r="M1930" s="2"/>
      <c r="N1930" s="2"/>
      <c r="O1930" s="2"/>
      <c r="P1930" s="2"/>
      <c r="Q1930" s="2"/>
      <c r="R1930" s="2"/>
      <c r="S1930" s="2"/>
    </row>
    <row r="1931" spans="1:19" x14ac:dyDescent="0.2">
      <c r="A1931" s="1">
        <v>489597</v>
      </c>
      <c r="B1931" s="1">
        <v>20655</v>
      </c>
      <c r="C1931" s="1" t="s">
        <v>697</v>
      </c>
      <c r="D1931" s="1">
        <v>1</v>
      </c>
      <c r="E1931" s="3">
        <v>40148.602777777778</v>
      </c>
      <c r="F1931" s="1">
        <v>2.57</v>
      </c>
      <c r="H1931" s="1" t="s">
        <v>10</v>
      </c>
      <c r="I1931" s="1">
        <f t="shared" si="7"/>
        <v>2.57</v>
      </c>
      <c r="J1931" s="2"/>
      <c r="K1931" s="2"/>
      <c r="L1931" s="2"/>
      <c r="M1931" s="2"/>
      <c r="N1931" s="2"/>
      <c r="O1931" s="2"/>
      <c r="P1931" s="2"/>
      <c r="Q1931" s="2"/>
      <c r="R1931" s="2"/>
      <c r="S1931" s="2"/>
    </row>
    <row r="1932" spans="1:19" x14ac:dyDescent="0.2">
      <c r="A1932" s="1">
        <v>489597</v>
      </c>
      <c r="B1932" s="1">
        <v>20659</v>
      </c>
      <c r="C1932" s="1" t="s">
        <v>1234</v>
      </c>
      <c r="D1932" s="1">
        <v>1</v>
      </c>
      <c r="E1932" s="3">
        <v>40148.602777777778</v>
      </c>
      <c r="F1932" s="1">
        <v>2.57</v>
      </c>
      <c r="H1932" s="1" t="s">
        <v>10</v>
      </c>
      <c r="I1932" s="1">
        <f t="shared" si="7"/>
        <v>2.57</v>
      </c>
      <c r="J1932" s="2"/>
      <c r="K1932" s="2"/>
      <c r="L1932" s="2"/>
      <c r="M1932" s="2"/>
      <c r="N1932" s="2"/>
      <c r="O1932" s="2"/>
      <c r="P1932" s="2"/>
      <c r="Q1932" s="2"/>
      <c r="R1932" s="2"/>
      <c r="S1932" s="2"/>
    </row>
    <row r="1933" spans="1:19" x14ac:dyDescent="0.2">
      <c r="A1933" s="1">
        <v>489597</v>
      </c>
      <c r="B1933" s="1">
        <v>20674</v>
      </c>
      <c r="C1933" s="1" t="s">
        <v>1235</v>
      </c>
      <c r="D1933" s="1">
        <v>1</v>
      </c>
      <c r="E1933" s="3">
        <v>40148.602777777778</v>
      </c>
      <c r="F1933" s="1">
        <v>2.57</v>
      </c>
      <c r="H1933" s="1" t="s">
        <v>10</v>
      </c>
      <c r="I1933" s="1">
        <f t="shared" si="7"/>
        <v>2.57</v>
      </c>
      <c r="J1933" s="2"/>
      <c r="K1933" s="2"/>
      <c r="L1933" s="2"/>
      <c r="M1933" s="2"/>
      <c r="N1933" s="2"/>
      <c r="O1933" s="2"/>
      <c r="P1933" s="2"/>
      <c r="Q1933" s="2"/>
      <c r="R1933" s="2"/>
      <c r="S1933" s="2"/>
    </row>
    <row r="1934" spans="1:19" x14ac:dyDescent="0.2">
      <c r="A1934" s="1">
        <v>489597</v>
      </c>
      <c r="B1934" s="1">
        <v>20682</v>
      </c>
      <c r="C1934" s="1" t="s">
        <v>547</v>
      </c>
      <c r="D1934" s="1">
        <v>1</v>
      </c>
      <c r="E1934" s="3">
        <v>40148.602777777778</v>
      </c>
      <c r="F1934" s="1">
        <v>6.91</v>
      </c>
      <c r="H1934" s="1" t="s">
        <v>10</v>
      </c>
      <c r="I1934" s="1">
        <f t="shared" si="7"/>
        <v>6.91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</row>
    <row r="1935" spans="1:19" x14ac:dyDescent="0.2">
      <c r="A1935" s="1">
        <v>489597</v>
      </c>
      <c r="B1935" s="1">
        <v>20694</v>
      </c>
      <c r="C1935" s="1" t="s">
        <v>1236</v>
      </c>
      <c r="D1935" s="1">
        <v>1</v>
      </c>
      <c r="E1935" s="3">
        <v>40148.602777777778</v>
      </c>
      <c r="F1935" s="1">
        <v>7.78</v>
      </c>
      <c r="H1935" s="1" t="s">
        <v>10</v>
      </c>
      <c r="I1935" s="1">
        <f t="shared" si="7"/>
        <v>7.78</v>
      </c>
      <c r="J1935" s="2"/>
      <c r="K1935" s="2"/>
      <c r="L1935" s="2"/>
      <c r="M1935" s="2"/>
      <c r="N1935" s="2"/>
      <c r="O1935" s="2"/>
      <c r="P1935" s="2"/>
      <c r="Q1935" s="2"/>
      <c r="R1935" s="2"/>
      <c r="S1935" s="2"/>
    </row>
    <row r="1936" spans="1:19" x14ac:dyDescent="0.2">
      <c r="A1936" s="1">
        <v>489597</v>
      </c>
      <c r="B1936" s="1">
        <v>20695</v>
      </c>
      <c r="C1936" s="1" t="s">
        <v>63</v>
      </c>
      <c r="D1936" s="1">
        <v>1</v>
      </c>
      <c r="E1936" s="3">
        <v>40148.602777777778</v>
      </c>
      <c r="F1936" s="1">
        <v>8.65</v>
      </c>
      <c r="H1936" s="1" t="s">
        <v>10</v>
      </c>
      <c r="I1936" s="1">
        <f t="shared" si="7"/>
        <v>8.65</v>
      </c>
      <c r="J1936" s="2"/>
      <c r="K1936" s="2"/>
      <c r="L1936" s="2"/>
      <c r="M1936" s="2"/>
      <c r="N1936" s="2"/>
      <c r="O1936" s="2"/>
      <c r="P1936" s="2"/>
      <c r="Q1936" s="2"/>
      <c r="R1936" s="2"/>
      <c r="S1936" s="2"/>
    </row>
    <row r="1937" spans="1:19" x14ac:dyDescent="0.2">
      <c r="A1937" s="1">
        <v>489597</v>
      </c>
      <c r="B1937" s="1">
        <v>20714</v>
      </c>
      <c r="C1937" s="1" t="s">
        <v>1237</v>
      </c>
      <c r="D1937" s="1">
        <v>1</v>
      </c>
      <c r="E1937" s="3">
        <v>40148.602777777778</v>
      </c>
      <c r="F1937" s="1">
        <v>2.57</v>
      </c>
      <c r="H1937" s="1" t="s">
        <v>10</v>
      </c>
      <c r="I1937" s="1">
        <f t="shared" si="7"/>
        <v>2.57</v>
      </c>
      <c r="J1937" s="2"/>
      <c r="K1937" s="2"/>
      <c r="L1937" s="2"/>
      <c r="M1937" s="2"/>
      <c r="N1937" s="2"/>
      <c r="O1937" s="2"/>
      <c r="P1937" s="2"/>
      <c r="Q1937" s="2"/>
      <c r="R1937" s="2"/>
      <c r="S1937" s="2"/>
    </row>
    <row r="1938" spans="1:19" x14ac:dyDescent="0.2">
      <c r="A1938" s="1">
        <v>489597</v>
      </c>
      <c r="B1938" s="1">
        <v>20719</v>
      </c>
      <c r="C1938" s="1" t="s">
        <v>334</v>
      </c>
      <c r="D1938" s="1">
        <v>1</v>
      </c>
      <c r="E1938" s="3">
        <v>40148.602777777778</v>
      </c>
      <c r="F1938" s="1">
        <v>1.7</v>
      </c>
      <c r="H1938" s="1" t="s">
        <v>10</v>
      </c>
      <c r="I1938" s="1">
        <f t="shared" si="7"/>
        <v>1.7</v>
      </c>
      <c r="J1938" s="2"/>
      <c r="K1938" s="2"/>
      <c r="L1938" s="2"/>
      <c r="M1938" s="2"/>
      <c r="N1938" s="2"/>
      <c r="O1938" s="2"/>
      <c r="P1938" s="2"/>
      <c r="Q1938" s="2"/>
      <c r="R1938" s="2"/>
      <c r="S1938" s="2"/>
    </row>
    <row r="1939" spans="1:19" x14ac:dyDescent="0.2">
      <c r="A1939" s="1">
        <v>489597</v>
      </c>
      <c r="B1939" s="1">
        <v>20725</v>
      </c>
      <c r="C1939" s="1" t="s">
        <v>191</v>
      </c>
      <c r="D1939" s="1">
        <v>1</v>
      </c>
      <c r="E1939" s="3">
        <v>40148.602777777778</v>
      </c>
      <c r="F1939" s="1">
        <v>4.3</v>
      </c>
      <c r="H1939" s="1" t="s">
        <v>10</v>
      </c>
      <c r="I1939" s="1">
        <f t="shared" si="7"/>
        <v>4.3</v>
      </c>
      <c r="J1939" s="2"/>
      <c r="K1939" s="2"/>
      <c r="L1939" s="2"/>
      <c r="M1939" s="2"/>
      <c r="N1939" s="2"/>
      <c r="O1939" s="2"/>
      <c r="P1939" s="2"/>
      <c r="Q1939" s="2"/>
      <c r="R1939" s="2"/>
      <c r="S1939" s="2"/>
    </row>
    <row r="1940" spans="1:19" x14ac:dyDescent="0.2">
      <c r="A1940" s="1">
        <v>489597</v>
      </c>
      <c r="B1940" s="1">
        <v>20729</v>
      </c>
      <c r="C1940" s="1" t="s">
        <v>1238</v>
      </c>
      <c r="D1940" s="1">
        <v>1</v>
      </c>
      <c r="E1940" s="3">
        <v>40148.602777777778</v>
      </c>
      <c r="F1940" s="1">
        <v>2.57</v>
      </c>
      <c r="H1940" s="1" t="s">
        <v>10</v>
      </c>
      <c r="I1940" s="1">
        <f t="shared" si="7"/>
        <v>2.57</v>
      </c>
      <c r="J1940" s="2"/>
      <c r="K1940" s="2"/>
      <c r="L1940" s="2"/>
      <c r="M1940" s="2"/>
      <c r="N1940" s="2"/>
      <c r="O1940" s="2"/>
      <c r="P1940" s="2"/>
      <c r="Q1940" s="2"/>
      <c r="R1940" s="2"/>
      <c r="S1940" s="2"/>
    </row>
    <row r="1941" spans="1:19" x14ac:dyDescent="0.2">
      <c r="A1941" s="1">
        <v>489597</v>
      </c>
      <c r="B1941" s="1">
        <v>20739</v>
      </c>
      <c r="C1941" s="1" t="s">
        <v>1239</v>
      </c>
      <c r="D1941" s="1">
        <v>1</v>
      </c>
      <c r="E1941" s="3">
        <v>40148.602777777778</v>
      </c>
      <c r="F1941" s="1">
        <v>8.65</v>
      </c>
      <c r="H1941" s="1" t="s">
        <v>10</v>
      </c>
      <c r="I1941" s="1">
        <f t="shared" si="7"/>
        <v>8.65</v>
      </c>
      <c r="J1941" s="2"/>
      <c r="K1941" s="2"/>
      <c r="L1941" s="2"/>
      <c r="M1941" s="2"/>
      <c r="N1941" s="2"/>
      <c r="O1941" s="2"/>
      <c r="P1941" s="2"/>
      <c r="Q1941" s="2"/>
      <c r="R1941" s="2"/>
      <c r="S1941" s="2"/>
    </row>
    <row r="1942" spans="1:19" x14ac:dyDescent="0.2">
      <c r="A1942" s="1">
        <v>489597</v>
      </c>
      <c r="B1942" s="1">
        <v>20753</v>
      </c>
      <c r="C1942" s="1" t="s">
        <v>278</v>
      </c>
      <c r="D1942" s="1">
        <v>1</v>
      </c>
      <c r="E1942" s="3">
        <v>40148.602777777778</v>
      </c>
      <c r="F1942" s="1">
        <v>4.3</v>
      </c>
      <c r="H1942" s="1" t="s">
        <v>10</v>
      </c>
      <c r="I1942" s="1">
        <f t="shared" si="7"/>
        <v>4.3</v>
      </c>
      <c r="J1942" s="2"/>
      <c r="K1942" s="2"/>
      <c r="L1942" s="2"/>
      <c r="M1942" s="2"/>
      <c r="N1942" s="2"/>
      <c r="O1942" s="2"/>
      <c r="P1942" s="2"/>
      <c r="Q1942" s="2"/>
      <c r="R1942" s="2"/>
      <c r="S1942" s="2"/>
    </row>
    <row r="1943" spans="1:19" x14ac:dyDescent="0.2">
      <c r="A1943" s="1">
        <v>489597</v>
      </c>
      <c r="B1943" s="1">
        <v>20761</v>
      </c>
      <c r="C1943" s="1" t="s">
        <v>1240</v>
      </c>
      <c r="D1943" s="1">
        <v>1</v>
      </c>
      <c r="E1943" s="3">
        <v>40148.602777777778</v>
      </c>
      <c r="F1943" s="1">
        <v>7.78</v>
      </c>
      <c r="H1943" s="1" t="s">
        <v>10</v>
      </c>
      <c r="I1943" s="1">
        <f t="shared" si="7"/>
        <v>7.78</v>
      </c>
      <c r="J1943" s="2"/>
      <c r="K1943" s="2"/>
      <c r="L1943" s="2"/>
      <c r="M1943" s="2"/>
      <c r="N1943" s="2"/>
      <c r="O1943" s="2"/>
      <c r="P1943" s="2"/>
      <c r="Q1943" s="2"/>
      <c r="R1943" s="2"/>
      <c r="S1943" s="2"/>
    </row>
    <row r="1944" spans="1:19" x14ac:dyDescent="0.2">
      <c r="A1944" s="1">
        <v>489597</v>
      </c>
      <c r="B1944" s="1">
        <v>20780</v>
      </c>
      <c r="C1944" s="1" t="s">
        <v>1241</v>
      </c>
      <c r="D1944" s="1">
        <v>1</v>
      </c>
      <c r="E1944" s="3">
        <v>40148.602777777778</v>
      </c>
      <c r="F1944" s="1">
        <v>11.26</v>
      </c>
      <c r="H1944" s="1" t="s">
        <v>10</v>
      </c>
      <c r="I1944" s="1">
        <f t="shared" si="7"/>
        <v>11.26</v>
      </c>
      <c r="J1944" s="2"/>
      <c r="K1944" s="2"/>
      <c r="L1944" s="2"/>
      <c r="M1944" s="2"/>
      <c r="N1944" s="2"/>
      <c r="O1944" s="2"/>
      <c r="P1944" s="2"/>
      <c r="Q1944" s="2"/>
      <c r="R1944" s="2"/>
      <c r="S1944" s="2"/>
    </row>
    <row r="1945" spans="1:19" x14ac:dyDescent="0.2">
      <c r="A1945" s="1">
        <v>489597</v>
      </c>
      <c r="B1945" s="1">
        <v>20783</v>
      </c>
      <c r="C1945" s="1" t="s">
        <v>1242</v>
      </c>
      <c r="D1945" s="1">
        <v>1</v>
      </c>
      <c r="E1945" s="3">
        <v>40148.602777777778</v>
      </c>
      <c r="F1945" s="1">
        <v>11.26</v>
      </c>
      <c r="H1945" s="1" t="s">
        <v>10</v>
      </c>
      <c r="I1945" s="1">
        <f t="shared" si="7"/>
        <v>11.26</v>
      </c>
      <c r="J1945" s="2"/>
      <c r="K1945" s="2"/>
      <c r="L1945" s="2"/>
      <c r="M1945" s="2"/>
      <c r="N1945" s="2"/>
      <c r="O1945" s="2"/>
      <c r="P1945" s="2"/>
      <c r="Q1945" s="2"/>
      <c r="R1945" s="2"/>
      <c r="S1945" s="2"/>
    </row>
    <row r="1946" spans="1:19" x14ac:dyDescent="0.2">
      <c r="A1946" s="1">
        <v>489597</v>
      </c>
      <c r="B1946" s="1">
        <v>20825</v>
      </c>
      <c r="C1946" s="1" t="s">
        <v>198</v>
      </c>
      <c r="D1946" s="1">
        <v>1</v>
      </c>
      <c r="E1946" s="3">
        <v>40148.602777777778</v>
      </c>
      <c r="F1946" s="1">
        <v>26.04</v>
      </c>
      <c r="H1946" s="1" t="s">
        <v>10</v>
      </c>
      <c r="I1946" s="1">
        <f t="shared" si="7"/>
        <v>26.04</v>
      </c>
      <c r="J1946" s="2"/>
      <c r="K1946" s="2"/>
      <c r="L1946" s="2"/>
      <c r="M1946" s="2"/>
      <c r="N1946" s="2"/>
      <c r="O1946" s="2"/>
      <c r="P1946" s="2"/>
      <c r="Q1946" s="2"/>
      <c r="R1946" s="2"/>
      <c r="S1946" s="2"/>
    </row>
    <row r="1947" spans="1:19" x14ac:dyDescent="0.2">
      <c r="A1947" s="1">
        <v>489597</v>
      </c>
      <c r="B1947" s="1">
        <v>20828</v>
      </c>
      <c r="C1947" s="1" t="s">
        <v>432</v>
      </c>
      <c r="D1947" s="1">
        <v>1</v>
      </c>
      <c r="E1947" s="3">
        <v>40148.602777777778</v>
      </c>
      <c r="F1947" s="1">
        <v>5.17</v>
      </c>
      <c r="H1947" s="1" t="s">
        <v>10</v>
      </c>
      <c r="I1947" s="1">
        <f t="shared" si="7"/>
        <v>5.17</v>
      </c>
      <c r="J1947" s="2"/>
      <c r="K1947" s="2"/>
      <c r="L1947" s="2"/>
      <c r="M1947" s="2"/>
      <c r="N1947" s="2"/>
      <c r="O1947" s="2"/>
      <c r="P1947" s="2"/>
      <c r="Q1947" s="2"/>
      <c r="R1947" s="2"/>
      <c r="S1947" s="2"/>
    </row>
    <row r="1948" spans="1:19" x14ac:dyDescent="0.2">
      <c r="A1948" s="1">
        <v>489597</v>
      </c>
      <c r="B1948" s="1">
        <v>20832</v>
      </c>
      <c r="C1948" s="1" t="s">
        <v>1243</v>
      </c>
      <c r="D1948" s="1">
        <v>1</v>
      </c>
      <c r="E1948" s="3">
        <v>40148.602777777778</v>
      </c>
      <c r="F1948" s="1">
        <v>1.7</v>
      </c>
      <c r="H1948" s="1" t="s">
        <v>10</v>
      </c>
      <c r="I1948" s="1">
        <f t="shared" si="7"/>
        <v>1.7</v>
      </c>
      <c r="J1948" s="2"/>
      <c r="K1948" s="2"/>
      <c r="L1948" s="2"/>
      <c r="M1948" s="2"/>
      <c r="N1948" s="2"/>
      <c r="O1948" s="2"/>
      <c r="P1948" s="2"/>
      <c r="Q1948" s="2"/>
      <c r="R1948" s="2"/>
      <c r="S1948" s="2"/>
    </row>
    <row r="1949" spans="1:19" x14ac:dyDescent="0.2">
      <c r="A1949" s="1">
        <v>489597</v>
      </c>
      <c r="B1949" s="1">
        <v>20863</v>
      </c>
      <c r="C1949" s="1" t="s">
        <v>1244</v>
      </c>
      <c r="D1949" s="1">
        <v>1</v>
      </c>
      <c r="E1949" s="3">
        <v>40148.602777777778</v>
      </c>
      <c r="F1949" s="1">
        <v>4.3</v>
      </c>
      <c r="H1949" s="1" t="s">
        <v>10</v>
      </c>
      <c r="I1949" s="1">
        <f t="shared" si="7"/>
        <v>4.3</v>
      </c>
      <c r="J1949" s="2"/>
      <c r="K1949" s="2"/>
      <c r="L1949" s="2"/>
      <c r="M1949" s="2"/>
      <c r="N1949" s="2"/>
      <c r="O1949" s="2"/>
      <c r="P1949" s="2"/>
      <c r="Q1949" s="2"/>
      <c r="R1949" s="2"/>
      <c r="S1949" s="2"/>
    </row>
    <row r="1950" spans="1:19" x14ac:dyDescent="0.2">
      <c r="A1950" s="1">
        <v>489597</v>
      </c>
      <c r="B1950" s="1">
        <v>20886</v>
      </c>
      <c r="C1950" s="1" t="s">
        <v>1245</v>
      </c>
      <c r="D1950" s="1">
        <v>1</v>
      </c>
      <c r="E1950" s="3">
        <v>40148.602777777778</v>
      </c>
      <c r="F1950" s="1">
        <v>4.3</v>
      </c>
      <c r="H1950" s="1" t="s">
        <v>10</v>
      </c>
      <c r="I1950" s="1">
        <f t="shared" si="7"/>
        <v>4.3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/>
    </row>
    <row r="1951" spans="1:19" x14ac:dyDescent="0.2">
      <c r="A1951" s="1">
        <v>489597</v>
      </c>
      <c r="B1951" s="1">
        <v>20888</v>
      </c>
      <c r="C1951" s="1" t="s">
        <v>1246</v>
      </c>
      <c r="D1951" s="1">
        <v>1</v>
      </c>
      <c r="E1951" s="3">
        <v>40148.602777777778</v>
      </c>
      <c r="F1951" s="1">
        <v>6.04</v>
      </c>
      <c r="H1951" s="1" t="s">
        <v>10</v>
      </c>
      <c r="I1951" s="1">
        <f t="shared" si="7"/>
        <v>6.04</v>
      </c>
      <c r="J1951" s="2"/>
      <c r="K1951" s="2"/>
      <c r="L1951" s="2"/>
      <c r="M1951" s="2"/>
      <c r="N1951" s="2"/>
      <c r="O1951" s="2"/>
      <c r="P1951" s="2"/>
      <c r="Q1951" s="2"/>
      <c r="R1951" s="2"/>
      <c r="S1951" s="2"/>
    </row>
    <row r="1952" spans="1:19" x14ac:dyDescent="0.2">
      <c r="A1952" s="1">
        <v>489597</v>
      </c>
      <c r="B1952" s="1">
        <v>20897</v>
      </c>
      <c r="C1952" s="1" t="s">
        <v>349</v>
      </c>
      <c r="D1952" s="1">
        <v>1</v>
      </c>
      <c r="E1952" s="3">
        <v>40148.602777777778</v>
      </c>
      <c r="F1952" s="1">
        <v>6.04</v>
      </c>
      <c r="H1952" s="1" t="s">
        <v>10</v>
      </c>
      <c r="I1952" s="1">
        <f t="shared" si="7"/>
        <v>6.04</v>
      </c>
      <c r="J1952" s="2"/>
      <c r="K1952" s="2"/>
      <c r="L1952" s="2"/>
      <c r="M1952" s="2"/>
      <c r="N1952" s="2"/>
      <c r="O1952" s="2"/>
      <c r="P1952" s="2"/>
      <c r="Q1952" s="2"/>
      <c r="R1952" s="2"/>
      <c r="S1952" s="2"/>
    </row>
    <row r="1953" spans="1:19" x14ac:dyDescent="0.2">
      <c r="A1953" s="1">
        <v>489597</v>
      </c>
      <c r="B1953" s="1">
        <v>20903</v>
      </c>
      <c r="C1953" s="1" t="s">
        <v>1247</v>
      </c>
      <c r="D1953" s="1">
        <v>1</v>
      </c>
      <c r="E1953" s="3">
        <v>40148.602777777778</v>
      </c>
      <c r="F1953" s="1">
        <v>13</v>
      </c>
      <c r="H1953" s="1" t="s">
        <v>10</v>
      </c>
      <c r="I1953" s="1">
        <f t="shared" si="7"/>
        <v>13</v>
      </c>
      <c r="J1953" s="2"/>
      <c r="K1953" s="2"/>
      <c r="L1953" s="2"/>
      <c r="M1953" s="2"/>
      <c r="N1953" s="2"/>
      <c r="O1953" s="2"/>
      <c r="P1953" s="2"/>
      <c r="Q1953" s="2"/>
      <c r="R1953" s="2"/>
      <c r="S1953" s="2"/>
    </row>
    <row r="1954" spans="1:19" x14ac:dyDescent="0.2">
      <c r="A1954" s="1">
        <v>489597</v>
      </c>
      <c r="B1954" s="1">
        <v>20914</v>
      </c>
      <c r="C1954" s="1" t="s">
        <v>534</v>
      </c>
      <c r="D1954" s="1">
        <v>1</v>
      </c>
      <c r="E1954" s="3">
        <v>40148.602777777778</v>
      </c>
      <c r="F1954" s="1">
        <v>6.04</v>
      </c>
      <c r="H1954" s="1" t="s">
        <v>10</v>
      </c>
      <c r="I1954" s="1">
        <f t="shared" si="7"/>
        <v>6.04</v>
      </c>
      <c r="J1954" s="2"/>
      <c r="K1954" s="2"/>
      <c r="L1954" s="2"/>
      <c r="M1954" s="2"/>
      <c r="N1954" s="2"/>
      <c r="O1954" s="2"/>
      <c r="P1954" s="2"/>
      <c r="Q1954" s="2"/>
      <c r="R1954" s="2"/>
      <c r="S1954" s="2"/>
    </row>
    <row r="1955" spans="1:19" x14ac:dyDescent="0.2">
      <c r="A1955" s="1">
        <v>489597</v>
      </c>
      <c r="B1955" s="1">
        <v>20940</v>
      </c>
      <c r="C1955" s="1" t="s">
        <v>1088</v>
      </c>
      <c r="D1955" s="1">
        <v>1</v>
      </c>
      <c r="E1955" s="3">
        <v>40148.602777777778</v>
      </c>
      <c r="F1955" s="1">
        <v>6.04</v>
      </c>
      <c r="H1955" s="1" t="s">
        <v>10</v>
      </c>
      <c r="I1955" s="1">
        <f t="shared" si="7"/>
        <v>6.04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</row>
    <row r="1956" spans="1:19" x14ac:dyDescent="0.2">
      <c r="A1956" s="1">
        <v>489597</v>
      </c>
      <c r="B1956" s="1">
        <v>20970</v>
      </c>
      <c r="C1956" s="1" t="s">
        <v>302</v>
      </c>
      <c r="D1956" s="1">
        <v>1</v>
      </c>
      <c r="E1956" s="3">
        <v>40148.602777777778</v>
      </c>
      <c r="F1956" s="1">
        <v>7.78</v>
      </c>
      <c r="H1956" s="1" t="s">
        <v>10</v>
      </c>
      <c r="I1956" s="1">
        <f t="shared" si="7"/>
        <v>7.78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</row>
    <row r="1957" spans="1:19" x14ac:dyDescent="0.2">
      <c r="A1957" s="1">
        <v>489597</v>
      </c>
      <c r="B1957" s="1">
        <v>20972</v>
      </c>
      <c r="C1957" s="1" t="s">
        <v>297</v>
      </c>
      <c r="D1957" s="1">
        <v>1</v>
      </c>
      <c r="E1957" s="3">
        <v>40148.602777777778</v>
      </c>
      <c r="F1957" s="1">
        <v>2.57</v>
      </c>
      <c r="H1957" s="1" t="s">
        <v>10</v>
      </c>
      <c r="I1957" s="1">
        <f t="shared" si="7"/>
        <v>2.57</v>
      </c>
      <c r="J1957" s="2"/>
      <c r="K1957" s="2"/>
      <c r="L1957" s="2"/>
      <c r="M1957" s="2"/>
      <c r="N1957" s="2"/>
      <c r="O1957" s="2"/>
      <c r="P1957" s="2"/>
      <c r="Q1957" s="2"/>
      <c r="R1957" s="2"/>
      <c r="S1957" s="2"/>
    </row>
    <row r="1958" spans="1:19" x14ac:dyDescent="0.2">
      <c r="A1958" s="1">
        <v>489597</v>
      </c>
      <c r="B1958" s="1">
        <v>20974</v>
      </c>
      <c r="C1958" s="1" t="s">
        <v>865</v>
      </c>
      <c r="D1958" s="1">
        <v>1</v>
      </c>
      <c r="E1958" s="3">
        <v>40148.602777777778</v>
      </c>
      <c r="F1958" s="1">
        <v>1.3</v>
      </c>
      <c r="H1958" s="1" t="s">
        <v>10</v>
      </c>
      <c r="I1958" s="1">
        <f t="shared" si="7"/>
        <v>1.3</v>
      </c>
      <c r="J1958" s="2"/>
      <c r="K1958" s="2"/>
      <c r="L1958" s="2"/>
      <c r="M1958" s="2"/>
      <c r="N1958" s="2"/>
      <c r="O1958" s="2"/>
      <c r="P1958" s="2"/>
      <c r="Q1958" s="2"/>
      <c r="R1958" s="2"/>
      <c r="S1958" s="2"/>
    </row>
    <row r="1959" spans="1:19" x14ac:dyDescent="0.2">
      <c r="A1959" s="1">
        <v>489597</v>
      </c>
      <c r="B1959" s="1">
        <v>20975</v>
      </c>
      <c r="C1959" s="1" t="s">
        <v>638</v>
      </c>
      <c r="D1959" s="1">
        <v>1</v>
      </c>
      <c r="E1959" s="3">
        <v>40148.602777777778</v>
      </c>
      <c r="F1959" s="1">
        <v>1.3</v>
      </c>
      <c r="H1959" s="1" t="s">
        <v>10</v>
      </c>
      <c r="I1959" s="1">
        <f t="shared" si="7"/>
        <v>1.3</v>
      </c>
      <c r="J1959" s="2"/>
      <c r="K1959" s="2"/>
      <c r="L1959" s="2"/>
      <c r="M1959" s="2"/>
      <c r="N1959" s="2"/>
      <c r="O1959" s="2"/>
      <c r="P1959" s="2"/>
      <c r="Q1959" s="2"/>
      <c r="R1959" s="2"/>
      <c r="S1959" s="2"/>
    </row>
    <row r="1960" spans="1:19" x14ac:dyDescent="0.2">
      <c r="A1960" s="1">
        <v>489597</v>
      </c>
      <c r="B1960" s="1">
        <v>20978</v>
      </c>
      <c r="C1960" s="1" t="s">
        <v>923</v>
      </c>
      <c r="D1960" s="1">
        <v>1</v>
      </c>
      <c r="E1960" s="3">
        <v>40148.602777777778</v>
      </c>
      <c r="F1960" s="1">
        <v>2.57</v>
      </c>
      <c r="H1960" s="1" t="s">
        <v>10</v>
      </c>
      <c r="I1960" s="1">
        <f t="shared" si="7"/>
        <v>2.57</v>
      </c>
      <c r="J1960" s="2"/>
      <c r="K1960" s="2"/>
      <c r="L1960" s="2"/>
      <c r="M1960" s="2"/>
      <c r="N1960" s="2"/>
      <c r="O1960" s="2"/>
      <c r="P1960" s="2"/>
      <c r="Q1960" s="2"/>
      <c r="R1960" s="2"/>
      <c r="S1960" s="2"/>
    </row>
    <row r="1961" spans="1:19" x14ac:dyDescent="0.2">
      <c r="A1961" s="1">
        <v>489597</v>
      </c>
      <c r="B1961" s="1">
        <v>20980</v>
      </c>
      <c r="C1961" s="1" t="s">
        <v>1248</v>
      </c>
      <c r="D1961" s="1">
        <v>1</v>
      </c>
      <c r="E1961" s="3">
        <v>40148.602777777778</v>
      </c>
      <c r="F1961" s="1">
        <v>2.57</v>
      </c>
      <c r="H1961" s="1" t="s">
        <v>10</v>
      </c>
      <c r="I1961" s="1">
        <f t="shared" si="7"/>
        <v>2.57</v>
      </c>
      <c r="J1961" s="2"/>
      <c r="K1961" s="2"/>
      <c r="L1961" s="2"/>
      <c r="M1961" s="2"/>
      <c r="N1961" s="2"/>
      <c r="O1961" s="2"/>
      <c r="P1961" s="2"/>
      <c r="Q1961" s="2"/>
      <c r="R1961" s="2"/>
      <c r="S1961" s="2"/>
    </row>
    <row r="1962" spans="1:19" x14ac:dyDescent="0.2">
      <c r="A1962" s="1">
        <v>489597</v>
      </c>
      <c r="B1962" s="1">
        <v>20983</v>
      </c>
      <c r="C1962" s="1" t="s">
        <v>868</v>
      </c>
      <c r="D1962" s="1">
        <v>1</v>
      </c>
      <c r="E1962" s="3">
        <v>40148.602777777778</v>
      </c>
      <c r="F1962" s="1">
        <v>1.7</v>
      </c>
      <c r="H1962" s="1" t="s">
        <v>10</v>
      </c>
      <c r="I1962" s="1">
        <f t="shared" si="7"/>
        <v>1.7</v>
      </c>
      <c r="J1962" s="2"/>
      <c r="K1962" s="2"/>
      <c r="L1962" s="2"/>
      <c r="M1962" s="2"/>
      <c r="N1962" s="2"/>
      <c r="O1962" s="2"/>
      <c r="P1962" s="2"/>
      <c r="Q1962" s="2"/>
      <c r="R1962" s="2"/>
      <c r="S1962" s="2"/>
    </row>
    <row r="1963" spans="1:19" x14ac:dyDescent="0.2">
      <c r="A1963" s="1">
        <v>489597</v>
      </c>
      <c r="B1963" s="1">
        <v>20984</v>
      </c>
      <c r="C1963" s="1" t="s">
        <v>379</v>
      </c>
      <c r="D1963" s="1">
        <v>1</v>
      </c>
      <c r="E1963" s="3">
        <v>40148.602777777778</v>
      </c>
      <c r="F1963" s="1">
        <v>1.7</v>
      </c>
      <c r="H1963" s="1" t="s">
        <v>10</v>
      </c>
      <c r="I1963" s="1">
        <f t="shared" si="7"/>
        <v>1.7</v>
      </c>
      <c r="J1963" s="2"/>
      <c r="K1963" s="2"/>
      <c r="L1963" s="2"/>
      <c r="M1963" s="2"/>
      <c r="N1963" s="2"/>
      <c r="O1963" s="2"/>
      <c r="P1963" s="2"/>
      <c r="Q1963" s="2"/>
      <c r="R1963" s="2"/>
      <c r="S1963" s="2"/>
    </row>
    <row r="1964" spans="1:19" x14ac:dyDescent="0.2">
      <c r="A1964" s="1">
        <v>489597</v>
      </c>
      <c r="B1964" s="1">
        <v>20987</v>
      </c>
      <c r="C1964" s="1" t="s">
        <v>451</v>
      </c>
      <c r="D1964" s="1">
        <v>1</v>
      </c>
      <c r="E1964" s="3">
        <v>40148.602777777778</v>
      </c>
      <c r="F1964" s="1">
        <v>4.3</v>
      </c>
      <c r="H1964" s="1" t="s">
        <v>10</v>
      </c>
      <c r="I1964" s="1">
        <f t="shared" si="7"/>
        <v>4.3</v>
      </c>
      <c r="J1964" s="2"/>
      <c r="K1964" s="2"/>
      <c r="L1964" s="2"/>
      <c r="M1964" s="2"/>
      <c r="N1964" s="2"/>
      <c r="O1964" s="2"/>
      <c r="P1964" s="2"/>
      <c r="Q1964" s="2"/>
      <c r="R1964" s="2"/>
      <c r="S1964" s="2"/>
    </row>
    <row r="1965" spans="1:19" x14ac:dyDescent="0.2">
      <c r="A1965" s="1">
        <v>489597</v>
      </c>
      <c r="B1965" s="1">
        <v>20991</v>
      </c>
      <c r="C1965" s="1" t="s">
        <v>1249</v>
      </c>
      <c r="D1965" s="1">
        <v>1</v>
      </c>
      <c r="E1965" s="3">
        <v>40148.602777777778</v>
      </c>
      <c r="F1965" s="1">
        <v>1.3</v>
      </c>
      <c r="H1965" s="1" t="s">
        <v>10</v>
      </c>
      <c r="I1965" s="1">
        <f t="shared" si="7"/>
        <v>1.3</v>
      </c>
      <c r="J1965" s="2"/>
      <c r="K1965" s="2"/>
      <c r="L1965" s="2"/>
      <c r="M1965" s="2"/>
      <c r="N1965" s="2"/>
      <c r="O1965" s="2"/>
      <c r="P1965" s="2"/>
      <c r="Q1965" s="2"/>
      <c r="R1965" s="2"/>
      <c r="S1965" s="2"/>
    </row>
    <row r="1966" spans="1:19" x14ac:dyDescent="0.2">
      <c r="A1966" s="1">
        <v>489597</v>
      </c>
      <c r="B1966" s="1">
        <v>21012</v>
      </c>
      <c r="C1966" s="1" t="s">
        <v>1250</v>
      </c>
      <c r="D1966" s="1">
        <v>1</v>
      </c>
      <c r="E1966" s="3">
        <v>40148.602777777778</v>
      </c>
      <c r="F1966" s="1">
        <v>4.3</v>
      </c>
      <c r="H1966" s="1" t="s">
        <v>10</v>
      </c>
      <c r="I1966" s="1">
        <f t="shared" si="7"/>
        <v>4.3</v>
      </c>
      <c r="J1966" s="2"/>
      <c r="K1966" s="2"/>
      <c r="L1966" s="2"/>
      <c r="M1966" s="2"/>
      <c r="N1966" s="2"/>
      <c r="O1966" s="2"/>
      <c r="P1966" s="2"/>
      <c r="Q1966" s="2"/>
      <c r="R1966" s="2"/>
      <c r="S1966" s="2"/>
    </row>
    <row r="1967" spans="1:19" x14ac:dyDescent="0.2">
      <c r="A1967" s="1">
        <v>489597</v>
      </c>
      <c r="B1967" s="1">
        <v>21025</v>
      </c>
      <c r="C1967" s="1" t="s">
        <v>1251</v>
      </c>
      <c r="D1967" s="1">
        <v>1</v>
      </c>
      <c r="E1967" s="3">
        <v>40148.602777777778</v>
      </c>
      <c r="F1967" s="1">
        <v>2.57</v>
      </c>
      <c r="H1967" s="1" t="s">
        <v>10</v>
      </c>
      <c r="I1967" s="1">
        <f t="shared" si="7"/>
        <v>2.57</v>
      </c>
      <c r="J1967" s="2"/>
      <c r="K1967" s="2"/>
      <c r="L1967" s="2"/>
      <c r="M1967" s="2"/>
      <c r="N1967" s="2"/>
      <c r="O1967" s="2"/>
      <c r="P1967" s="2"/>
      <c r="Q1967" s="2"/>
      <c r="R1967" s="2"/>
      <c r="S1967" s="2"/>
    </row>
    <row r="1968" spans="1:19" x14ac:dyDescent="0.2">
      <c r="A1968" s="1">
        <v>489597</v>
      </c>
      <c r="B1968" s="1">
        <v>21035</v>
      </c>
      <c r="C1968" s="1" t="s">
        <v>149</v>
      </c>
      <c r="D1968" s="1">
        <v>1</v>
      </c>
      <c r="E1968" s="3">
        <v>40148.602777777778</v>
      </c>
      <c r="F1968" s="1">
        <v>6.04</v>
      </c>
      <c r="H1968" s="1" t="s">
        <v>10</v>
      </c>
      <c r="I1968" s="1">
        <f t="shared" si="7"/>
        <v>6.04</v>
      </c>
      <c r="J1968" s="2"/>
      <c r="K1968" s="2"/>
      <c r="L1968" s="2"/>
      <c r="M1968" s="2"/>
      <c r="N1968" s="2"/>
      <c r="O1968" s="2"/>
      <c r="P1968" s="2"/>
      <c r="Q1968" s="2"/>
      <c r="R1968" s="2"/>
      <c r="S1968" s="2"/>
    </row>
    <row r="1969" spans="1:19" x14ac:dyDescent="0.2">
      <c r="A1969" s="1">
        <v>489597</v>
      </c>
      <c r="B1969" s="1">
        <v>21055</v>
      </c>
      <c r="C1969" s="1" t="s">
        <v>1252</v>
      </c>
      <c r="D1969" s="1">
        <v>1</v>
      </c>
      <c r="E1969" s="3">
        <v>40148.602777777778</v>
      </c>
      <c r="F1969" s="1">
        <v>17.350000000000001</v>
      </c>
      <c r="H1969" s="1" t="s">
        <v>10</v>
      </c>
      <c r="I1969" s="1">
        <f t="shared" si="7"/>
        <v>17.350000000000001</v>
      </c>
      <c r="J1969" s="2"/>
      <c r="K1969" s="2"/>
      <c r="L1969" s="2"/>
      <c r="M1969" s="2"/>
      <c r="N1969" s="2"/>
      <c r="O1969" s="2"/>
      <c r="P1969" s="2"/>
      <c r="Q1969" s="2"/>
      <c r="R1969" s="2"/>
      <c r="S1969" s="2"/>
    </row>
    <row r="1970" spans="1:19" x14ac:dyDescent="0.2">
      <c r="A1970" s="1">
        <v>489597</v>
      </c>
      <c r="B1970" s="1">
        <v>21064</v>
      </c>
      <c r="C1970" s="1" t="s">
        <v>1253</v>
      </c>
      <c r="D1970" s="1">
        <v>1</v>
      </c>
      <c r="E1970" s="3">
        <v>40148.602777777778</v>
      </c>
      <c r="F1970" s="1">
        <v>12.13</v>
      </c>
      <c r="H1970" s="1" t="s">
        <v>10</v>
      </c>
      <c r="I1970" s="1">
        <f t="shared" si="7"/>
        <v>12.13</v>
      </c>
      <c r="J1970" s="2"/>
      <c r="K1970" s="2"/>
      <c r="L1970" s="2"/>
      <c r="M1970" s="2"/>
      <c r="N1970" s="2"/>
      <c r="O1970" s="2"/>
      <c r="P1970" s="2"/>
      <c r="Q1970" s="2"/>
      <c r="R1970" s="2"/>
      <c r="S1970" s="2"/>
    </row>
    <row r="1971" spans="1:19" x14ac:dyDescent="0.2">
      <c r="A1971" s="1">
        <v>489597</v>
      </c>
      <c r="B1971" s="1">
        <v>21069</v>
      </c>
      <c r="C1971" s="1" t="s">
        <v>1042</v>
      </c>
      <c r="D1971" s="1">
        <v>1</v>
      </c>
      <c r="E1971" s="3">
        <v>40148.602777777778</v>
      </c>
      <c r="F1971" s="1">
        <v>2.57</v>
      </c>
      <c r="H1971" s="1" t="s">
        <v>10</v>
      </c>
      <c r="I1971" s="1">
        <f t="shared" si="7"/>
        <v>2.57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</row>
    <row r="1972" spans="1:19" x14ac:dyDescent="0.2">
      <c r="A1972" s="1">
        <v>489597</v>
      </c>
      <c r="B1972" s="1">
        <v>21110</v>
      </c>
      <c r="C1972" s="1" t="s">
        <v>1254</v>
      </c>
      <c r="D1972" s="1">
        <v>1</v>
      </c>
      <c r="E1972" s="3">
        <v>40148.602777777778</v>
      </c>
      <c r="F1972" s="1">
        <v>13.87</v>
      </c>
      <c r="H1972" s="1" t="s">
        <v>10</v>
      </c>
      <c r="I1972" s="1">
        <f t="shared" si="7"/>
        <v>13.87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</row>
    <row r="1973" spans="1:19" x14ac:dyDescent="0.2">
      <c r="A1973" s="1">
        <v>489597</v>
      </c>
      <c r="B1973" s="1">
        <v>21115</v>
      </c>
      <c r="C1973" s="1" t="s">
        <v>817</v>
      </c>
      <c r="D1973" s="1">
        <v>1</v>
      </c>
      <c r="E1973" s="3">
        <v>40148.602777777778</v>
      </c>
      <c r="F1973" s="1">
        <v>14.74</v>
      </c>
      <c r="H1973" s="1" t="s">
        <v>10</v>
      </c>
      <c r="I1973" s="1">
        <f t="shared" si="7"/>
        <v>14.74</v>
      </c>
      <c r="J1973" s="2"/>
      <c r="K1973" s="2"/>
      <c r="L1973" s="2"/>
      <c r="M1973" s="2"/>
      <c r="N1973" s="2"/>
      <c r="O1973" s="2"/>
      <c r="P1973" s="2"/>
      <c r="Q1973" s="2"/>
      <c r="R1973" s="2"/>
      <c r="S1973" s="2"/>
    </row>
    <row r="1974" spans="1:19" x14ac:dyDescent="0.2">
      <c r="A1974" s="1">
        <v>489597</v>
      </c>
      <c r="B1974" s="1">
        <v>21122</v>
      </c>
      <c r="C1974" s="1" t="s">
        <v>582</v>
      </c>
      <c r="D1974" s="1">
        <v>1</v>
      </c>
      <c r="E1974" s="3">
        <v>40148.602777777778</v>
      </c>
      <c r="F1974" s="1">
        <v>2.57</v>
      </c>
      <c r="H1974" s="1" t="s">
        <v>10</v>
      </c>
      <c r="I1974" s="1">
        <f t="shared" si="7"/>
        <v>2.57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</row>
    <row r="1975" spans="1:19" x14ac:dyDescent="0.2">
      <c r="A1975" s="1">
        <v>489597</v>
      </c>
      <c r="B1975" s="1">
        <v>21124</v>
      </c>
      <c r="C1975" s="1" t="s">
        <v>583</v>
      </c>
      <c r="D1975" s="1">
        <v>1</v>
      </c>
      <c r="E1975" s="3">
        <v>40148.602777777778</v>
      </c>
      <c r="F1975" s="1">
        <v>2.57</v>
      </c>
      <c r="H1975" s="1" t="s">
        <v>10</v>
      </c>
      <c r="I1975" s="1">
        <f t="shared" si="7"/>
        <v>2.57</v>
      </c>
      <c r="J1975" s="2"/>
      <c r="K1975" s="2"/>
      <c r="L1975" s="2"/>
      <c r="M1975" s="2"/>
      <c r="N1975" s="2"/>
      <c r="O1975" s="2"/>
      <c r="P1975" s="2"/>
      <c r="Q1975" s="2"/>
      <c r="R1975" s="2"/>
      <c r="S1975" s="2"/>
    </row>
    <row r="1976" spans="1:19" x14ac:dyDescent="0.2">
      <c r="A1976" s="1">
        <v>489597</v>
      </c>
      <c r="B1976" s="1">
        <v>21134</v>
      </c>
      <c r="C1976" s="1" t="s">
        <v>1255</v>
      </c>
      <c r="D1976" s="1">
        <v>1</v>
      </c>
      <c r="E1976" s="3">
        <v>40148.602777777778</v>
      </c>
      <c r="F1976" s="1">
        <v>26.04</v>
      </c>
      <c r="H1976" s="1" t="s">
        <v>10</v>
      </c>
      <c r="I1976" s="1">
        <f t="shared" si="7"/>
        <v>26.04</v>
      </c>
      <c r="J1976" s="2"/>
      <c r="K1976" s="2"/>
      <c r="L1976" s="2"/>
      <c r="M1976" s="2"/>
      <c r="N1976" s="2"/>
      <c r="O1976" s="2"/>
      <c r="P1976" s="2"/>
      <c r="Q1976" s="2"/>
      <c r="R1976" s="2"/>
      <c r="S1976" s="2"/>
    </row>
    <row r="1977" spans="1:19" x14ac:dyDescent="0.2">
      <c r="A1977" s="1">
        <v>489597</v>
      </c>
      <c r="B1977" s="1">
        <v>21143</v>
      </c>
      <c r="C1977" s="1" t="s">
        <v>448</v>
      </c>
      <c r="D1977" s="1">
        <v>1</v>
      </c>
      <c r="E1977" s="3">
        <v>40148.602777777778</v>
      </c>
      <c r="F1977" s="1">
        <v>4.3</v>
      </c>
      <c r="H1977" s="1" t="s">
        <v>10</v>
      </c>
      <c r="I1977" s="1">
        <f t="shared" si="7"/>
        <v>4.3</v>
      </c>
      <c r="J1977" s="2"/>
      <c r="K1977" s="2"/>
      <c r="L1977" s="2"/>
      <c r="M1977" s="2"/>
      <c r="N1977" s="2"/>
      <c r="O1977" s="2"/>
      <c r="P1977" s="2"/>
      <c r="Q1977" s="2"/>
      <c r="R1977" s="2"/>
      <c r="S1977" s="2"/>
    </row>
    <row r="1978" spans="1:19" x14ac:dyDescent="0.2">
      <c r="A1978" s="1">
        <v>489597</v>
      </c>
      <c r="B1978" s="1">
        <v>21145</v>
      </c>
      <c r="C1978" s="1" t="s">
        <v>1256</v>
      </c>
      <c r="D1978" s="1">
        <v>1</v>
      </c>
      <c r="E1978" s="3">
        <v>40148.602777777778</v>
      </c>
      <c r="F1978" s="1">
        <v>14.74</v>
      </c>
      <c r="H1978" s="1" t="s">
        <v>10</v>
      </c>
      <c r="I1978" s="1">
        <f t="shared" si="7"/>
        <v>14.74</v>
      </c>
      <c r="J1978" s="2"/>
      <c r="K1978" s="2"/>
      <c r="L1978" s="2"/>
      <c r="M1978" s="2"/>
      <c r="N1978" s="2"/>
      <c r="O1978" s="2"/>
      <c r="P1978" s="2"/>
      <c r="Q1978" s="2"/>
      <c r="R1978" s="2"/>
      <c r="S1978" s="2"/>
    </row>
    <row r="1979" spans="1:19" x14ac:dyDescent="0.2">
      <c r="A1979" s="1">
        <v>489597</v>
      </c>
      <c r="B1979" s="1">
        <v>21160</v>
      </c>
      <c r="C1979" s="1" t="s">
        <v>1257</v>
      </c>
      <c r="D1979" s="1">
        <v>1</v>
      </c>
      <c r="E1979" s="3">
        <v>40148.602777777778</v>
      </c>
      <c r="F1979" s="1">
        <v>3.43</v>
      </c>
      <c r="H1979" s="1" t="s">
        <v>10</v>
      </c>
      <c r="I1979" s="1">
        <f t="shared" si="7"/>
        <v>3.43</v>
      </c>
      <c r="J1979" s="2"/>
      <c r="K1979" s="2"/>
      <c r="L1979" s="2"/>
      <c r="M1979" s="2"/>
      <c r="N1979" s="2"/>
      <c r="O1979" s="2"/>
      <c r="P1979" s="2"/>
      <c r="Q1979" s="2"/>
      <c r="R1979" s="2"/>
      <c r="S1979" s="2"/>
    </row>
    <row r="1980" spans="1:19" x14ac:dyDescent="0.2">
      <c r="A1980" s="1">
        <v>489597</v>
      </c>
      <c r="B1980" s="1">
        <v>21164</v>
      </c>
      <c r="C1980" s="1" t="s">
        <v>1258</v>
      </c>
      <c r="D1980" s="1">
        <v>1</v>
      </c>
      <c r="E1980" s="3">
        <v>40148.602777777778</v>
      </c>
      <c r="F1980" s="1">
        <v>6.04</v>
      </c>
      <c r="H1980" s="1" t="s">
        <v>10</v>
      </c>
      <c r="I1980" s="1">
        <f t="shared" si="7"/>
        <v>6.04</v>
      </c>
      <c r="J1980" s="2"/>
      <c r="K1980" s="2"/>
      <c r="L1980" s="2"/>
      <c r="M1980" s="2"/>
      <c r="N1980" s="2"/>
      <c r="O1980" s="2"/>
      <c r="P1980" s="2"/>
      <c r="Q1980" s="2"/>
      <c r="R1980" s="2"/>
      <c r="S1980" s="2"/>
    </row>
    <row r="1981" spans="1:19" x14ac:dyDescent="0.2">
      <c r="A1981" s="1">
        <v>489597</v>
      </c>
      <c r="B1981" s="1">
        <v>21173</v>
      </c>
      <c r="C1981" s="1" t="s">
        <v>559</v>
      </c>
      <c r="D1981" s="1">
        <v>1</v>
      </c>
      <c r="E1981" s="3">
        <v>40148.602777777778</v>
      </c>
      <c r="F1981" s="1">
        <v>4.3</v>
      </c>
      <c r="H1981" s="1" t="s">
        <v>10</v>
      </c>
      <c r="I1981" s="1">
        <f t="shared" si="7"/>
        <v>4.3</v>
      </c>
      <c r="J1981" s="2"/>
      <c r="K1981" s="2"/>
      <c r="L1981" s="2"/>
      <c r="M1981" s="2"/>
      <c r="N1981" s="2"/>
      <c r="O1981" s="2"/>
      <c r="P1981" s="2"/>
      <c r="Q1981" s="2"/>
      <c r="R1981" s="2"/>
      <c r="S1981" s="2"/>
    </row>
    <row r="1982" spans="1:19" x14ac:dyDescent="0.2">
      <c r="A1982" s="1">
        <v>489597</v>
      </c>
      <c r="B1982" s="1">
        <v>21181</v>
      </c>
      <c r="C1982" s="1" t="s">
        <v>34</v>
      </c>
      <c r="D1982" s="1">
        <v>1</v>
      </c>
      <c r="E1982" s="3">
        <v>40148.602777777778</v>
      </c>
      <c r="F1982" s="1">
        <v>4.3</v>
      </c>
      <c r="H1982" s="1" t="s">
        <v>10</v>
      </c>
      <c r="I1982" s="1">
        <f t="shared" si="7"/>
        <v>4.3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</row>
    <row r="1983" spans="1:19" x14ac:dyDescent="0.2">
      <c r="A1983" s="1">
        <v>489597</v>
      </c>
      <c r="B1983" s="1">
        <v>21198</v>
      </c>
      <c r="C1983" s="1" t="s">
        <v>1259</v>
      </c>
      <c r="D1983" s="1">
        <v>1</v>
      </c>
      <c r="E1983" s="3">
        <v>40148.602777777778</v>
      </c>
      <c r="F1983" s="1">
        <v>3.43</v>
      </c>
      <c r="H1983" s="1" t="s">
        <v>10</v>
      </c>
      <c r="I1983" s="1">
        <f t="shared" si="7"/>
        <v>3.43</v>
      </c>
      <c r="J1983" s="2"/>
      <c r="K1983" s="2"/>
      <c r="L1983" s="2"/>
      <c r="M1983" s="2"/>
      <c r="N1983" s="2"/>
      <c r="O1983" s="2"/>
      <c r="P1983" s="2"/>
      <c r="Q1983" s="2"/>
      <c r="R1983" s="2"/>
      <c r="S1983" s="2"/>
    </row>
    <row r="1984" spans="1:19" x14ac:dyDescent="0.2">
      <c r="A1984" s="1">
        <v>489597</v>
      </c>
      <c r="B1984" s="1">
        <v>21213</v>
      </c>
      <c r="C1984" s="1" t="s">
        <v>1126</v>
      </c>
      <c r="D1984" s="1">
        <v>1</v>
      </c>
      <c r="E1984" s="3">
        <v>40148.602777777778</v>
      </c>
      <c r="F1984" s="1">
        <v>1.3</v>
      </c>
      <c r="H1984" s="1" t="s">
        <v>10</v>
      </c>
      <c r="I1984" s="1">
        <f t="shared" si="7"/>
        <v>1.3</v>
      </c>
      <c r="J1984" s="2"/>
      <c r="K1984" s="2"/>
      <c r="L1984" s="2"/>
      <c r="M1984" s="2"/>
      <c r="N1984" s="2"/>
      <c r="O1984" s="2"/>
      <c r="P1984" s="2"/>
      <c r="Q1984" s="2"/>
      <c r="R1984" s="2"/>
      <c r="S1984" s="2"/>
    </row>
    <row r="1985" spans="1:19" x14ac:dyDescent="0.2">
      <c r="A1985" s="1">
        <v>489597</v>
      </c>
      <c r="B1985" s="1">
        <v>21218</v>
      </c>
      <c r="C1985" s="1" t="s">
        <v>989</v>
      </c>
      <c r="D1985" s="1">
        <v>1</v>
      </c>
      <c r="E1985" s="3">
        <v>40148.602777777778</v>
      </c>
      <c r="F1985" s="1">
        <v>8.65</v>
      </c>
      <c r="H1985" s="1" t="s">
        <v>10</v>
      </c>
      <c r="I1985" s="1">
        <f t="shared" si="7"/>
        <v>8.65</v>
      </c>
      <c r="J1985" s="2"/>
      <c r="K1985" s="2"/>
      <c r="L1985" s="2"/>
      <c r="M1985" s="2"/>
      <c r="N1985" s="2"/>
      <c r="O1985" s="2"/>
      <c r="P1985" s="2"/>
      <c r="Q1985" s="2"/>
      <c r="R1985" s="2"/>
      <c r="S1985" s="2"/>
    </row>
    <row r="1986" spans="1:19" x14ac:dyDescent="0.2">
      <c r="A1986" s="1">
        <v>489597</v>
      </c>
      <c r="B1986" s="1">
        <v>21255</v>
      </c>
      <c r="C1986" s="1" t="s">
        <v>1260</v>
      </c>
      <c r="D1986" s="1">
        <v>1</v>
      </c>
      <c r="E1986" s="3">
        <v>40148.602777777778</v>
      </c>
      <c r="F1986" s="1">
        <v>3.43</v>
      </c>
      <c r="H1986" s="1" t="s">
        <v>10</v>
      </c>
      <c r="I1986" s="1">
        <f t="shared" si="7"/>
        <v>3.43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/>
    </row>
    <row r="1987" spans="1:19" x14ac:dyDescent="0.2">
      <c r="A1987" s="1">
        <v>489597</v>
      </c>
      <c r="B1987" s="1">
        <v>21259</v>
      </c>
      <c r="C1987" s="1" t="s">
        <v>1261</v>
      </c>
      <c r="D1987" s="1">
        <v>1</v>
      </c>
      <c r="E1987" s="3">
        <v>40148.602777777778</v>
      </c>
      <c r="F1987" s="1">
        <v>13</v>
      </c>
      <c r="H1987" s="1" t="s">
        <v>10</v>
      </c>
      <c r="I1987" s="1">
        <f t="shared" si="7"/>
        <v>13</v>
      </c>
      <c r="J1987" s="2"/>
      <c r="K1987" s="2"/>
      <c r="L1987" s="2"/>
      <c r="M1987" s="2"/>
      <c r="N1987" s="2"/>
      <c r="O1987" s="2"/>
      <c r="P1987" s="2"/>
      <c r="Q1987" s="2"/>
      <c r="R1987" s="2"/>
      <c r="S1987" s="2"/>
    </row>
    <row r="1988" spans="1:19" x14ac:dyDescent="0.2">
      <c r="A1988" s="1">
        <v>489597</v>
      </c>
      <c r="B1988" s="1">
        <v>21266</v>
      </c>
      <c r="C1988" s="1" t="s">
        <v>1262</v>
      </c>
      <c r="D1988" s="1">
        <v>1</v>
      </c>
      <c r="E1988" s="3">
        <v>40148.602777777778</v>
      </c>
      <c r="F1988" s="1">
        <v>4.3</v>
      </c>
      <c r="H1988" s="1" t="s">
        <v>10</v>
      </c>
      <c r="I1988" s="1">
        <f t="shared" si="7"/>
        <v>4.3</v>
      </c>
      <c r="J1988" s="2"/>
      <c r="K1988" s="2"/>
      <c r="L1988" s="2"/>
      <c r="M1988" s="2"/>
      <c r="N1988" s="2"/>
      <c r="O1988" s="2"/>
      <c r="P1988" s="2"/>
      <c r="Q1988" s="2"/>
      <c r="R1988" s="2"/>
      <c r="S1988" s="2"/>
    </row>
    <row r="1989" spans="1:19" x14ac:dyDescent="0.2">
      <c r="A1989" s="1">
        <v>489597</v>
      </c>
      <c r="B1989" s="1">
        <v>21283</v>
      </c>
      <c r="C1989" s="1" t="s">
        <v>1263</v>
      </c>
      <c r="D1989" s="1">
        <v>1</v>
      </c>
      <c r="E1989" s="3">
        <v>40148.602777777778</v>
      </c>
      <c r="F1989" s="1">
        <v>6.91</v>
      </c>
      <c r="H1989" s="1" t="s">
        <v>10</v>
      </c>
      <c r="I1989" s="1">
        <f t="shared" si="7"/>
        <v>6.91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</row>
    <row r="1990" spans="1:19" x14ac:dyDescent="0.2">
      <c r="A1990" s="1">
        <v>489597</v>
      </c>
      <c r="B1990" s="1">
        <v>21284</v>
      </c>
      <c r="C1990" s="1" t="s">
        <v>1264</v>
      </c>
      <c r="D1990" s="1">
        <v>1</v>
      </c>
      <c r="E1990" s="3">
        <v>40148.602777777778</v>
      </c>
      <c r="F1990" s="1">
        <v>3.43</v>
      </c>
      <c r="H1990" s="1" t="s">
        <v>10</v>
      </c>
      <c r="I1990" s="1">
        <f t="shared" si="7"/>
        <v>3.43</v>
      </c>
      <c r="J1990" s="2"/>
      <c r="K1990" s="2"/>
      <c r="L1990" s="2"/>
      <c r="M1990" s="2"/>
      <c r="N1990" s="2"/>
      <c r="O1990" s="2"/>
      <c r="P1990" s="2"/>
      <c r="Q1990" s="2"/>
      <c r="R1990" s="2"/>
      <c r="S1990" s="2"/>
    </row>
    <row r="1991" spans="1:19" x14ac:dyDescent="0.2">
      <c r="A1991" s="1">
        <v>489597</v>
      </c>
      <c r="B1991" s="1">
        <v>21328</v>
      </c>
      <c r="C1991" s="1" t="s">
        <v>1265</v>
      </c>
      <c r="D1991" s="1">
        <v>1</v>
      </c>
      <c r="E1991" s="3">
        <v>40148.602777777778</v>
      </c>
      <c r="F1991" s="1">
        <v>3.43</v>
      </c>
      <c r="H1991" s="1" t="s">
        <v>10</v>
      </c>
      <c r="I1991" s="1">
        <f t="shared" si="7"/>
        <v>3.43</v>
      </c>
      <c r="J1991" s="2"/>
      <c r="K1991" s="2"/>
      <c r="L1991" s="2"/>
      <c r="M1991" s="2"/>
      <c r="N1991" s="2"/>
      <c r="O1991" s="2"/>
      <c r="P1991" s="2"/>
      <c r="Q1991" s="2"/>
      <c r="R1991" s="2"/>
      <c r="S1991" s="2"/>
    </row>
    <row r="1992" spans="1:19" x14ac:dyDescent="0.2">
      <c r="A1992" s="1">
        <v>489597</v>
      </c>
      <c r="B1992" s="1">
        <v>21348</v>
      </c>
      <c r="C1992" s="1" t="s">
        <v>1266</v>
      </c>
      <c r="D1992" s="1">
        <v>1</v>
      </c>
      <c r="E1992" s="3">
        <v>40148.602777777778</v>
      </c>
      <c r="F1992" s="1">
        <v>6.04</v>
      </c>
      <c r="H1992" s="1" t="s">
        <v>10</v>
      </c>
      <c r="I1992" s="1">
        <f t="shared" si="7"/>
        <v>6.04</v>
      </c>
      <c r="J1992" s="2"/>
      <c r="K1992" s="2"/>
      <c r="L1992" s="2"/>
      <c r="M1992" s="2"/>
      <c r="N1992" s="2"/>
      <c r="O1992" s="2"/>
      <c r="P1992" s="2"/>
      <c r="Q1992" s="2"/>
      <c r="R1992" s="2"/>
      <c r="S1992" s="2"/>
    </row>
    <row r="1993" spans="1:19" x14ac:dyDescent="0.2">
      <c r="A1993" s="1">
        <v>489597</v>
      </c>
      <c r="B1993" s="1">
        <v>21379</v>
      </c>
      <c r="C1993" s="1" t="s">
        <v>706</v>
      </c>
      <c r="D1993" s="1">
        <v>1</v>
      </c>
      <c r="E1993" s="3">
        <v>40148.602777777778</v>
      </c>
      <c r="F1993" s="1">
        <v>2.57</v>
      </c>
      <c r="H1993" s="1" t="s">
        <v>10</v>
      </c>
      <c r="I1993" s="1">
        <f t="shared" si="7"/>
        <v>2.57</v>
      </c>
      <c r="J1993" s="2"/>
      <c r="K1993" s="2"/>
      <c r="L1993" s="2"/>
      <c r="M1993" s="2"/>
      <c r="N1993" s="2"/>
      <c r="O1993" s="2"/>
      <c r="P1993" s="2"/>
      <c r="Q1993" s="2"/>
      <c r="R1993" s="2"/>
      <c r="S1993" s="2"/>
    </row>
    <row r="1994" spans="1:19" x14ac:dyDescent="0.2">
      <c r="A1994" s="1">
        <v>489597</v>
      </c>
      <c r="B1994" s="1">
        <v>21412</v>
      </c>
      <c r="C1994" s="1" t="s">
        <v>1115</v>
      </c>
      <c r="D1994" s="1">
        <v>1</v>
      </c>
      <c r="E1994" s="3">
        <v>40148.602777777778</v>
      </c>
      <c r="F1994" s="1">
        <v>4.3</v>
      </c>
      <c r="H1994" s="1" t="s">
        <v>10</v>
      </c>
      <c r="I1994" s="1">
        <f t="shared" si="7"/>
        <v>4.3</v>
      </c>
      <c r="J1994" s="2"/>
      <c r="K1994" s="2"/>
      <c r="L1994" s="2"/>
      <c r="M1994" s="2"/>
      <c r="N1994" s="2"/>
      <c r="O1994" s="2"/>
      <c r="P1994" s="2"/>
      <c r="Q1994" s="2"/>
      <c r="R1994" s="2"/>
      <c r="S1994" s="2"/>
    </row>
    <row r="1995" spans="1:19" x14ac:dyDescent="0.2">
      <c r="A1995" s="1">
        <v>489597</v>
      </c>
      <c r="B1995" s="1">
        <v>21429</v>
      </c>
      <c r="C1995" s="1" t="s">
        <v>569</v>
      </c>
      <c r="D1995" s="1">
        <v>1</v>
      </c>
      <c r="E1995" s="3">
        <v>40148.602777777778</v>
      </c>
      <c r="F1995" s="1">
        <v>3.43</v>
      </c>
      <c r="H1995" s="1" t="s">
        <v>10</v>
      </c>
      <c r="I1995" s="1">
        <f t="shared" si="7"/>
        <v>3.43</v>
      </c>
      <c r="J1995" s="2"/>
      <c r="K1995" s="2"/>
      <c r="L1995" s="2"/>
      <c r="M1995" s="2"/>
      <c r="N1995" s="2"/>
      <c r="O1995" s="2"/>
      <c r="P1995" s="2"/>
      <c r="Q1995" s="2"/>
      <c r="R1995" s="2"/>
      <c r="S1995" s="2"/>
    </row>
    <row r="1996" spans="1:19" x14ac:dyDescent="0.2">
      <c r="A1996" s="1">
        <v>489597</v>
      </c>
      <c r="B1996" s="1">
        <v>21431</v>
      </c>
      <c r="C1996" s="1" t="s">
        <v>570</v>
      </c>
      <c r="D1996" s="1">
        <v>1</v>
      </c>
      <c r="E1996" s="3">
        <v>40148.602777777778</v>
      </c>
      <c r="F1996" s="1">
        <v>3.43</v>
      </c>
      <c r="H1996" s="1" t="s">
        <v>10</v>
      </c>
      <c r="I1996" s="1">
        <f t="shared" si="7"/>
        <v>3.43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</row>
    <row r="1997" spans="1:19" x14ac:dyDescent="0.2">
      <c r="A1997" s="1">
        <v>489597</v>
      </c>
      <c r="B1997" s="1">
        <v>21444</v>
      </c>
      <c r="C1997" s="1" t="s">
        <v>1267</v>
      </c>
      <c r="D1997" s="1">
        <v>1</v>
      </c>
      <c r="E1997" s="3">
        <v>40148.602777777778</v>
      </c>
      <c r="F1997" s="1">
        <v>7.78</v>
      </c>
      <c r="H1997" s="1" t="s">
        <v>10</v>
      </c>
      <c r="I1997" s="1">
        <f t="shared" si="7"/>
        <v>7.78</v>
      </c>
      <c r="J1997" s="2"/>
      <c r="K1997" s="2"/>
      <c r="L1997" s="2"/>
      <c r="M1997" s="2"/>
      <c r="N1997" s="2"/>
      <c r="O1997" s="2"/>
      <c r="P1997" s="2"/>
      <c r="Q1997" s="2"/>
      <c r="R1997" s="2"/>
      <c r="S1997" s="2"/>
    </row>
    <row r="1998" spans="1:19" x14ac:dyDescent="0.2">
      <c r="A1998" s="1">
        <v>489597</v>
      </c>
      <c r="B1998" s="1">
        <v>21445</v>
      </c>
      <c r="C1998" s="1" t="s">
        <v>1268</v>
      </c>
      <c r="D1998" s="1">
        <v>1</v>
      </c>
      <c r="E1998" s="3">
        <v>40148.602777777778</v>
      </c>
      <c r="F1998" s="1">
        <v>2.57</v>
      </c>
      <c r="H1998" s="1" t="s">
        <v>10</v>
      </c>
      <c r="I1998" s="1">
        <f t="shared" si="7"/>
        <v>2.57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/>
    </row>
    <row r="1999" spans="1:19" x14ac:dyDescent="0.2">
      <c r="A1999" s="1">
        <v>489597</v>
      </c>
      <c r="B1999" s="1">
        <v>21479</v>
      </c>
      <c r="C1999" s="1" t="s">
        <v>323</v>
      </c>
      <c r="D1999" s="1">
        <v>1</v>
      </c>
      <c r="E1999" s="3">
        <v>40148.602777777778</v>
      </c>
      <c r="F1999" s="1">
        <v>7.78</v>
      </c>
      <c r="H1999" s="1" t="s">
        <v>10</v>
      </c>
      <c r="I1999" s="1">
        <f t="shared" si="7"/>
        <v>7.78</v>
      </c>
      <c r="J1999" s="2"/>
      <c r="K1999" s="2"/>
      <c r="L1999" s="2"/>
      <c r="M1999" s="2"/>
      <c r="N1999" s="2"/>
      <c r="O1999" s="2"/>
      <c r="P1999" s="2"/>
      <c r="Q1999" s="2"/>
      <c r="R1999" s="2"/>
      <c r="S1999" s="2"/>
    </row>
    <row r="2000" spans="1:19" x14ac:dyDescent="0.2">
      <c r="A2000" s="1">
        <v>489597</v>
      </c>
      <c r="B2000" s="1">
        <v>21480</v>
      </c>
      <c r="C2000" s="1" t="s">
        <v>664</v>
      </c>
      <c r="D2000" s="1">
        <v>1</v>
      </c>
      <c r="E2000" s="3">
        <v>40148.602777777778</v>
      </c>
      <c r="F2000" s="1">
        <v>6.04</v>
      </c>
      <c r="H2000" s="1" t="s">
        <v>10</v>
      </c>
      <c r="I2000" s="1">
        <f t="shared" si="7"/>
        <v>6.04</v>
      </c>
      <c r="J2000" s="2"/>
      <c r="K2000" s="2"/>
      <c r="L2000" s="2"/>
      <c r="M2000" s="2"/>
      <c r="N2000" s="2"/>
      <c r="O2000" s="2"/>
      <c r="P2000" s="2"/>
      <c r="Q2000" s="2"/>
      <c r="R2000" s="2"/>
      <c r="S2000" s="2"/>
    </row>
    <row r="2001" spans="10:19" x14ac:dyDescent="0.2">
      <c r="J2001" s="2"/>
      <c r="K2001" s="2"/>
      <c r="L2001" s="2"/>
      <c r="M2001" s="2"/>
      <c r="N2001" s="2"/>
      <c r="O2001" s="2"/>
      <c r="P2001" s="2"/>
      <c r="Q2001" s="2"/>
      <c r="R2001" s="2"/>
      <c r="S2001" s="2"/>
    </row>
    <row r="2002" spans="10:19" x14ac:dyDescent="0.2">
      <c r="J2002" s="2"/>
      <c r="K2002" s="2"/>
      <c r="L2002" s="2"/>
      <c r="M2002" s="2"/>
      <c r="N2002" s="2"/>
      <c r="O2002" s="2"/>
      <c r="P2002" s="2"/>
      <c r="Q2002" s="2"/>
      <c r="R2002" s="2"/>
      <c r="S2002" s="2"/>
    </row>
    <row r="2003" spans="10:19" x14ac:dyDescent="0.2">
      <c r="J2003" s="2"/>
      <c r="K2003" s="2"/>
      <c r="L2003" s="2"/>
      <c r="M2003" s="2"/>
      <c r="N2003" s="2"/>
      <c r="O2003" s="2"/>
      <c r="P2003" s="2"/>
      <c r="Q2003" s="2"/>
      <c r="R2003" s="2"/>
      <c r="S2003" s="2"/>
    </row>
    <row r="2004" spans="10:19" x14ac:dyDescent="0.2">
      <c r="J2004" s="2"/>
      <c r="K2004" s="2"/>
      <c r="L2004" s="2"/>
      <c r="M2004" s="2"/>
      <c r="N2004" s="2"/>
      <c r="O2004" s="2"/>
      <c r="P2004" s="2"/>
      <c r="Q2004" s="2"/>
      <c r="R2004" s="2"/>
      <c r="S2004" s="2"/>
    </row>
    <row r="2005" spans="10:19" x14ac:dyDescent="0.2">
      <c r="J2005" s="2"/>
      <c r="K2005" s="2"/>
      <c r="L2005" s="2"/>
      <c r="M2005" s="2"/>
      <c r="N2005" s="2"/>
      <c r="O2005" s="2"/>
      <c r="P2005" s="2"/>
      <c r="Q2005" s="2"/>
      <c r="R2005" s="2"/>
      <c r="S2005" s="2"/>
    </row>
    <row r="2006" spans="10:19" x14ac:dyDescent="0.2">
      <c r="J2006" s="2"/>
      <c r="K2006" s="2"/>
      <c r="L2006" s="2"/>
      <c r="M2006" s="2"/>
      <c r="N2006" s="2"/>
      <c r="O2006" s="2"/>
      <c r="P2006" s="2"/>
      <c r="Q2006" s="2"/>
      <c r="R2006" s="2"/>
      <c r="S2006" s="2"/>
    </row>
    <row r="2007" spans="10:19" x14ac:dyDescent="0.2">
      <c r="J2007" s="2"/>
      <c r="K2007" s="2"/>
      <c r="L2007" s="2"/>
      <c r="M2007" s="2"/>
      <c r="N2007" s="2"/>
      <c r="O2007" s="2"/>
      <c r="P2007" s="2"/>
      <c r="Q2007" s="2"/>
      <c r="R2007" s="2"/>
      <c r="S2007" s="2"/>
    </row>
    <row r="2008" spans="10:19" x14ac:dyDescent="0.2">
      <c r="J2008" s="2"/>
      <c r="K2008" s="2"/>
      <c r="L2008" s="2"/>
      <c r="M2008" s="2"/>
      <c r="N2008" s="2"/>
      <c r="O2008" s="2"/>
      <c r="P2008" s="2"/>
      <c r="Q2008" s="2"/>
      <c r="R2008" s="2"/>
      <c r="S2008" s="2"/>
    </row>
    <row r="2009" spans="10:19" x14ac:dyDescent="0.2">
      <c r="J2009" s="2"/>
      <c r="K2009" s="2"/>
      <c r="L2009" s="2"/>
      <c r="M2009" s="2"/>
      <c r="N2009" s="2"/>
      <c r="O2009" s="2"/>
      <c r="P2009" s="2"/>
      <c r="Q2009" s="2"/>
      <c r="R2009" s="2"/>
      <c r="S2009" s="2"/>
    </row>
    <row r="2010" spans="10:19" x14ac:dyDescent="0.2">
      <c r="J2010" s="2"/>
      <c r="K2010" s="2"/>
      <c r="L2010" s="2"/>
      <c r="M2010" s="2"/>
      <c r="N2010" s="2"/>
      <c r="O2010" s="2"/>
      <c r="P2010" s="2"/>
      <c r="Q2010" s="2"/>
      <c r="R2010" s="2"/>
      <c r="S2010" s="2"/>
    </row>
    <row r="2011" spans="10:19" x14ac:dyDescent="0.2">
      <c r="J2011" s="2"/>
      <c r="K2011" s="2"/>
      <c r="L2011" s="2"/>
      <c r="M2011" s="2"/>
      <c r="N2011" s="2"/>
      <c r="O2011" s="2"/>
      <c r="P2011" s="2"/>
      <c r="Q2011" s="2"/>
      <c r="R2011" s="2"/>
      <c r="S2011" s="2"/>
    </row>
    <row r="2012" spans="10:19" x14ac:dyDescent="0.2">
      <c r="J2012" s="2"/>
      <c r="K2012" s="2"/>
      <c r="L2012" s="2"/>
      <c r="M2012" s="2"/>
      <c r="N2012" s="2"/>
      <c r="O2012" s="2"/>
      <c r="P2012" s="2"/>
      <c r="Q2012" s="2"/>
      <c r="R2012" s="2"/>
      <c r="S2012" s="2"/>
    </row>
    <row r="2013" spans="10:19" x14ac:dyDescent="0.2">
      <c r="J2013" s="2"/>
      <c r="K2013" s="2"/>
      <c r="L2013" s="2"/>
      <c r="M2013" s="2"/>
      <c r="N2013" s="2"/>
      <c r="O2013" s="2"/>
      <c r="P2013" s="2"/>
      <c r="Q2013" s="2"/>
      <c r="R2013" s="2"/>
      <c r="S2013" s="2"/>
    </row>
    <row r="2014" spans="10:19" x14ac:dyDescent="0.2">
      <c r="J2014" s="2"/>
      <c r="K2014" s="2"/>
      <c r="L2014" s="2"/>
      <c r="M2014" s="2"/>
      <c r="N2014" s="2"/>
      <c r="O2014" s="2"/>
      <c r="P2014" s="2"/>
      <c r="Q2014" s="2"/>
      <c r="R2014" s="2"/>
      <c r="S2014" s="2"/>
    </row>
    <row r="2015" spans="10:19" x14ac:dyDescent="0.2">
      <c r="J2015" s="2"/>
      <c r="K2015" s="2"/>
      <c r="L2015" s="2"/>
      <c r="M2015" s="2"/>
      <c r="N2015" s="2"/>
      <c r="O2015" s="2"/>
      <c r="P2015" s="2"/>
      <c r="Q2015" s="2"/>
      <c r="R2015" s="2"/>
      <c r="S2015" s="2"/>
    </row>
    <row r="2016" spans="10:19" x14ac:dyDescent="0.2">
      <c r="J2016" s="2"/>
      <c r="K2016" s="2"/>
      <c r="L2016" s="2"/>
      <c r="M2016" s="2"/>
      <c r="N2016" s="2"/>
      <c r="O2016" s="2"/>
      <c r="P2016" s="2"/>
      <c r="Q2016" s="2"/>
      <c r="R2016" s="2"/>
      <c r="S2016" s="2"/>
    </row>
    <row r="2017" spans="10:19" x14ac:dyDescent="0.2">
      <c r="J2017" s="2"/>
      <c r="K2017" s="2"/>
      <c r="L2017" s="2"/>
      <c r="M2017" s="2"/>
      <c r="N2017" s="2"/>
      <c r="O2017" s="2"/>
      <c r="P2017" s="2"/>
      <c r="Q2017" s="2"/>
      <c r="R2017" s="2"/>
      <c r="S2017" s="2"/>
    </row>
    <row r="2018" spans="10:19" x14ac:dyDescent="0.2">
      <c r="J2018" s="2"/>
      <c r="K2018" s="2"/>
      <c r="L2018" s="2"/>
      <c r="M2018" s="2"/>
      <c r="N2018" s="2"/>
      <c r="O2018" s="2"/>
      <c r="P2018" s="2"/>
      <c r="Q2018" s="2"/>
      <c r="R2018" s="2"/>
      <c r="S2018" s="2"/>
    </row>
    <row r="2019" spans="10:19" x14ac:dyDescent="0.2">
      <c r="J2019" s="2"/>
      <c r="K2019" s="2"/>
      <c r="L2019" s="2"/>
      <c r="M2019" s="2"/>
      <c r="N2019" s="2"/>
      <c r="O2019" s="2"/>
      <c r="P2019" s="2"/>
      <c r="Q2019" s="2"/>
      <c r="R2019" s="2"/>
      <c r="S2019" s="2"/>
    </row>
    <row r="2020" spans="10:19" x14ac:dyDescent="0.2">
      <c r="J2020" s="2"/>
      <c r="K2020" s="2"/>
      <c r="L2020" s="2"/>
      <c r="M2020" s="2"/>
      <c r="N2020" s="2"/>
      <c r="O2020" s="2"/>
      <c r="P2020" s="2"/>
      <c r="Q2020" s="2"/>
      <c r="R2020" s="2"/>
      <c r="S2020" s="2"/>
    </row>
    <row r="2021" spans="10:19" x14ac:dyDescent="0.2">
      <c r="J2021" s="2"/>
      <c r="K2021" s="2"/>
      <c r="L2021" s="2"/>
      <c r="M2021" s="2"/>
      <c r="N2021" s="2"/>
      <c r="O2021" s="2"/>
      <c r="P2021" s="2"/>
      <c r="Q2021" s="2"/>
      <c r="R2021" s="2"/>
      <c r="S2021" s="2"/>
    </row>
    <row r="2022" spans="10:19" x14ac:dyDescent="0.2">
      <c r="J2022" s="2"/>
      <c r="K2022" s="2"/>
      <c r="L2022" s="2"/>
      <c r="M2022" s="2"/>
      <c r="N2022" s="2"/>
      <c r="O2022" s="2"/>
      <c r="P2022" s="2"/>
      <c r="Q2022" s="2"/>
      <c r="R2022" s="2"/>
      <c r="S2022" s="2"/>
    </row>
    <row r="2023" spans="10:19" x14ac:dyDescent="0.2">
      <c r="J2023" s="2"/>
      <c r="K2023" s="2"/>
      <c r="L2023" s="2"/>
      <c r="M2023" s="2"/>
      <c r="N2023" s="2"/>
      <c r="O2023" s="2"/>
      <c r="P2023" s="2"/>
      <c r="Q2023" s="2"/>
      <c r="R2023" s="2"/>
      <c r="S2023" s="2"/>
    </row>
    <row r="2024" spans="10:19" x14ac:dyDescent="0.2">
      <c r="J2024" s="2"/>
      <c r="K2024" s="2"/>
      <c r="L2024" s="2"/>
      <c r="M2024" s="2"/>
      <c r="N2024" s="2"/>
      <c r="O2024" s="2"/>
      <c r="P2024" s="2"/>
      <c r="Q2024" s="2"/>
      <c r="R2024" s="2"/>
      <c r="S2024" s="2"/>
    </row>
    <row r="2025" spans="10:19" x14ac:dyDescent="0.2">
      <c r="J2025" s="2"/>
      <c r="K2025" s="2"/>
      <c r="L2025" s="2"/>
      <c r="M2025" s="2"/>
      <c r="N2025" s="2"/>
      <c r="O2025" s="2"/>
      <c r="P2025" s="2"/>
      <c r="Q2025" s="2"/>
      <c r="R2025" s="2"/>
      <c r="S2025" s="2"/>
    </row>
    <row r="2026" spans="10:19" x14ac:dyDescent="0.2">
      <c r="J2026" s="2"/>
      <c r="K2026" s="2"/>
      <c r="L2026" s="2"/>
      <c r="M2026" s="2"/>
      <c r="N2026" s="2"/>
      <c r="O2026" s="2"/>
      <c r="P2026" s="2"/>
      <c r="Q2026" s="2"/>
      <c r="R2026" s="2"/>
      <c r="S2026" s="2"/>
    </row>
    <row r="2027" spans="10:19" x14ac:dyDescent="0.2">
      <c r="J2027" s="2"/>
      <c r="K2027" s="2"/>
      <c r="L2027" s="2"/>
      <c r="M2027" s="2"/>
      <c r="N2027" s="2"/>
      <c r="O2027" s="2"/>
      <c r="P2027" s="2"/>
      <c r="Q2027" s="2"/>
      <c r="R2027" s="2"/>
      <c r="S2027" s="2"/>
    </row>
    <row r="2028" spans="10:19" x14ac:dyDescent="0.2">
      <c r="J2028" s="2"/>
      <c r="K2028" s="2"/>
      <c r="L2028" s="2"/>
      <c r="M2028" s="2"/>
      <c r="N2028" s="2"/>
      <c r="O2028" s="2"/>
      <c r="P2028" s="2"/>
      <c r="Q2028" s="2"/>
      <c r="R2028" s="2"/>
      <c r="S2028" s="2"/>
    </row>
    <row r="2029" spans="10:19" x14ac:dyDescent="0.2">
      <c r="J2029" s="2"/>
      <c r="K2029" s="2"/>
      <c r="L2029" s="2"/>
      <c r="M2029" s="2"/>
      <c r="N2029" s="2"/>
      <c r="O2029" s="2"/>
      <c r="P2029" s="2"/>
      <c r="Q2029" s="2"/>
      <c r="R2029" s="2"/>
      <c r="S2029" s="2"/>
    </row>
    <row r="2030" spans="10:19" x14ac:dyDescent="0.2">
      <c r="J2030" s="2"/>
      <c r="K2030" s="2"/>
      <c r="L2030" s="2"/>
      <c r="M2030" s="2"/>
      <c r="N2030" s="2"/>
      <c r="O2030" s="2"/>
      <c r="P2030" s="2"/>
      <c r="Q2030" s="2"/>
      <c r="R2030" s="2"/>
      <c r="S2030" s="2"/>
    </row>
    <row r="2031" spans="10:19" x14ac:dyDescent="0.2">
      <c r="J2031" s="2"/>
      <c r="K2031" s="2"/>
      <c r="L2031" s="2"/>
      <c r="M2031" s="2"/>
      <c r="N2031" s="2"/>
      <c r="O2031" s="2"/>
      <c r="P2031" s="2"/>
      <c r="Q2031" s="2"/>
      <c r="R2031" s="2"/>
      <c r="S2031" s="2"/>
    </row>
    <row r="2032" spans="10:19" x14ac:dyDescent="0.2">
      <c r="J2032" s="2"/>
      <c r="K2032" s="2"/>
      <c r="L2032" s="2"/>
      <c r="M2032" s="2"/>
      <c r="N2032" s="2"/>
      <c r="O2032" s="2"/>
      <c r="P2032" s="2"/>
      <c r="Q2032" s="2"/>
      <c r="R2032" s="2"/>
      <c r="S2032" s="2"/>
    </row>
    <row r="2033" spans="10:19" x14ac:dyDescent="0.2">
      <c r="J2033" s="2"/>
      <c r="K2033" s="2"/>
      <c r="L2033" s="2"/>
      <c r="M2033" s="2"/>
      <c r="N2033" s="2"/>
      <c r="O2033" s="2"/>
      <c r="P2033" s="2"/>
      <c r="Q2033" s="2"/>
      <c r="R2033" s="2"/>
      <c r="S2033" s="2"/>
    </row>
    <row r="2034" spans="10:19" x14ac:dyDescent="0.2">
      <c r="J2034" s="2"/>
      <c r="K2034" s="2"/>
      <c r="L2034" s="2"/>
      <c r="M2034" s="2"/>
      <c r="N2034" s="2"/>
      <c r="O2034" s="2"/>
      <c r="P2034" s="2"/>
      <c r="Q2034" s="2"/>
      <c r="R2034" s="2"/>
      <c r="S2034" s="2"/>
    </row>
    <row r="2035" spans="10:19" x14ac:dyDescent="0.2">
      <c r="J2035" s="2"/>
      <c r="K2035" s="2"/>
      <c r="L2035" s="2"/>
      <c r="M2035" s="2"/>
      <c r="N2035" s="2"/>
      <c r="O2035" s="2"/>
      <c r="P2035" s="2"/>
      <c r="Q2035" s="2"/>
      <c r="R2035" s="2"/>
      <c r="S2035" s="2"/>
    </row>
    <row r="2036" spans="10:19" x14ac:dyDescent="0.2">
      <c r="J2036" s="2"/>
      <c r="K2036" s="2"/>
      <c r="L2036" s="2"/>
      <c r="M2036" s="2"/>
      <c r="N2036" s="2"/>
      <c r="O2036" s="2"/>
      <c r="P2036" s="2"/>
      <c r="Q2036" s="2"/>
      <c r="R2036" s="2"/>
      <c r="S2036" s="2"/>
    </row>
    <row r="2037" spans="10:19" x14ac:dyDescent="0.2">
      <c r="J2037" s="2"/>
      <c r="K2037" s="2"/>
      <c r="L2037" s="2"/>
      <c r="M2037" s="2"/>
      <c r="N2037" s="2"/>
      <c r="O2037" s="2"/>
      <c r="P2037" s="2"/>
      <c r="Q2037" s="2"/>
      <c r="R2037" s="2"/>
      <c r="S2037" s="2"/>
    </row>
    <row r="2038" spans="10:19" x14ac:dyDescent="0.2">
      <c r="J2038" s="2"/>
      <c r="K2038" s="2"/>
      <c r="L2038" s="2"/>
      <c r="M2038" s="2"/>
      <c r="N2038" s="2"/>
      <c r="O2038" s="2"/>
      <c r="P2038" s="2"/>
      <c r="Q2038" s="2"/>
      <c r="R2038" s="2"/>
      <c r="S2038" s="2"/>
    </row>
    <row r="2039" spans="10:19" x14ac:dyDescent="0.2">
      <c r="J2039" s="2"/>
      <c r="K2039" s="2"/>
      <c r="L2039" s="2"/>
      <c r="M2039" s="2"/>
      <c r="N2039" s="2"/>
      <c r="O2039" s="2"/>
      <c r="P2039" s="2"/>
      <c r="Q2039" s="2"/>
      <c r="R2039" s="2"/>
      <c r="S2039" s="2"/>
    </row>
    <row r="2040" spans="10:19" x14ac:dyDescent="0.2">
      <c r="J2040" s="2"/>
      <c r="K2040" s="2"/>
      <c r="L2040" s="2"/>
      <c r="M2040" s="2"/>
      <c r="N2040" s="2"/>
      <c r="O2040" s="2"/>
      <c r="P2040" s="2"/>
      <c r="Q2040" s="2"/>
      <c r="R2040" s="2"/>
      <c r="S2040" s="2"/>
    </row>
    <row r="2041" spans="10:19" x14ac:dyDescent="0.2">
      <c r="J2041" s="2"/>
      <c r="K2041" s="2"/>
      <c r="L2041" s="2"/>
      <c r="M2041" s="2"/>
      <c r="N2041" s="2"/>
      <c r="O2041" s="2"/>
      <c r="P2041" s="2"/>
      <c r="Q2041" s="2"/>
      <c r="R2041" s="2"/>
      <c r="S2041" s="2"/>
    </row>
    <row r="2042" spans="10:19" x14ac:dyDescent="0.2">
      <c r="J2042" s="2"/>
      <c r="K2042" s="2"/>
      <c r="L2042" s="2"/>
      <c r="M2042" s="2"/>
      <c r="N2042" s="2"/>
      <c r="O2042" s="2"/>
      <c r="P2042" s="2"/>
      <c r="Q2042" s="2"/>
      <c r="R2042" s="2"/>
      <c r="S2042" s="2"/>
    </row>
    <row r="2043" spans="10:19" x14ac:dyDescent="0.2">
      <c r="J2043" s="2"/>
      <c r="K2043" s="2"/>
      <c r="L2043" s="2"/>
      <c r="M2043" s="2"/>
      <c r="N2043" s="2"/>
      <c r="O2043" s="2"/>
      <c r="P2043" s="2"/>
      <c r="Q2043" s="2"/>
      <c r="R2043" s="2"/>
      <c r="S2043" s="2"/>
    </row>
    <row r="2044" spans="10:19" x14ac:dyDescent="0.2">
      <c r="J2044" s="2"/>
      <c r="K2044" s="2"/>
      <c r="L2044" s="2"/>
      <c r="M2044" s="2"/>
      <c r="N2044" s="2"/>
      <c r="O2044" s="2"/>
      <c r="P2044" s="2"/>
      <c r="Q2044" s="2"/>
      <c r="R2044" s="2"/>
      <c r="S2044" s="2"/>
    </row>
    <row r="2045" spans="10:19" x14ac:dyDescent="0.2">
      <c r="J2045" s="2"/>
      <c r="K2045" s="2"/>
      <c r="L2045" s="2"/>
      <c r="M2045" s="2"/>
      <c r="N2045" s="2"/>
      <c r="O2045" s="2"/>
      <c r="P2045" s="2"/>
      <c r="Q2045" s="2"/>
      <c r="R2045" s="2"/>
      <c r="S2045" s="2"/>
    </row>
    <row r="2046" spans="10:19" x14ac:dyDescent="0.2">
      <c r="J2046" s="2"/>
      <c r="K2046" s="2"/>
      <c r="L2046" s="2"/>
      <c r="M2046" s="2"/>
      <c r="N2046" s="2"/>
      <c r="O2046" s="2"/>
      <c r="P2046" s="2"/>
      <c r="Q2046" s="2"/>
      <c r="R2046" s="2"/>
      <c r="S2046" s="2"/>
    </row>
    <row r="2047" spans="10:19" x14ac:dyDescent="0.2">
      <c r="J2047" s="2"/>
      <c r="K2047" s="2"/>
      <c r="L2047" s="2"/>
      <c r="M2047" s="2"/>
      <c r="N2047" s="2"/>
      <c r="O2047" s="2"/>
      <c r="P2047" s="2"/>
      <c r="Q2047" s="2"/>
      <c r="R2047" s="2"/>
      <c r="S2047" s="2"/>
    </row>
    <row r="2048" spans="10:19" x14ac:dyDescent="0.2">
      <c r="J2048" s="2"/>
      <c r="K2048" s="2"/>
      <c r="L2048" s="2"/>
      <c r="M2048" s="2"/>
      <c r="N2048" s="2"/>
      <c r="O2048" s="2"/>
      <c r="P2048" s="2"/>
      <c r="Q2048" s="2"/>
      <c r="R2048" s="2"/>
      <c r="S2048" s="2"/>
    </row>
    <row r="2049" spans="10:19" x14ac:dyDescent="0.2">
      <c r="J2049" s="2"/>
      <c r="K2049" s="2"/>
      <c r="L2049" s="2"/>
      <c r="M2049" s="2"/>
      <c r="N2049" s="2"/>
      <c r="O2049" s="2"/>
      <c r="P2049" s="2"/>
      <c r="Q2049" s="2"/>
      <c r="R2049" s="2"/>
      <c r="S2049" s="2"/>
    </row>
    <row r="2050" spans="10:19" x14ac:dyDescent="0.2">
      <c r="J2050" s="2"/>
      <c r="K2050" s="2"/>
      <c r="L2050" s="2"/>
      <c r="M2050" s="2"/>
      <c r="N2050" s="2"/>
      <c r="O2050" s="2"/>
      <c r="P2050" s="2"/>
      <c r="Q2050" s="2"/>
      <c r="R2050" s="2"/>
      <c r="S2050" s="2"/>
    </row>
    <row r="2051" spans="10:19" x14ac:dyDescent="0.2">
      <c r="J2051" s="2"/>
      <c r="K2051" s="2"/>
      <c r="L2051" s="2"/>
      <c r="M2051" s="2"/>
      <c r="N2051" s="2"/>
      <c r="O2051" s="2"/>
      <c r="P2051" s="2"/>
      <c r="Q2051" s="2"/>
      <c r="R2051" s="2"/>
      <c r="S2051" s="2"/>
    </row>
    <row r="2052" spans="10:19" x14ac:dyDescent="0.2">
      <c r="J2052" s="2"/>
      <c r="K2052" s="2"/>
      <c r="L2052" s="2"/>
      <c r="M2052" s="2"/>
      <c r="N2052" s="2"/>
      <c r="O2052" s="2"/>
      <c r="P2052" s="2"/>
      <c r="Q2052" s="2"/>
      <c r="R2052" s="2"/>
      <c r="S2052" s="2"/>
    </row>
    <row r="2053" spans="10:19" x14ac:dyDescent="0.2">
      <c r="J2053" s="2"/>
      <c r="K2053" s="2"/>
      <c r="L2053" s="2"/>
      <c r="M2053" s="2"/>
      <c r="N2053" s="2"/>
      <c r="O2053" s="2"/>
      <c r="P2053" s="2"/>
      <c r="Q2053" s="2"/>
      <c r="R2053" s="2"/>
      <c r="S2053" s="2"/>
    </row>
    <row r="2054" spans="10:19" x14ac:dyDescent="0.2">
      <c r="J2054" s="2"/>
      <c r="K2054" s="2"/>
      <c r="L2054" s="2"/>
      <c r="M2054" s="2"/>
      <c r="N2054" s="2"/>
      <c r="O2054" s="2"/>
      <c r="P2054" s="2"/>
      <c r="Q2054" s="2"/>
      <c r="R2054" s="2"/>
      <c r="S2054" s="2"/>
    </row>
    <row r="2055" spans="10:19" x14ac:dyDescent="0.2">
      <c r="J2055" s="2"/>
      <c r="K2055" s="2"/>
      <c r="L2055" s="2"/>
      <c r="M2055" s="2"/>
      <c r="N2055" s="2"/>
      <c r="O2055" s="2"/>
      <c r="P2055" s="2"/>
      <c r="Q2055" s="2"/>
      <c r="R2055" s="2"/>
      <c r="S2055" s="2"/>
    </row>
    <row r="2056" spans="10:19" x14ac:dyDescent="0.2">
      <c r="J2056" s="2"/>
      <c r="K2056" s="2"/>
      <c r="L2056" s="2"/>
      <c r="M2056" s="2"/>
      <c r="N2056" s="2"/>
      <c r="O2056" s="2"/>
      <c r="P2056" s="2"/>
      <c r="Q2056" s="2"/>
      <c r="R2056" s="2"/>
      <c r="S2056" s="2"/>
    </row>
    <row r="2057" spans="10:19" x14ac:dyDescent="0.2">
      <c r="J2057" s="2"/>
      <c r="K2057" s="2"/>
      <c r="L2057" s="2"/>
      <c r="M2057" s="2"/>
      <c r="N2057" s="2"/>
      <c r="O2057" s="2"/>
      <c r="P2057" s="2"/>
      <c r="Q2057" s="2"/>
      <c r="R2057" s="2"/>
      <c r="S2057" s="2"/>
    </row>
    <row r="2058" spans="10:19" x14ac:dyDescent="0.2">
      <c r="J2058" s="2"/>
      <c r="K2058" s="2"/>
      <c r="L2058" s="2"/>
      <c r="M2058" s="2"/>
      <c r="N2058" s="2"/>
      <c r="O2058" s="2"/>
      <c r="P2058" s="2"/>
      <c r="Q2058" s="2"/>
      <c r="R2058" s="2"/>
      <c r="S2058" s="2"/>
    </row>
    <row r="2059" spans="10:19" x14ac:dyDescent="0.2">
      <c r="J2059" s="2"/>
      <c r="K2059" s="2"/>
      <c r="L2059" s="2"/>
      <c r="M2059" s="2"/>
      <c r="N2059" s="2"/>
      <c r="O2059" s="2"/>
      <c r="P2059" s="2"/>
      <c r="Q2059" s="2"/>
      <c r="R2059" s="2"/>
      <c r="S2059" s="2"/>
    </row>
    <row r="2060" spans="10:19" x14ac:dyDescent="0.2">
      <c r="J2060" s="2"/>
      <c r="K2060" s="2"/>
      <c r="L2060" s="2"/>
      <c r="M2060" s="2"/>
      <c r="N2060" s="2"/>
      <c r="O2060" s="2"/>
      <c r="P2060" s="2"/>
      <c r="Q2060" s="2"/>
      <c r="R2060" s="2"/>
      <c r="S2060" s="2"/>
    </row>
    <row r="2061" spans="10:19" x14ac:dyDescent="0.2">
      <c r="J2061" s="2"/>
      <c r="K2061" s="2"/>
      <c r="L2061" s="2"/>
      <c r="M2061" s="2"/>
      <c r="N2061" s="2"/>
      <c r="O2061" s="2"/>
      <c r="P2061" s="2"/>
      <c r="Q2061" s="2"/>
      <c r="R2061" s="2"/>
      <c r="S2061" s="2"/>
    </row>
    <row r="2062" spans="10:19" x14ac:dyDescent="0.2">
      <c r="J2062" s="2"/>
      <c r="K2062" s="2"/>
      <c r="L2062" s="2"/>
      <c r="M2062" s="2"/>
      <c r="N2062" s="2"/>
      <c r="O2062" s="2"/>
      <c r="P2062" s="2"/>
      <c r="Q2062" s="2"/>
      <c r="R2062" s="2"/>
      <c r="S2062" s="2"/>
    </row>
    <row r="2063" spans="10:19" x14ac:dyDescent="0.2">
      <c r="J2063" s="2"/>
      <c r="K2063" s="2"/>
      <c r="L2063" s="2"/>
      <c r="M2063" s="2"/>
      <c r="N2063" s="2"/>
      <c r="O2063" s="2"/>
      <c r="P2063" s="2"/>
      <c r="Q2063" s="2"/>
      <c r="R2063" s="2"/>
      <c r="S2063" s="2"/>
    </row>
    <row r="2064" spans="10:19" x14ac:dyDescent="0.2">
      <c r="J2064" s="2"/>
      <c r="K2064" s="2"/>
      <c r="L2064" s="2"/>
      <c r="M2064" s="2"/>
      <c r="N2064" s="2"/>
      <c r="O2064" s="2"/>
      <c r="P2064" s="2"/>
      <c r="Q2064" s="2"/>
      <c r="R2064" s="2"/>
      <c r="S2064" s="2"/>
    </row>
    <row r="2065" spans="10:19" x14ac:dyDescent="0.2">
      <c r="J2065" s="2"/>
      <c r="K2065" s="2"/>
      <c r="L2065" s="2"/>
      <c r="M2065" s="2"/>
      <c r="N2065" s="2"/>
      <c r="O2065" s="2"/>
      <c r="P2065" s="2"/>
      <c r="Q2065" s="2"/>
      <c r="R2065" s="2"/>
      <c r="S2065" s="2"/>
    </row>
    <row r="2066" spans="10:19" x14ac:dyDescent="0.2">
      <c r="J2066" s="2"/>
      <c r="K2066" s="2"/>
      <c r="L2066" s="2"/>
      <c r="M2066" s="2"/>
      <c r="N2066" s="2"/>
      <c r="O2066" s="2"/>
      <c r="P2066" s="2"/>
      <c r="Q2066" s="2"/>
      <c r="R2066" s="2"/>
      <c r="S2066" s="2"/>
    </row>
    <row r="2067" spans="10:19" x14ac:dyDescent="0.2">
      <c r="J2067" s="2"/>
      <c r="K2067" s="2"/>
      <c r="L2067" s="2"/>
      <c r="M2067" s="2"/>
      <c r="N2067" s="2"/>
      <c r="O2067" s="2"/>
      <c r="P2067" s="2"/>
      <c r="Q2067" s="2"/>
      <c r="R2067" s="2"/>
      <c r="S2067" s="2"/>
    </row>
    <row r="2068" spans="10:19" x14ac:dyDescent="0.2">
      <c r="J2068" s="2"/>
      <c r="K2068" s="2"/>
      <c r="L2068" s="2"/>
      <c r="M2068" s="2"/>
      <c r="N2068" s="2"/>
      <c r="O2068" s="2"/>
      <c r="P2068" s="2"/>
      <c r="Q2068" s="2"/>
      <c r="R2068" s="2"/>
      <c r="S2068" s="2"/>
    </row>
    <row r="2069" spans="10:19" x14ac:dyDescent="0.2">
      <c r="J2069" s="2"/>
      <c r="K2069" s="2"/>
      <c r="L2069" s="2"/>
      <c r="M2069" s="2"/>
      <c r="N2069" s="2"/>
      <c r="O2069" s="2"/>
      <c r="P2069" s="2"/>
      <c r="Q2069" s="2"/>
      <c r="R2069" s="2"/>
      <c r="S2069" s="2"/>
    </row>
    <row r="2070" spans="10:19" x14ac:dyDescent="0.2">
      <c r="J2070" s="2"/>
      <c r="K2070" s="2"/>
      <c r="L2070" s="2"/>
      <c r="M2070" s="2"/>
      <c r="N2070" s="2"/>
      <c r="O2070" s="2"/>
      <c r="P2070" s="2"/>
      <c r="Q2070" s="2"/>
      <c r="R2070" s="2"/>
      <c r="S2070" s="2"/>
    </row>
    <row r="2071" spans="10:19" x14ac:dyDescent="0.2">
      <c r="J2071" s="2"/>
      <c r="K2071" s="2"/>
      <c r="L2071" s="2"/>
      <c r="M2071" s="2"/>
      <c r="N2071" s="2"/>
      <c r="O2071" s="2"/>
      <c r="P2071" s="2"/>
      <c r="Q2071" s="2"/>
      <c r="R2071" s="2"/>
      <c r="S2071" s="2"/>
    </row>
    <row r="2072" spans="10:19" x14ac:dyDescent="0.2">
      <c r="J2072" s="2"/>
      <c r="K2072" s="2"/>
      <c r="L2072" s="2"/>
      <c r="M2072" s="2"/>
      <c r="N2072" s="2"/>
      <c r="O2072" s="2"/>
      <c r="P2072" s="2"/>
      <c r="Q2072" s="2"/>
      <c r="R2072" s="2"/>
      <c r="S2072" s="2"/>
    </row>
    <row r="2073" spans="10:19" x14ac:dyDescent="0.2">
      <c r="J2073" s="2"/>
      <c r="K2073" s="2"/>
      <c r="L2073" s="2"/>
      <c r="M2073" s="2"/>
      <c r="N2073" s="2"/>
      <c r="O2073" s="2"/>
      <c r="P2073" s="2"/>
      <c r="Q2073" s="2"/>
      <c r="R2073" s="2"/>
      <c r="S2073" s="2"/>
    </row>
    <row r="2074" spans="10:19" x14ac:dyDescent="0.2">
      <c r="J2074" s="2"/>
      <c r="K2074" s="2"/>
      <c r="L2074" s="2"/>
      <c r="M2074" s="2"/>
      <c r="N2074" s="2"/>
      <c r="O2074" s="2"/>
      <c r="P2074" s="2"/>
      <c r="Q2074" s="2"/>
      <c r="R2074" s="2"/>
      <c r="S2074" s="2"/>
    </row>
    <row r="2075" spans="10:19" x14ac:dyDescent="0.2">
      <c r="J2075" s="2"/>
      <c r="K2075" s="2"/>
      <c r="L2075" s="2"/>
      <c r="M2075" s="2"/>
      <c r="N2075" s="2"/>
      <c r="O2075" s="2"/>
      <c r="P2075" s="2"/>
      <c r="Q2075" s="2"/>
      <c r="R2075" s="2"/>
      <c r="S2075" s="2"/>
    </row>
    <row r="2076" spans="10:19" x14ac:dyDescent="0.2">
      <c r="J2076" s="2"/>
      <c r="K2076" s="2"/>
      <c r="L2076" s="2"/>
      <c r="M2076" s="2"/>
      <c r="N2076" s="2"/>
      <c r="O2076" s="2"/>
      <c r="P2076" s="2"/>
      <c r="Q2076" s="2"/>
      <c r="R2076" s="2"/>
      <c r="S2076" s="2"/>
    </row>
    <row r="2077" spans="10:19" x14ac:dyDescent="0.2">
      <c r="J2077" s="2"/>
      <c r="K2077" s="2"/>
      <c r="L2077" s="2"/>
      <c r="M2077" s="2"/>
      <c r="N2077" s="2"/>
      <c r="O2077" s="2"/>
      <c r="P2077" s="2"/>
      <c r="Q2077" s="2"/>
      <c r="R2077" s="2"/>
      <c r="S2077" s="2"/>
    </row>
    <row r="2078" spans="10:19" x14ac:dyDescent="0.2">
      <c r="J2078" s="2"/>
      <c r="K2078" s="2"/>
      <c r="L2078" s="2"/>
      <c r="M2078" s="2"/>
      <c r="N2078" s="2"/>
      <c r="O2078" s="2"/>
      <c r="P2078" s="2"/>
      <c r="Q2078" s="2"/>
      <c r="R2078" s="2"/>
      <c r="S2078" s="2"/>
    </row>
    <row r="2079" spans="10:19" x14ac:dyDescent="0.2">
      <c r="J2079" s="2"/>
      <c r="K2079" s="2"/>
      <c r="L2079" s="2"/>
      <c r="M2079" s="2"/>
      <c r="N2079" s="2"/>
      <c r="O2079" s="2"/>
      <c r="P2079" s="2"/>
      <c r="Q2079" s="2"/>
      <c r="R2079" s="2"/>
      <c r="S2079" s="2"/>
    </row>
    <row r="2080" spans="10:19" x14ac:dyDescent="0.2">
      <c r="J2080" s="2"/>
      <c r="K2080" s="2"/>
      <c r="L2080" s="2"/>
      <c r="M2080" s="2"/>
      <c r="N2080" s="2"/>
      <c r="O2080" s="2"/>
      <c r="P2080" s="2"/>
      <c r="Q2080" s="2"/>
      <c r="R2080" s="2"/>
      <c r="S2080" s="2"/>
    </row>
    <row r="2081" spans="10:19" x14ac:dyDescent="0.2">
      <c r="J2081" s="2"/>
      <c r="K2081" s="2"/>
      <c r="L2081" s="2"/>
      <c r="M2081" s="2"/>
      <c r="N2081" s="2"/>
      <c r="O2081" s="2"/>
      <c r="P2081" s="2"/>
      <c r="Q2081" s="2"/>
      <c r="R2081" s="2"/>
      <c r="S2081" s="2"/>
    </row>
    <row r="2082" spans="10:19" x14ac:dyDescent="0.2">
      <c r="J2082" s="2"/>
      <c r="K2082" s="2"/>
      <c r="L2082" s="2"/>
      <c r="M2082" s="2"/>
      <c r="N2082" s="2"/>
      <c r="O2082" s="2"/>
      <c r="P2082" s="2"/>
      <c r="Q2082" s="2"/>
      <c r="R2082" s="2"/>
      <c r="S2082" s="2"/>
    </row>
    <row r="2083" spans="10:19" x14ac:dyDescent="0.2">
      <c r="J2083" s="2"/>
      <c r="K2083" s="2"/>
      <c r="L2083" s="2"/>
      <c r="M2083" s="2"/>
      <c r="N2083" s="2"/>
      <c r="O2083" s="2"/>
      <c r="P2083" s="2"/>
      <c r="Q2083" s="2"/>
      <c r="R2083" s="2"/>
      <c r="S2083" s="2"/>
    </row>
    <row r="2084" spans="10:19" x14ac:dyDescent="0.2">
      <c r="J2084" s="2"/>
      <c r="K2084" s="2"/>
      <c r="L2084" s="2"/>
      <c r="M2084" s="2"/>
      <c r="N2084" s="2"/>
      <c r="O2084" s="2"/>
      <c r="P2084" s="2"/>
      <c r="Q2084" s="2"/>
      <c r="R2084" s="2"/>
      <c r="S2084" s="2"/>
    </row>
    <row r="2085" spans="10:19" x14ac:dyDescent="0.2">
      <c r="J2085" s="2"/>
      <c r="K2085" s="2"/>
      <c r="L2085" s="2"/>
      <c r="M2085" s="2"/>
      <c r="N2085" s="2"/>
      <c r="O2085" s="2"/>
      <c r="P2085" s="2"/>
      <c r="Q2085" s="2"/>
      <c r="R2085" s="2"/>
      <c r="S2085" s="2"/>
    </row>
    <row r="2086" spans="10:19" x14ac:dyDescent="0.2">
      <c r="J2086" s="2"/>
      <c r="K2086" s="2"/>
      <c r="L2086" s="2"/>
      <c r="M2086" s="2"/>
      <c r="N2086" s="2"/>
      <c r="O2086" s="2"/>
      <c r="P2086" s="2"/>
      <c r="Q2086" s="2"/>
      <c r="R2086" s="2"/>
      <c r="S2086" s="2"/>
    </row>
    <row r="2087" spans="10:19" x14ac:dyDescent="0.2">
      <c r="J2087" s="2"/>
      <c r="K2087" s="2"/>
      <c r="L2087" s="2"/>
      <c r="M2087" s="2"/>
      <c r="N2087" s="2"/>
      <c r="O2087" s="2"/>
      <c r="P2087" s="2"/>
      <c r="Q2087" s="2"/>
      <c r="R2087" s="2"/>
      <c r="S2087" s="2"/>
    </row>
    <row r="2088" spans="10:19" x14ac:dyDescent="0.2">
      <c r="J2088" s="2"/>
      <c r="K2088" s="2"/>
      <c r="L2088" s="2"/>
      <c r="M2088" s="2"/>
      <c r="N2088" s="2"/>
      <c r="O2088" s="2"/>
      <c r="P2088" s="2"/>
      <c r="Q2088" s="2"/>
      <c r="R2088" s="2"/>
      <c r="S2088" s="2"/>
    </row>
    <row r="2089" spans="10:19" x14ac:dyDescent="0.2">
      <c r="J2089" s="2"/>
      <c r="K2089" s="2"/>
      <c r="L2089" s="2"/>
      <c r="M2089" s="2"/>
      <c r="N2089" s="2"/>
      <c r="O2089" s="2"/>
      <c r="P2089" s="2"/>
      <c r="Q2089" s="2"/>
      <c r="R2089" s="2"/>
      <c r="S2089" s="2"/>
    </row>
    <row r="2090" spans="10:19" x14ac:dyDescent="0.2">
      <c r="J2090" s="2"/>
      <c r="K2090" s="2"/>
      <c r="L2090" s="2"/>
      <c r="M2090" s="2"/>
      <c r="N2090" s="2"/>
      <c r="O2090" s="2"/>
      <c r="P2090" s="2"/>
      <c r="Q2090" s="2"/>
      <c r="R2090" s="2"/>
      <c r="S2090" s="2"/>
    </row>
    <row r="2091" spans="10:19" x14ac:dyDescent="0.2">
      <c r="J2091" s="2"/>
      <c r="K2091" s="2"/>
      <c r="L2091" s="2"/>
      <c r="M2091" s="2"/>
      <c r="N2091" s="2"/>
      <c r="O2091" s="2"/>
      <c r="P2091" s="2"/>
      <c r="Q2091" s="2"/>
      <c r="R2091" s="2"/>
      <c r="S2091" s="2"/>
    </row>
    <row r="2092" spans="10:19" x14ac:dyDescent="0.2">
      <c r="J2092" s="2"/>
      <c r="K2092" s="2"/>
      <c r="L2092" s="2"/>
      <c r="M2092" s="2"/>
      <c r="N2092" s="2"/>
      <c r="O2092" s="2"/>
      <c r="P2092" s="2"/>
      <c r="Q2092" s="2"/>
      <c r="R2092" s="2"/>
      <c r="S2092" s="2"/>
    </row>
    <row r="2093" spans="10:19" x14ac:dyDescent="0.2">
      <c r="J2093" s="2"/>
      <c r="K2093" s="2"/>
      <c r="L2093" s="2"/>
      <c r="M2093" s="2"/>
      <c r="N2093" s="2"/>
      <c r="O2093" s="2"/>
      <c r="P2093" s="2"/>
      <c r="Q2093" s="2"/>
      <c r="R2093" s="2"/>
      <c r="S2093" s="2"/>
    </row>
    <row r="2094" spans="10:19" x14ac:dyDescent="0.2">
      <c r="J2094" s="2"/>
      <c r="K2094" s="2"/>
      <c r="L2094" s="2"/>
      <c r="M2094" s="2"/>
      <c r="N2094" s="2"/>
      <c r="O2094" s="2"/>
      <c r="P2094" s="2"/>
      <c r="Q2094" s="2"/>
      <c r="R2094" s="2"/>
      <c r="S2094" s="2"/>
    </row>
    <row r="2095" spans="10:19" x14ac:dyDescent="0.2">
      <c r="J2095" s="2"/>
      <c r="K2095" s="2"/>
      <c r="L2095" s="2"/>
      <c r="M2095" s="2"/>
      <c r="N2095" s="2"/>
      <c r="O2095" s="2"/>
      <c r="P2095" s="2"/>
      <c r="Q2095" s="2"/>
      <c r="R2095" s="2"/>
      <c r="S2095" s="2"/>
    </row>
    <row r="2096" spans="10:19" x14ac:dyDescent="0.2">
      <c r="J2096" s="2"/>
      <c r="K2096" s="2"/>
      <c r="L2096" s="2"/>
      <c r="M2096" s="2"/>
      <c r="N2096" s="2"/>
      <c r="O2096" s="2"/>
      <c r="P2096" s="2"/>
      <c r="Q2096" s="2"/>
      <c r="R2096" s="2"/>
      <c r="S2096" s="2"/>
    </row>
    <row r="2097" spans="10:19" x14ac:dyDescent="0.2">
      <c r="J2097" s="2"/>
      <c r="K2097" s="2"/>
      <c r="L2097" s="2"/>
      <c r="M2097" s="2"/>
      <c r="N2097" s="2"/>
      <c r="O2097" s="2"/>
      <c r="P2097" s="2"/>
      <c r="Q2097" s="2"/>
      <c r="R2097" s="2"/>
      <c r="S2097" s="2"/>
    </row>
    <row r="2098" spans="10:19" x14ac:dyDescent="0.2">
      <c r="J2098" s="2"/>
      <c r="K2098" s="2"/>
      <c r="L2098" s="2"/>
      <c r="M2098" s="2"/>
      <c r="N2098" s="2"/>
      <c r="O2098" s="2"/>
      <c r="P2098" s="2"/>
      <c r="Q2098" s="2"/>
      <c r="R2098" s="2"/>
      <c r="S2098" s="2"/>
    </row>
    <row r="2099" spans="10:19" x14ac:dyDescent="0.2">
      <c r="J2099" s="2"/>
      <c r="K2099" s="2"/>
      <c r="L2099" s="2"/>
      <c r="M2099" s="2"/>
      <c r="N2099" s="2"/>
      <c r="O2099" s="2"/>
      <c r="P2099" s="2"/>
      <c r="Q2099" s="2"/>
      <c r="R2099" s="2"/>
      <c r="S2099" s="2"/>
    </row>
    <row r="2100" spans="10:19" x14ac:dyDescent="0.2">
      <c r="J2100" s="2"/>
      <c r="K2100" s="2"/>
      <c r="L2100" s="2"/>
      <c r="M2100" s="2"/>
      <c r="N2100" s="2"/>
      <c r="O2100" s="2"/>
      <c r="P2100" s="2"/>
      <c r="Q2100" s="2"/>
      <c r="R2100" s="2"/>
      <c r="S2100" s="2"/>
    </row>
    <row r="2101" spans="10:19" x14ac:dyDescent="0.2">
      <c r="J2101" s="2"/>
      <c r="K2101" s="2"/>
      <c r="L2101" s="2"/>
      <c r="M2101" s="2"/>
      <c r="N2101" s="2"/>
      <c r="O2101" s="2"/>
      <c r="P2101" s="2"/>
      <c r="Q2101" s="2"/>
      <c r="R2101" s="2"/>
      <c r="S2101" s="2"/>
    </row>
    <row r="2102" spans="10:19" x14ac:dyDescent="0.2">
      <c r="J2102" s="2"/>
      <c r="K2102" s="2"/>
      <c r="L2102" s="2"/>
      <c r="M2102" s="2"/>
      <c r="N2102" s="2"/>
      <c r="O2102" s="2"/>
      <c r="P2102" s="2"/>
      <c r="Q2102" s="2"/>
      <c r="R2102" s="2"/>
      <c r="S2102" s="2"/>
    </row>
    <row r="2103" spans="10:19" x14ac:dyDescent="0.2">
      <c r="J2103" s="2"/>
      <c r="K2103" s="2"/>
      <c r="L2103" s="2"/>
      <c r="M2103" s="2"/>
      <c r="N2103" s="2"/>
      <c r="O2103" s="2"/>
      <c r="P2103" s="2"/>
      <c r="Q2103" s="2"/>
      <c r="R2103" s="2"/>
      <c r="S2103" s="2"/>
    </row>
    <row r="2104" spans="10:19" x14ac:dyDescent="0.2">
      <c r="J2104" s="2"/>
      <c r="K2104" s="2"/>
      <c r="L2104" s="2"/>
      <c r="M2104" s="2"/>
      <c r="N2104" s="2"/>
      <c r="O2104" s="2"/>
      <c r="P2104" s="2"/>
      <c r="Q2104" s="2"/>
      <c r="R2104" s="2"/>
      <c r="S2104" s="2"/>
    </row>
    <row r="2105" spans="10:19" x14ac:dyDescent="0.2">
      <c r="J2105" s="2"/>
      <c r="K2105" s="2"/>
      <c r="L2105" s="2"/>
      <c r="M2105" s="2"/>
      <c r="N2105" s="2"/>
      <c r="O2105" s="2"/>
      <c r="P2105" s="2"/>
      <c r="Q2105" s="2"/>
      <c r="R2105" s="2"/>
      <c r="S2105" s="2"/>
    </row>
    <row r="2106" spans="10:19" x14ac:dyDescent="0.2">
      <c r="J2106" s="2"/>
      <c r="K2106" s="2"/>
      <c r="L2106" s="2"/>
      <c r="M2106" s="2"/>
      <c r="N2106" s="2"/>
      <c r="O2106" s="2"/>
      <c r="P2106" s="2"/>
      <c r="Q2106" s="2"/>
      <c r="R2106" s="2"/>
      <c r="S2106" s="2"/>
    </row>
    <row r="2107" spans="10:19" x14ac:dyDescent="0.2">
      <c r="J2107" s="2"/>
      <c r="K2107" s="2"/>
      <c r="L2107" s="2"/>
      <c r="M2107" s="2"/>
      <c r="N2107" s="2"/>
      <c r="O2107" s="2"/>
      <c r="P2107" s="2"/>
      <c r="Q2107" s="2"/>
      <c r="R2107" s="2"/>
      <c r="S2107" s="2"/>
    </row>
    <row r="2108" spans="10:19" x14ac:dyDescent="0.2">
      <c r="J2108" s="2"/>
      <c r="K2108" s="2"/>
      <c r="L2108" s="2"/>
      <c r="M2108" s="2"/>
      <c r="N2108" s="2"/>
      <c r="O2108" s="2"/>
      <c r="P2108" s="2"/>
      <c r="Q2108" s="2"/>
      <c r="R2108" s="2"/>
      <c r="S2108" s="2"/>
    </row>
    <row r="2109" spans="10:19" x14ac:dyDescent="0.2">
      <c r="J2109" s="2"/>
      <c r="K2109" s="2"/>
      <c r="L2109" s="2"/>
      <c r="M2109" s="2"/>
      <c r="N2109" s="2"/>
      <c r="O2109" s="2"/>
      <c r="P2109" s="2"/>
      <c r="Q2109" s="2"/>
      <c r="R2109" s="2"/>
      <c r="S2109" s="2"/>
    </row>
    <row r="2110" spans="10:19" x14ac:dyDescent="0.2">
      <c r="J2110" s="2"/>
      <c r="K2110" s="2"/>
      <c r="L2110" s="2"/>
      <c r="M2110" s="2"/>
      <c r="N2110" s="2"/>
      <c r="O2110" s="2"/>
      <c r="P2110" s="2"/>
      <c r="Q2110" s="2"/>
      <c r="R2110" s="2"/>
      <c r="S2110" s="2"/>
    </row>
    <row r="2111" spans="10:19" x14ac:dyDescent="0.2">
      <c r="J2111" s="2"/>
      <c r="K2111" s="2"/>
      <c r="L2111" s="2"/>
      <c r="M2111" s="2"/>
      <c r="N2111" s="2"/>
      <c r="O2111" s="2"/>
      <c r="P2111" s="2"/>
      <c r="Q2111" s="2"/>
      <c r="R2111" s="2"/>
      <c r="S2111" s="2"/>
    </row>
    <row r="2112" spans="10:19" x14ac:dyDescent="0.2">
      <c r="J2112" s="2"/>
      <c r="K2112" s="2"/>
      <c r="L2112" s="2"/>
      <c r="M2112" s="2"/>
      <c r="N2112" s="2"/>
      <c r="O2112" s="2"/>
      <c r="P2112" s="2"/>
      <c r="Q2112" s="2"/>
      <c r="R2112" s="2"/>
      <c r="S2112" s="2"/>
    </row>
    <row r="2113" spans="10:19" x14ac:dyDescent="0.2">
      <c r="J2113" s="2"/>
      <c r="K2113" s="2"/>
      <c r="L2113" s="2"/>
      <c r="M2113" s="2"/>
      <c r="N2113" s="2"/>
      <c r="O2113" s="2"/>
      <c r="P2113" s="2"/>
      <c r="Q2113" s="2"/>
      <c r="R2113" s="2"/>
      <c r="S2113" s="2"/>
    </row>
    <row r="2114" spans="10:19" x14ac:dyDescent="0.2">
      <c r="J2114" s="2"/>
      <c r="K2114" s="2"/>
      <c r="L2114" s="2"/>
      <c r="M2114" s="2"/>
      <c r="N2114" s="2"/>
      <c r="O2114" s="2"/>
      <c r="P2114" s="2"/>
      <c r="Q2114" s="2"/>
      <c r="R2114" s="2"/>
      <c r="S2114" s="2"/>
    </row>
    <row r="2115" spans="10:19" x14ac:dyDescent="0.2">
      <c r="J2115" s="2"/>
      <c r="K2115" s="2"/>
      <c r="L2115" s="2"/>
      <c r="M2115" s="2"/>
      <c r="N2115" s="2"/>
      <c r="O2115" s="2"/>
      <c r="P2115" s="2"/>
      <c r="Q2115" s="2"/>
      <c r="R2115" s="2"/>
      <c r="S2115" s="2"/>
    </row>
    <row r="2116" spans="10:19" x14ac:dyDescent="0.2">
      <c r="J2116" s="2"/>
      <c r="K2116" s="2"/>
      <c r="L2116" s="2"/>
      <c r="M2116" s="2"/>
      <c r="N2116" s="2"/>
      <c r="O2116" s="2"/>
      <c r="P2116" s="2"/>
      <c r="Q2116" s="2"/>
      <c r="R2116" s="2"/>
      <c r="S2116" s="2"/>
    </row>
    <row r="2117" spans="10:19" x14ac:dyDescent="0.2">
      <c r="J2117" s="2"/>
      <c r="K2117" s="2"/>
      <c r="L2117" s="2"/>
      <c r="M2117" s="2"/>
      <c r="N2117" s="2"/>
      <c r="O2117" s="2"/>
      <c r="P2117" s="2"/>
      <c r="Q2117" s="2"/>
      <c r="R2117" s="2"/>
      <c r="S2117" s="2"/>
    </row>
    <row r="2118" spans="10:19" x14ac:dyDescent="0.2">
      <c r="J2118" s="2"/>
      <c r="K2118" s="2"/>
      <c r="L2118" s="2"/>
      <c r="M2118" s="2"/>
      <c r="N2118" s="2"/>
      <c r="O2118" s="2"/>
      <c r="P2118" s="2"/>
      <c r="Q2118" s="2"/>
      <c r="R2118" s="2"/>
      <c r="S2118" s="2"/>
    </row>
    <row r="2119" spans="10:19" x14ac:dyDescent="0.2">
      <c r="J2119" s="2"/>
      <c r="K2119" s="2"/>
      <c r="L2119" s="2"/>
      <c r="M2119" s="2"/>
      <c r="N2119" s="2"/>
      <c r="O2119" s="2"/>
      <c r="P2119" s="2"/>
      <c r="Q2119" s="2"/>
      <c r="R2119" s="2"/>
      <c r="S2119" s="2"/>
    </row>
    <row r="2120" spans="10:19" x14ac:dyDescent="0.2">
      <c r="J2120" s="2"/>
      <c r="K2120" s="2"/>
      <c r="L2120" s="2"/>
      <c r="M2120" s="2"/>
      <c r="N2120" s="2"/>
      <c r="O2120" s="2"/>
      <c r="P2120" s="2"/>
      <c r="Q2120" s="2"/>
      <c r="R2120" s="2"/>
      <c r="S2120" s="2"/>
    </row>
    <row r="2121" spans="10:19" x14ac:dyDescent="0.2">
      <c r="J2121" s="2"/>
      <c r="K2121" s="2"/>
      <c r="L2121" s="2"/>
      <c r="M2121" s="2"/>
      <c r="N2121" s="2"/>
      <c r="O2121" s="2"/>
      <c r="P2121" s="2"/>
      <c r="Q2121" s="2"/>
      <c r="R2121" s="2"/>
      <c r="S2121" s="2"/>
    </row>
    <row r="2122" spans="10:19" x14ac:dyDescent="0.2">
      <c r="J2122" s="2"/>
      <c r="K2122" s="2"/>
      <c r="L2122" s="2"/>
      <c r="M2122" s="2"/>
      <c r="N2122" s="2"/>
      <c r="O2122" s="2"/>
      <c r="P2122" s="2"/>
      <c r="Q2122" s="2"/>
      <c r="R2122" s="2"/>
      <c r="S2122" s="2"/>
    </row>
    <row r="2123" spans="10:19" x14ac:dyDescent="0.2">
      <c r="J2123" s="2"/>
      <c r="K2123" s="2"/>
      <c r="L2123" s="2"/>
      <c r="M2123" s="2"/>
      <c r="N2123" s="2"/>
      <c r="O2123" s="2"/>
      <c r="P2123" s="2"/>
      <c r="Q2123" s="2"/>
      <c r="R2123" s="2"/>
      <c r="S2123" s="2"/>
    </row>
    <row r="2124" spans="10:19" x14ac:dyDescent="0.2">
      <c r="J2124" s="2"/>
      <c r="K2124" s="2"/>
      <c r="L2124" s="2"/>
      <c r="M2124" s="2"/>
      <c r="N2124" s="2"/>
      <c r="O2124" s="2"/>
      <c r="P2124" s="2"/>
      <c r="Q2124" s="2"/>
      <c r="R2124" s="2"/>
      <c r="S2124" s="2"/>
    </row>
    <row r="2125" spans="10:19" x14ac:dyDescent="0.2">
      <c r="J2125" s="2"/>
      <c r="K2125" s="2"/>
      <c r="L2125" s="2"/>
      <c r="M2125" s="2"/>
      <c r="N2125" s="2"/>
      <c r="O2125" s="2"/>
      <c r="P2125" s="2"/>
      <c r="Q2125" s="2"/>
      <c r="R2125" s="2"/>
      <c r="S2125" s="2"/>
    </row>
    <row r="2126" spans="10:19" x14ac:dyDescent="0.2">
      <c r="J2126" s="2"/>
      <c r="K2126" s="2"/>
      <c r="L2126" s="2"/>
      <c r="M2126" s="2"/>
      <c r="N2126" s="2"/>
      <c r="O2126" s="2"/>
      <c r="P2126" s="2"/>
      <c r="Q2126" s="2"/>
      <c r="R2126" s="2"/>
      <c r="S2126" s="2"/>
    </row>
    <row r="2127" spans="10:19" x14ac:dyDescent="0.2">
      <c r="J2127" s="2"/>
      <c r="K2127" s="2"/>
      <c r="L2127" s="2"/>
      <c r="M2127" s="2"/>
      <c r="N2127" s="2"/>
      <c r="O2127" s="2"/>
      <c r="P2127" s="2"/>
      <c r="Q2127" s="2"/>
      <c r="R2127" s="2"/>
      <c r="S2127" s="2"/>
    </row>
    <row r="2128" spans="10:19" x14ac:dyDescent="0.2">
      <c r="J2128" s="2"/>
      <c r="K2128" s="2"/>
      <c r="L2128" s="2"/>
      <c r="M2128" s="2"/>
      <c r="N2128" s="2"/>
      <c r="O2128" s="2"/>
      <c r="P2128" s="2"/>
      <c r="Q2128" s="2"/>
      <c r="R2128" s="2"/>
      <c r="S2128" s="2"/>
    </row>
    <row r="2129" spans="10:19" x14ac:dyDescent="0.2">
      <c r="J2129" s="2"/>
      <c r="K2129" s="2"/>
      <c r="L2129" s="2"/>
      <c r="M2129" s="2"/>
      <c r="N2129" s="2"/>
      <c r="O2129" s="2"/>
      <c r="P2129" s="2"/>
      <c r="Q2129" s="2"/>
      <c r="R2129" s="2"/>
      <c r="S2129" s="2"/>
    </row>
    <row r="2130" spans="10:19" x14ac:dyDescent="0.2">
      <c r="J2130" s="2"/>
      <c r="K2130" s="2"/>
      <c r="L2130" s="2"/>
      <c r="M2130" s="2"/>
      <c r="N2130" s="2"/>
      <c r="O2130" s="2"/>
      <c r="P2130" s="2"/>
      <c r="Q2130" s="2"/>
      <c r="R2130" s="2"/>
      <c r="S2130" s="2"/>
    </row>
    <row r="2131" spans="10:19" x14ac:dyDescent="0.2">
      <c r="J2131" s="2"/>
      <c r="K2131" s="2"/>
      <c r="L2131" s="2"/>
      <c r="M2131" s="2"/>
      <c r="N2131" s="2"/>
      <c r="O2131" s="2"/>
      <c r="P2131" s="2"/>
      <c r="Q2131" s="2"/>
      <c r="R2131" s="2"/>
      <c r="S2131" s="2"/>
    </row>
    <row r="2132" spans="10:19" x14ac:dyDescent="0.2">
      <c r="J2132" s="2"/>
      <c r="K2132" s="2"/>
      <c r="L2132" s="2"/>
      <c r="M2132" s="2"/>
      <c r="N2132" s="2"/>
      <c r="O2132" s="2"/>
      <c r="P2132" s="2"/>
      <c r="Q2132" s="2"/>
      <c r="R2132" s="2"/>
      <c r="S2132" s="2"/>
    </row>
    <row r="2133" spans="10:19" x14ac:dyDescent="0.2">
      <c r="J2133" s="2"/>
      <c r="K2133" s="2"/>
      <c r="L2133" s="2"/>
      <c r="M2133" s="2"/>
      <c r="N2133" s="2"/>
      <c r="O2133" s="2"/>
      <c r="P2133" s="2"/>
      <c r="Q2133" s="2"/>
      <c r="R2133" s="2"/>
      <c r="S2133" s="2"/>
    </row>
    <row r="2134" spans="10:19" x14ac:dyDescent="0.2">
      <c r="J2134" s="2"/>
      <c r="K2134" s="2"/>
      <c r="L2134" s="2"/>
      <c r="M2134" s="2"/>
      <c r="N2134" s="2"/>
      <c r="O2134" s="2"/>
      <c r="P2134" s="2"/>
      <c r="Q2134" s="2"/>
      <c r="R2134" s="2"/>
      <c r="S2134" s="2"/>
    </row>
    <row r="2135" spans="10:19" x14ac:dyDescent="0.2">
      <c r="J2135" s="2"/>
      <c r="K2135" s="2"/>
      <c r="L2135" s="2"/>
      <c r="M2135" s="2"/>
      <c r="N2135" s="2"/>
      <c r="O2135" s="2"/>
      <c r="P2135" s="2"/>
      <c r="Q2135" s="2"/>
      <c r="R2135" s="2"/>
      <c r="S2135" s="2"/>
    </row>
    <row r="2136" spans="10:19" x14ac:dyDescent="0.2">
      <c r="J2136" s="2"/>
      <c r="K2136" s="2"/>
      <c r="L2136" s="2"/>
      <c r="M2136" s="2"/>
      <c r="N2136" s="2"/>
      <c r="O2136" s="2"/>
      <c r="P2136" s="2"/>
      <c r="Q2136" s="2"/>
      <c r="R2136" s="2"/>
      <c r="S2136" s="2"/>
    </row>
    <row r="2137" spans="10:19" x14ac:dyDescent="0.2">
      <c r="J2137" s="2"/>
      <c r="K2137" s="2"/>
      <c r="L2137" s="2"/>
      <c r="M2137" s="2"/>
      <c r="N2137" s="2"/>
      <c r="O2137" s="2"/>
      <c r="P2137" s="2"/>
      <c r="Q2137" s="2"/>
      <c r="R2137" s="2"/>
      <c r="S2137" s="2"/>
    </row>
    <row r="2138" spans="10:19" x14ac:dyDescent="0.2">
      <c r="J2138" s="2"/>
      <c r="K2138" s="2"/>
      <c r="L2138" s="2"/>
      <c r="M2138" s="2"/>
      <c r="N2138" s="2"/>
      <c r="O2138" s="2"/>
      <c r="P2138" s="2"/>
      <c r="Q2138" s="2"/>
      <c r="R2138" s="2"/>
      <c r="S2138" s="2"/>
    </row>
    <row r="2139" spans="10:19" x14ac:dyDescent="0.2">
      <c r="J2139" s="2"/>
      <c r="K2139" s="2"/>
      <c r="L2139" s="2"/>
      <c r="M2139" s="2"/>
      <c r="N2139" s="2"/>
      <c r="O2139" s="2"/>
      <c r="P2139" s="2"/>
      <c r="Q2139" s="2"/>
      <c r="R2139" s="2"/>
      <c r="S2139" s="2"/>
    </row>
    <row r="2140" spans="10:19" x14ac:dyDescent="0.2">
      <c r="J2140" s="2"/>
      <c r="K2140" s="2"/>
      <c r="L2140" s="2"/>
      <c r="M2140" s="2"/>
      <c r="N2140" s="2"/>
      <c r="O2140" s="2"/>
      <c r="P2140" s="2"/>
      <c r="Q2140" s="2"/>
      <c r="R2140" s="2"/>
      <c r="S2140" s="2"/>
    </row>
    <row r="2141" spans="10:19" x14ac:dyDescent="0.2">
      <c r="J2141" s="2"/>
      <c r="K2141" s="2"/>
      <c r="L2141" s="2"/>
      <c r="M2141" s="2"/>
      <c r="N2141" s="2"/>
      <c r="O2141" s="2"/>
      <c r="P2141" s="2"/>
      <c r="Q2141" s="2"/>
      <c r="R2141" s="2"/>
      <c r="S2141" s="2"/>
    </row>
    <row r="2142" spans="10:19" x14ac:dyDescent="0.2">
      <c r="J2142" s="2"/>
      <c r="K2142" s="2"/>
      <c r="L2142" s="2"/>
      <c r="M2142" s="2"/>
      <c r="N2142" s="2"/>
      <c r="O2142" s="2"/>
      <c r="P2142" s="2"/>
      <c r="Q2142" s="2"/>
      <c r="R2142" s="2"/>
      <c r="S2142" s="2"/>
    </row>
    <row r="2143" spans="10:19" x14ac:dyDescent="0.2">
      <c r="J2143" s="2"/>
      <c r="K2143" s="2"/>
      <c r="L2143" s="2"/>
      <c r="M2143" s="2"/>
      <c r="N2143" s="2"/>
      <c r="O2143" s="2"/>
      <c r="P2143" s="2"/>
      <c r="Q2143" s="2"/>
      <c r="R2143" s="2"/>
      <c r="S2143" s="2"/>
    </row>
    <row r="2144" spans="10:19" x14ac:dyDescent="0.2">
      <c r="J2144" s="2"/>
      <c r="K2144" s="2"/>
      <c r="L2144" s="2"/>
      <c r="M2144" s="2"/>
      <c r="N2144" s="2"/>
      <c r="O2144" s="2"/>
      <c r="P2144" s="2"/>
      <c r="Q2144" s="2"/>
      <c r="R2144" s="2"/>
      <c r="S2144" s="2"/>
    </row>
    <row r="2145" spans="10:19" x14ac:dyDescent="0.2">
      <c r="J2145" s="2"/>
      <c r="K2145" s="2"/>
      <c r="L2145" s="2"/>
      <c r="M2145" s="2"/>
      <c r="N2145" s="2"/>
      <c r="O2145" s="2"/>
      <c r="P2145" s="2"/>
      <c r="Q2145" s="2"/>
      <c r="R2145" s="2"/>
      <c r="S2145" s="2"/>
    </row>
    <row r="2146" spans="10:19" x14ac:dyDescent="0.2">
      <c r="J2146" s="2"/>
      <c r="K2146" s="2"/>
      <c r="L2146" s="2"/>
      <c r="M2146" s="2"/>
      <c r="N2146" s="2"/>
      <c r="O2146" s="2"/>
      <c r="P2146" s="2"/>
      <c r="Q2146" s="2"/>
      <c r="R2146" s="2"/>
      <c r="S2146" s="2"/>
    </row>
    <row r="2147" spans="10:19" x14ac:dyDescent="0.2">
      <c r="J2147" s="2"/>
      <c r="K2147" s="2"/>
      <c r="L2147" s="2"/>
      <c r="M2147" s="2"/>
      <c r="N2147" s="2"/>
      <c r="O2147" s="2"/>
      <c r="P2147" s="2"/>
      <c r="Q2147" s="2"/>
      <c r="R2147" s="2"/>
      <c r="S2147" s="2"/>
    </row>
    <row r="2148" spans="10:19" x14ac:dyDescent="0.2">
      <c r="J2148" s="2"/>
      <c r="K2148" s="2"/>
      <c r="L2148" s="2"/>
      <c r="M2148" s="2"/>
      <c r="N2148" s="2"/>
      <c r="O2148" s="2"/>
      <c r="P2148" s="2"/>
      <c r="Q2148" s="2"/>
      <c r="R2148" s="2"/>
      <c r="S2148" s="2"/>
    </row>
    <row r="2149" spans="10:19" x14ac:dyDescent="0.2">
      <c r="J2149" s="2"/>
      <c r="K2149" s="2"/>
      <c r="L2149" s="2"/>
      <c r="M2149" s="2"/>
      <c r="N2149" s="2"/>
      <c r="O2149" s="2"/>
      <c r="P2149" s="2"/>
      <c r="Q2149" s="2"/>
      <c r="R2149" s="2"/>
      <c r="S2149" s="2"/>
    </row>
    <row r="2150" spans="10:19" x14ac:dyDescent="0.2">
      <c r="J2150" s="2"/>
      <c r="K2150" s="2"/>
      <c r="L2150" s="2"/>
      <c r="M2150" s="2"/>
      <c r="N2150" s="2"/>
      <c r="O2150" s="2"/>
      <c r="P2150" s="2"/>
      <c r="Q2150" s="2"/>
      <c r="R2150" s="2"/>
      <c r="S2150" s="2"/>
    </row>
    <row r="2151" spans="10:19" x14ac:dyDescent="0.2">
      <c r="J2151" s="2"/>
      <c r="K2151" s="2"/>
      <c r="L2151" s="2"/>
      <c r="M2151" s="2"/>
      <c r="N2151" s="2"/>
      <c r="O2151" s="2"/>
      <c r="P2151" s="2"/>
      <c r="Q2151" s="2"/>
      <c r="R2151" s="2"/>
      <c r="S2151" s="2"/>
    </row>
    <row r="2152" spans="10:19" x14ac:dyDescent="0.2">
      <c r="J2152" s="2"/>
      <c r="K2152" s="2"/>
      <c r="L2152" s="2"/>
      <c r="M2152" s="2"/>
      <c r="N2152" s="2"/>
      <c r="O2152" s="2"/>
      <c r="P2152" s="2"/>
      <c r="Q2152" s="2"/>
      <c r="R2152" s="2"/>
      <c r="S2152" s="2"/>
    </row>
    <row r="2153" spans="10:19" x14ac:dyDescent="0.2">
      <c r="J2153" s="2"/>
      <c r="K2153" s="2"/>
      <c r="L2153" s="2"/>
      <c r="M2153" s="2"/>
      <c r="N2153" s="2"/>
      <c r="O2153" s="2"/>
      <c r="P2153" s="2"/>
      <c r="Q2153" s="2"/>
      <c r="R2153" s="2"/>
      <c r="S2153" s="2"/>
    </row>
    <row r="2154" spans="10:19" x14ac:dyDescent="0.2">
      <c r="J2154" s="2"/>
      <c r="K2154" s="2"/>
      <c r="L2154" s="2"/>
      <c r="M2154" s="2"/>
      <c r="N2154" s="2"/>
      <c r="O2154" s="2"/>
      <c r="P2154" s="2"/>
      <c r="Q2154" s="2"/>
      <c r="R2154" s="2"/>
      <c r="S2154" s="2"/>
    </row>
    <row r="2155" spans="10:19" x14ac:dyDescent="0.2">
      <c r="J2155" s="2"/>
      <c r="K2155" s="2"/>
      <c r="L2155" s="2"/>
      <c r="M2155" s="2"/>
      <c r="N2155" s="2"/>
      <c r="O2155" s="2"/>
      <c r="P2155" s="2"/>
      <c r="Q2155" s="2"/>
      <c r="R2155" s="2"/>
      <c r="S2155" s="2"/>
    </row>
    <row r="2156" spans="10:19" x14ac:dyDescent="0.2">
      <c r="J2156" s="2"/>
      <c r="K2156" s="2"/>
      <c r="L2156" s="2"/>
      <c r="M2156" s="2"/>
      <c r="N2156" s="2"/>
      <c r="O2156" s="2"/>
      <c r="P2156" s="2"/>
      <c r="Q2156" s="2"/>
      <c r="R2156" s="2"/>
      <c r="S2156" s="2"/>
    </row>
    <row r="2157" spans="10:19" x14ac:dyDescent="0.2">
      <c r="J2157" s="2"/>
      <c r="K2157" s="2"/>
      <c r="L2157" s="2"/>
      <c r="M2157" s="2"/>
      <c r="N2157" s="2"/>
      <c r="O2157" s="2"/>
      <c r="P2157" s="2"/>
      <c r="Q2157" s="2"/>
      <c r="R2157" s="2"/>
      <c r="S2157" s="2"/>
    </row>
    <row r="2158" spans="10:19" x14ac:dyDescent="0.2">
      <c r="J2158" s="2"/>
      <c r="K2158" s="2"/>
      <c r="L2158" s="2"/>
      <c r="M2158" s="2"/>
      <c r="N2158" s="2"/>
      <c r="O2158" s="2"/>
      <c r="P2158" s="2"/>
      <c r="Q2158" s="2"/>
      <c r="R2158" s="2"/>
      <c r="S2158" s="2"/>
    </row>
    <row r="2159" spans="10:19" x14ac:dyDescent="0.2">
      <c r="J2159" s="2"/>
      <c r="K2159" s="2"/>
      <c r="L2159" s="2"/>
      <c r="M2159" s="2"/>
      <c r="N2159" s="2"/>
      <c r="O2159" s="2"/>
      <c r="P2159" s="2"/>
      <c r="Q2159" s="2"/>
      <c r="R2159" s="2"/>
      <c r="S2159" s="2"/>
    </row>
    <row r="2160" spans="10:19" x14ac:dyDescent="0.2">
      <c r="J2160" s="2"/>
      <c r="K2160" s="2"/>
      <c r="L2160" s="2"/>
      <c r="M2160" s="2"/>
      <c r="N2160" s="2"/>
      <c r="O2160" s="2"/>
      <c r="P2160" s="2"/>
      <c r="Q2160" s="2"/>
      <c r="R2160" s="2"/>
      <c r="S2160" s="2"/>
    </row>
    <row r="2161" spans="10:19" x14ac:dyDescent="0.2">
      <c r="J2161" s="2"/>
      <c r="K2161" s="2"/>
      <c r="L2161" s="2"/>
      <c r="M2161" s="2"/>
      <c r="N2161" s="2"/>
      <c r="O2161" s="2"/>
      <c r="P2161" s="2"/>
      <c r="Q2161" s="2"/>
      <c r="R2161" s="2"/>
      <c r="S2161" s="2"/>
    </row>
    <row r="2162" spans="10:19" x14ac:dyDescent="0.2">
      <c r="J2162" s="2"/>
      <c r="K2162" s="2"/>
      <c r="L2162" s="2"/>
      <c r="M2162" s="2"/>
      <c r="N2162" s="2"/>
      <c r="O2162" s="2"/>
      <c r="P2162" s="2"/>
      <c r="Q2162" s="2"/>
      <c r="R2162" s="2"/>
      <c r="S2162" s="2"/>
    </row>
    <row r="2163" spans="10:19" x14ac:dyDescent="0.2">
      <c r="J2163" s="2"/>
      <c r="K2163" s="2"/>
      <c r="L2163" s="2"/>
      <c r="M2163" s="2"/>
      <c r="N2163" s="2"/>
      <c r="O2163" s="2"/>
      <c r="P2163" s="2"/>
      <c r="Q2163" s="2"/>
      <c r="R2163" s="2"/>
      <c r="S2163" s="2"/>
    </row>
    <row r="2164" spans="10:19" x14ac:dyDescent="0.2">
      <c r="J2164" s="2"/>
      <c r="K2164" s="2"/>
      <c r="L2164" s="2"/>
      <c r="M2164" s="2"/>
      <c r="N2164" s="2"/>
      <c r="O2164" s="2"/>
      <c r="P2164" s="2"/>
      <c r="Q2164" s="2"/>
      <c r="R2164" s="2"/>
      <c r="S2164" s="2"/>
    </row>
    <row r="2165" spans="10:19" x14ac:dyDescent="0.2">
      <c r="J2165" s="2"/>
      <c r="K2165" s="2"/>
      <c r="L2165" s="2"/>
      <c r="M2165" s="2"/>
      <c r="N2165" s="2"/>
      <c r="O2165" s="2"/>
      <c r="P2165" s="2"/>
      <c r="Q2165" s="2"/>
      <c r="R2165" s="2"/>
      <c r="S2165" s="2"/>
    </row>
    <row r="2166" spans="10:19" x14ac:dyDescent="0.2">
      <c r="J2166" s="2"/>
      <c r="K2166" s="2"/>
      <c r="L2166" s="2"/>
      <c r="M2166" s="2"/>
      <c r="N2166" s="2"/>
      <c r="O2166" s="2"/>
      <c r="P2166" s="2"/>
      <c r="Q2166" s="2"/>
      <c r="R2166" s="2"/>
      <c r="S2166" s="2"/>
    </row>
    <row r="2167" spans="10:19" x14ac:dyDescent="0.2">
      <c r="J2167" s="2"/>
      <c r="K2167" s="2"/>
      <c r="L2167" s="2"/>
      <c r="M2167" s="2"/>
      <c r="N2167" s="2"/>
      <c r="O2167" s="2"/>
      <c r="P2167" s="2"/>
      <c r="Q2167" s="2"/>
      <c r="R2167" s="2"/>
      <c r="S2167" s="2"/>
    </row>
    <row r="2168" spans="10:19" x14ac:dyDescent="0.2">
      <c r="J2168" s="2"/>
      <c r="K2168" s="2"/>
      <c r="L2168" s="2"/>
      <c r="M2168" s="2"/>
      <c r="N2168" s="2"/>
      <c r="O2168" s="2"/>
      <c r="P2168" s="2"/>
      <c r="Q2168" s="2"/>
      <c r="R2168" s="2"/>
      <c r="S2168" s="2"/>
    </row>
    <row r="2169" spans="10:19" x14ac:dyDescent="0.2">
      <c r="J2169" s="2"/>
      <c r="K2169" s="2"/>
      <c r="L2169" s="2"/>
      <c r="M2169" s="2"/>
      <c r="N2169" s="2"/>
      <c r="O2169" s="2"/>
      <c r="P2169" s="2"/>
      <c r="Q2169" s="2"/>
      <c r="R2169" s="2"/>
      <c r="S2169" s="2"/>
    </row>
    <row r="2170" spans="10:19" x14ac:dyDescent="0.2">
      <c r="J2170" s="2"/>
      <c r="K2170" s="2"/>
      <c r="L2170" s="2"/>
      <c r="M2170" s="2"/>
      <c r="N2170" s="2"/>
      <c r="O2170" s="2"/>
      <c r="P2170" s="2"/>
      <c r="Q2170" s="2"/>
      <c r="R2170" s="2"/>
      <c r="S2170" s="2"/>
    </row>
    <row r="2171" spans="10:19" x14ac:dyDescent="0.2">
      <c r="J2171" s="2"/>
      <c r="K2171" s="2"/>
      <c r="L2171" s="2"/>
      <c r="M2171" s="2"/>
      <c r="N2171" s="2"/>
      <c r="O2171" s="2"/>
      <c r="P2171" s="2"/>
      <c r="Q2171" s="2"/>
      <c r="R2171" s="2"/>
      <c r="S2171" s="2"/>
    </row>
    <row r="2172" spans="10:19" x14ac:dyDescent="0.2">
      <c r="J2172" s="2"/>
      <c r="K2172" s="2"/>
      <c r="L2172" s="2"/>
      <c r="M2172" s="2"/>
      <c r="N2172" s="2"/>
      <c r="O2172" s="2"/>
      <c r="P2172" s="2"/>
      <c r="Q2172" s="2"/>
      <c r="R2172" s="2"/>
      <c r="S2172" s="2"/>
    </row>
    <row r="2173" spans="10:19" x14ac:dyDescent="0.2">
      <c r="J2173" s="2"/>
      <c r="K2173" s="2"/>
      <c r="L2173" s="2"/>
      <c r="M2173" s="2"/>
      <c r="N2173" s="2"/>
      <c r="O2173" s="2"/>
      <c r="P2173" s="2"/>
      <c r="Q2173" s="2"/>
      <c r="R2173" s="2"/>
      <c r="S2173" s="2"/>
    </row>
    <row r="2174" spans="10:19" x14ac:dyDescent="0.2">
      <c r="J2174" s="2"/>
      <c r="K2174" s="2"/>
      <c r="L2174" s="2"/>
      <c r="M2174" s="2"/>
      <c r="N2174" s="2"/>
      <c r="O2174" s="2"/>
      <c r="P2174" s="2"/>
      <c r="Q2174" s="2"/>
      <c r="R2174" s="2"/>
      <c r="S2174" s="2"/>
    </row>
    <row r="2175" spans="10:19" x14ac:dyDescent="0.2">
      <c r="J2175" s="2"/>
      <c r="K2175" s="2"/>
      <c r="L2175" s="2"/>
      <c r="M2175" s="2"/>
      <c r="N2175" s="2"/>
      <c r="O2175" s="2"/>
      <c r="P2175" s="2"/>
      <c r="Q2175" s="2"/>
      <c r="R2175" s="2"/>
      <c r="S2175" s="2"/>
    </row>
    <row r="2176" spans="10:19" x14ac:dyDescent="0.2">
      <c r="J2176" s="2"/>
      <c r="K2176" s="2"/>
      <c r="L2176" s="2"/>
      <c r="M2176" s="2"/>
      <c r="N2176" s="2"/>
      <c r="O2176" s="2"/>
      <c r="P2176" s="2"/>
      <c r="Q2176" s="2"/>
      <c r="R2176" s="2"/>
      <c r="S2176" s="2"/>
    </row>
    <row r="2177" spans="10:19" x14ac:dyDescent="0.2">
      <c r="J2177" s="2"/>
      <c r="K2177" s="2"/>
      <c r="L2177" s="2"/>
      <c r="M2177" s="2"/>
      <c r="N2177" s="2"/>
      <c r="O2177" s="2"/>
      <c r="P2177" s="2"/>
      <c r="Q2177" s="2"/>
      <c r="R2177" s="2"/>
      <c r="S2177" s="2"/>
    </row>
    <row r="2178" spans="10:19" x14ac:dyDescent="0.2">
      <c r="J2178" s="2"/>
      <c r="K2178" s="2"/>
      <c r="L2178" s="2"/>
      <c r="M2178" s="2"/>
      <c r="N2178" s="2"/>
      <c r="O2178" s="2"/>
      <c r="P2178" s="2"/>
      <c r="Q2178" s="2"/>
      <c r="R2178" s="2"/>
      <c r="S2178" s="2"/>
    </row>
    <row r="2179" spans="10:19" x14ac:dyDescent="0.2">
      <c r="J2179" s="2"/>
      <c r="K2179" s="2"/>
      <c r="L2179" s="2"/>
      <c r="M2179" s="2"/>
      <c r="N2179" s="2"/>
      <c r="O2179" s="2"/>
      <c r="P2179" s="2"/>
      <c r="Q2179" s="2"/>
      <c r="R2179" s="2"/>
      <c r="S2179" s="2"/>
    </row>
    <row r="2180" spans="10:19" x14ac:dyDescent="0.2">
      <c r="J2180" s="2"/>
      <c r="K2180" s="2"/>
      <c r="L2180" s="2"/>
      <c r="M2180" s="2"/>
      <c r="N2180" s="2"/>
      <c r="O2180" s="2"/>
      <c r="P2180" s="2"/>
      <c r="Q2180" s="2"/>
      <c r="R2180" s="2"/>
      <c r="S2180" s="2"/>
    </row>
    <row r="2181" spans="10:19" x14ac:dyDescent="0.2">
      <c r="J2181" s="2"/>
      <c r="K2181" s="2"/>
      <c r="L2181" s="2"/>
      <c r="M2181" s="2"/>
      <c r="N2181" s="2"/>
      <c r="O2181" s="2"/>
      <c r="P2181" s="2"/>
      <c r="Q2181" s="2"/>
      <c r="R2181" s="2"/>
      <c r="S2181" s="2"/>
    </row>
    <row r="2182" spans="10:19" x14ac:dyDescent="0.2">
      <c r="J2182" s="2"/>
      <c r="K2182" s="2"/>
      <c r="L2182" s="2"/>
      <c r="M2182" s="2"/>
      <c r="N2182" s="2"/>
      <c r="O2182" s="2"/>
      <c r="P2182" s="2"/>
      <c r="Q2182" s="2"/>
      <c r="R2182" s="2"/>
      <c r="S2182" s="2"/>
    </row>
    <row r="2183" spans="10:19" x14ac:dyDescent="0.2">
      <c r="J2183" s="2"/>
      <c r="K2183" s="2"/>
      <c r="L2183" s="2"/>
      <c r="M2183" s="2"/>
      <c r="N2183" s="2"/>
      <c r="O2183" s="2"/>
      <c r="P2183" s="2"/>
      <c r="Q2183" s="2"/>
      <c r="R2183" s="2"/>
      <c r="S2183" s="2"/>
    </row>
    <row r="2184" spans="10:19" x14ac:dyDescent="0.2">
      <c r="J2184" s="2"/>
      <c r="K2184" s="2"/>
      <c r="L2184" s="2"/>
      <c r="M2184" s="2"/>
      <c r="N2184" s="2"/>
      <c r="O2184" s="2"/>
      <c r="P2184" s="2"/>
      <c r="Q2184" s="2"/>
      <c r="R2184" s="2"/>
      <c r="S2184" s="2"/>
    </row>
    <row r="2185" spans="10:19" x14ac:dyDescent="0.2">
      <c r="J2185" s="2"/>
      <c r="K2185" s="2"/>
      <c r="L2185" s="2"/>
      <c r="M2185" s="2"/>
      <c r="N2185" s="2"/>
      <c r="O2185" s="2"/>
      <c r="P2185" s="2"/>
      <c r="Q2185" s="2"/>
      <c r="R2185" s="2"/>
      <c r="S2185" s="2"/>
    </row>
    <row r="2186" spans="10:19" x14ac:dyDescent="0.2">
      <c r="J2186" s="2"/>
      <c r="K2186" s="2"/>
      <c r="L2186" s="2"/>
      <c r="M2186" s="2"/>
      <c r="N2186" s="2"/>
      <c r="O2186" s="2"/>
      <c r="P2186" s="2"/>
      <c r="Q2186" s="2"/>
      <c r="R2186" s="2"/>
      <c r="S2186" s="2"/>
    </row>
    <row r="2187" spans="10:19" x14ac:dyDescent="0.2">
      <c r="J2187" s="2"/>
      <c r="K2187" s="2"/>
      <c r="L2187" s="2"/>
      <c r="M2187" s="2"/>
      <c r="N2187" s="2"/>
      <c r="O2187" s="2"/>
      <c r="P2187" s="2"/>
      <c r="Q2187" s="2"/>
      <c r="R2187" s="2"/>
      <c r="S2187" s="2"/>
    </row>
    <row r="2188" spans="10:19" x14ac:dyDescent="0.2">
      <c r="J2188" s="2"/>
      <c r="K2188" s="2"/>
      <c r="L2188" s="2"/>
      <c r="M2188" s="2"/>
      <c r="N2188" s="2"/>
      <c r="O2188" s="2"/>
      <c r="P2188" s="2"/>
      <c r="Q2188" s="2"/>
      <c r="R2188" s="2"/>
      <c r="S2188" s="2"/>
    </row>
    <row r="2189" spans="10:19" x14ac:dyDescent="0.2">
      <c r="J2189" s="2"/>
      <c r="K2189" s="2"/>
      <c r="L2189" s="2"/>
      <c r="M2189" s="2"/>
      <c r="N2189" s="2"/>
      <c r="O2189" s="2"/>
      <c r="P2189" s="2"/>
      <c r="Q2189" s="2"/>
      <c r="R2189" s="2"/>
      <c r="S2189" s="2"/>
    </row>
    <row r="2190" spans="10:19" x14ac:dyDescent="0.2">
      <c r="J2190" s="2"/>
      <c r="K2190" s="2"/>
      <c r="L2190" s="2"/>
      <c r="M2190" s="2"/>
      <c r="N2190" s="2"/>
      <c r="O2190" s="2"/>
      <c r="P2190" s="2"/>
      <c r="Q2190" s="2"/>
      <c r="R2190" s="2"/>
      <c r="S2190" s="2"/>
    </row>
    <row r="2191" spans="10:19" x14ac:dyDescent="0.2">
      <c r="J2191" s="2"/>
      <c r="K2191" s="2"/>
      <c r="L2191" s="2"/>
      <c r="M2191" s="2"/>
      <c r="N2191" s="2"/>
      <c r="O2191" s="2"/>
      <c r="P2191" s="2"/>
      <c r="Q2191" s="2"/>
      <c r="R2191" s="2"/>
      <c r="S2191" s="2"/>
    </row>
    <row r="2192" spans="10:19" x14ac:dyDescent="0.2">
      <c r="J2192" s="2"/>
      <c r="K2192" s="2"/>
      <c r="L2192" s="2"/>
      <c r="M2192" s="2"/>
      <c r="N2192" s="2"/>
      <c r="O2192" s="2"/>
      <c r="P2192" s="2"/>
      <c r="Q2192" s="2"/>
      <c r="R2192" s="2"/>
      <c r="S2192" s="2"/>
    </row>
    <row r="2193" spans="10:19" x14ac:dyDescent="0.2">
      <c r="J2193" s="2"/>
      <c r="K2193" s="2"/>
      <c r="L2193" s="2"/>
      <c r="M2193" s="2"/>
      <c r="N2193" s="2"/>
      <c r="O2193" s="2"/>
      <c r="P2193" s="2"/>
      <c r="Q2193" s="2"/>
      <c r="R2193" s="2"/>
      <c r="S2193" s="2"/>
    </row>
    <row r="2194" spans="10:19" x14ac:dyDescent="0.2">
      <c r="J2194" s="2"/>
      <c r="K2194" s="2"/>
      <c r="L2194" s="2"/>
      <c r="M2194" s="2"/>
      <c r="N2194" s="2"/>
      <c r="O2194" s="2"/>
      <c r="P2194" s="2"/>
      <c r="Q2194" s="2"/>
      <c r="R2194" s="2"/>
      <c r="S2194" s="2"/>
    </row>
    <row r="2195" spans="10:19" x14ac:dyDescent="0.2">
      <c r="J2195" s="2"/>
      <c r="K2195" s="2"/>
      <c r="L2195" s="2"/>
      <c r="M2195" s="2"/>
      <c r="N2195" s="2"/>
      <c r="O2195" s="2"/>
      <c r="P2195" s="2"/>
      <c r="Q2195" s="2"/>
      <c r="R2195" s="2"/>
      <c r="S2195" s="2"/>
    </row>
    <row r="2196" spans="10:19" x14ac:dyDescent="0.2">
      <c r="J2196" s="2"/>
      <c r="K2196" s="2"/>
      <c r="L2196" s="2"/>
      <c r="M2196" s="2"/>
      <c r="N2196" s="2"/>
      <c r="O2196" s="2"/>
      <c r="P2196" s="2"/>
      <c r="Q2196" s="2"/>
      <c r="R2196" s="2"/>
      <c r="S2196" s="2"/>
    </row>
    <row r="2197" spans="10:19" x14ac:dyDescent="0.2">
      <c r="J2197" s="2"/>
      <c r="K2197" s="2"/>
      <c r="L2197" s="2"/>
      <c r="M2197" s="2"/>
      <c r="N2197" s="2"/>
      <c r="O2197" s="2"/>
      <c r="P2197" s="2"/>
      <c r="Q2197" s="2"/>
      <c r="R2197" s="2"/>
      <c r="S2197" s="2"/>
    </row>
    <row r="2198" spans="10:19" x14ac:dyDescent="0.2">
      <c r="J2198" s="2"/>
      <c r="K2198" s="2"/>
      <c r="L2198" s="2"/>
      <c r="M2198" s="2"/>
      <c r="N2198" s="2"/>
      <c r="O2198" s="2"/>
      <c r="P2198" s="2"/>
      <c r="Q2198" s="2"/>
      <c r="R2198" s="2"/>
      <c r="S2198" s="2"/>
    </row>
    <row r="2199" spans="10:19" x14ac:dyDescent="0.2">
      <c r="J2199" s="2"/>
      <c r="K2199" s="2"/>
      <c r="L2199" s="2"/>
      <c r="M2199" s="2"/>
      <c r="N2199" s="2"/>
      <c r="O2199" s="2"/>
      <c r="P2199" s="2"/>
      <c r="Q2199" s="2"/>
      <c r="R2199" s="2"/>
      <c r="S2199" s="2"/>
    </row>
    <row r="2200" spans="10:19" x14ac:dyDescent="0.2">
      <c r="J2200" s="2"/>
      <c r="K2200" s="2"/>
      <c r="L2200" s="2"/>
      <c r="M2200" s="2"/>
      <c r="N2200" s="2"/>
      <c r="O2200" s="2"/>
      <c r="P2200" s="2"/>
      <c r="Q2200" s="2"/>
      <c r="R2200" s="2"/>
      <c r="S2200" s="2"/>
    </row>
    <row r="2201" spans="10:19" x14ac:dyDescent="0.2">
      <c r="J2201" s="2"/>
      <c r="K2201" s="2"/>
      <c r="L2201" s="2"/>
      <c r="M2201" s="2"/>
      <c r="N2201" s="2"/>
      <c r="O2201" s="2"/>
      <c r="P2201" s="2"/>
      <c r="Q2201" s="2"/>
      <c r="R2201" s="2"/>
      <c r="S2201" s="2"/>
    </row>
    <row r="2202" spans="10:19" x14ac:dyDescent="0.2">
      <c r="J2202" s="2"/>
      <c r="K2202" s="2"/>
      <c r="L2202" s="2"/>
      <c r="M2202" s="2"/>
      <c r="N2202" s="2"/>
      <c r="O2202" s="2"/>
      <c r="P2202" s="2"/>
      <c r="Q2202" s="2"/>
      <c r="R2202" s="2"/>
      <c r="S2202" s="2"/>
    </row>
    <row r="2203" spans="10:19" x14ac:dyDescent="0.2">
      <c r="J2203" s="2"/>
      <c r="K2203" s="2"/>
      <c r="L2203" s="2"/>
      <c r="M2203" s="2"/>
      <c r="N2203" s="2"/>
      <c r="O2203" s="2"/>
      <c r="P2203" s="2"/>
      <c r="Q2203" s="2"/>
      <c r="R2203" s="2"/>
      <c r="S2203" s="2"/>
    </row>
    <row r="2204" spans="10:19" x14ac:dyDescent="0.2">
      <c r="J2204" s="2"/>
      <c r="K2204" s="2"/>
      <c r="L2204" s="2"/>
      <c r="M2204" s="2"/>
      <c r="N2204" s="2"/>
      <c r="O2204" s="2"/>
      <c r="P2204" s="2"/>
      <c r="Q2204" s="2"/>
      <c r="R2204" s="2"/>
      <c r="S2204" s="2"/>
    </row>
    <row r="2205" spans="10:19" x14ac:dyDescent="0.2">
      <c r="J2205" s="2"/>
      <c r="K2205" s="2"/>
      <c r="L2205" s="2"/>
      <c r="M2205" s="2"/>
      <c r="N2205" s="2"/>
      <c r="O2205" s="2"/>
      <c r="P2205" s="2"/>
      <c r="Q2205" s="2"/>
      <c r="R2205" s="2"/>
      <c r="S2205" s="2"/>
    </row>
    <row r="2206" spans="10:19" x14ac:dyDescent="0.2">
      <c r="J2206" s="2"/>
      <c r="K2206" s="2"/>
      <c r="L2206" s="2"/>
      <c r="M2206" s="2"/>
      <c r="N2206" s="2"/>
      <c r="O2206" s="2"/>
      <c r="P2206" s="2"/>
      <c r="Q2206" s="2"/>
      <c r="R2206" s="2"/>
      <c r="S2206" s="2"/>
    </row>
    <row r="2207" spans="10:19" x14ac:dyDescent="0.2">
      <c r="J2207" s="2"/>
      <c r="K2207" s="2"/>
      <c r="L2207" s="2"/>
      <c r="M2207" s="2"/>
      <c r="N2207" s="2"/>
      <c r="O2207" s="2"/>
      <c r="P2207" s="2"/>
      <c r="Q2207" s="2"/>
      <c r="R2207" s="2"/>
      <c r="S2207" s="2"/>
    </row>
    <row r="2208" spans="10:19" x14ac:dyDescent="0.2">
      <c r="J2208" s="2"/>
      <c r="K2208" s="2"/>
      <c r="L2208" s="2"/>
      <c r="M2208" s="2"/>
      <c r="N2208" s="2"/>
      <c r="O2208" s="2"/>
      <c r="P2208" s="2"/>
      <c r="Q2208" s="2"/>
      <c r="R2208" s="2"/>
      <c r="S2208" s="2"/>
    </row>
    <row r="2209" spans="10:19" x14ac:dyDescent="0.2">
      <c r="J2209" s="2"/>
      <c r="K2209" s="2"/>
      <c r="L2209" s="2"/>
      <c r="M2209" s="2"/>
      <c r="N2209" s="2"/>
      <c r="O2209" s="2"/>
      <c r="P2209" s="2"/>
      <c r="Q2209" s="2"/>
      <c r="R2209" s="2"/>
      <c r="S2209" s="2"/>
    </row>
    <row r="2210" spans="10:19" x14ac:dyDescent="0.2">
      <c r="J2210" s="2"/>
      <c r="K2210" s="2"/>
      <c r="L2210" s="2"/>
      <c r="M2210" s="2"/>
      <c r="N2210" s="2"/>
      <c r="O2210" s="2"/>
      <c r="P2210" s="2"/>
      <c r="Q2210" s="2"/>
      <c r="R2210" s="2"/>
      <c r="S2210" s="2"/>
    </row>
    <row r="2211" spans="10:19" x14ac:dyDescent="0.2">
      <c r="J2211" s="2"/>
      <c r="K2211" s="2"/>
      <c r="L2211" s="2"/>
      <c r="M2211" s="2"/>
      <c r="N2211" s="2"/>
      <c r="O2211" s="2"/>
      <c r="P2211" s="2"/>
      <c r="Q2211" s="2"/>
      <c r="R2211" s="2"/>
      <c r="S2211" s="2"/>
    </row>
    <row r="2212" spans="10:19" x14ac:dyDescent="0.2">
      <c r="J2212" s="2"/>
      <c r="K2212" s="2"/>
      <c r="L2212" s="2"/>
      <c r="M2212" s="2"/>
      <c r="N2212" s="2"/>
      <c r="O2212" s="2"/>
      <c r="P2212" s="2"/>
      <c r="Q2212" s="2"/>
      <c r="R2212" s="2"/>
      <c r="S2212" s="2"/>
    </row>
    <row r="2213" spans="10:19" x14ac:dyDescent="0.2">
      <c r="J2213" s="2"/>
      <c r="K2213" s="2"/>
      <c r="L2213" s="2"/>
      <c r="M2213" s="2"/>
      <c r="N2213" s="2"/>
      <c r="O2213" s="2"/>
      <c r="P2213" s="2"/>
      <c r="Q2213" s="2"/>
      <c r="R2213" s="2"/>
      <c r="S2213" s="2"/>
    </row>
    <row r="2214" spans="10:19" x14ac:dyDescent="0.2">
      <c r="J2214" s="2"/>
      <c r="K2214" s="2"/>
      <c r="L2214" s="2"/>
      <c r="M2214" s="2"/>
      <c r="N2214" s="2"/>
      <c r="O2214" s="2"/>
      <c r="P2214" s="2"/>
      <c r="Q2214" s="2"/>
      <c r="R2214" s="2"/>
      <c r="S2214" s="2"/>
    </row>
    <row r="2215" spans="10:19" x14ac:dyDescent="0.2">
      <c r="J2215" s="2"/>
      <c r="K2215" s="2"/>
      <c r="L2215" s="2"/>
      <c r="M2215" s="2"/>
      <c r="N2215" s="2"/>
      <c r="O2215" s="2"/>
      <c r="P2215" s="2"/>
      <c r="Q2215" s="2"/>
      <c r="R2215" s="2"/>
      <c r="S2215" s="2"/>
    </row>
    <row r="2216" spans="10:19" x14ac:dyDescent="0.2">
      <c r="J2216" s="2"/>
      <c r="K2216" s="2"/>
      <c r="L2216" s="2"/>
      <c r="M2216" s="2"/>
      <c r="N2216" s="2"/>
      <c r="O2216" s="2"/>
      <c r="P2216" s="2"/>
      <c r="Q2216" s="2"/>
      <c r="R2216" s="2"/>
      <c r="S2216" s="2"/>
    </row>
    <row r="2217" spans="10:19" x14ac:dyDescent="0.2">
      <c r="J2217" s="2"/>
      <c r="K2217" s="2"/>
      <c r="L2217" s="2"/>
      <c r="M2217" s="2"/>
      <c r="N2217" s="2"/>
      <c r="O2217" s="2"/>
      <c r="P2217" s="2"/>
      <c r="Q2217" s="2"/>
      <c r="R2217" s="2"/>
      <c r="S2217" s="2"/>
    </row>
    <row r="2218" spans="10:19" x14ac:dyDescent="0.2">
      <c r="J2218" s="2"/>
      <c r="K2218" s="2"/>
      <c r="L2218" s="2"/>
      <c r="M2218" s="2"/>
      <c r="N2218" s="2"/>
      <c r="O2218" s="2"/>
      <c r="P2218" s="2"/>
      <c r="Q2218" s="2"/>
      <c r="R2218" s="2"/>
      <c r="S2218" s="2"/>
    </row>
    <row r="2219" spans="10:19" x14ac:dyDescent="0.2">
      <c r="J2219" s="2"/>
      <c r="K2219" s="2"/>
      <c r="L2219" s="2"/>
      <c r="M2219" s="2"/>
      <c r="N2219" s="2"/>
      <c r="O2219" s="2"/>
      <c r="P2219" s="2"/>
      <c r="Q2219" s="2"/>
      <c r="R2219" s="2"/>
      <c r="S2219" s="2"/>
    </row>
    <row r="2220" spans="10:19" x14ac:dyDescent="0.2">
      <c r="J2220" s="2"/>
      <c r="K2220" s="2"/>
      <c r="L2220" s="2"/>
      <c r="M2220" s="2"/>
      <c r="N2220" s="2"/>
      <c r="O2220" s="2"/>
      <c r="P2220" s="2"/>
      <c r="Q2220" s="2"/>
      <c r="R2220" s="2"/>
      <c r="S2220" s="2"/>
    </row>
    <row r="2221" spans="10:19" x14ac:dyDescent="0.2">
      <c r="J2221" s="2"/>
      <c r="K2221" s="2"/>
      <c r="L2221" s="2"/>
      <c r="M2221" s="2"/>
      <c r="N2221" s="2"/>
      <c r="O2221" s="2"/>
      <c r="P2221" s="2"/>
      <c r="Q2221" s="2"/>
      <c r="R2221" s="2"/>
      <c r="S2221" s="2"/>
    </row>
    <row r="2222" spans="10:19" x14ac:dyDescent="0.2">
      <c r="J2222" s="2"/>
      <c r="K2222" s="2"/>
      <c r="L2222" s="2"/>
      <c r="M2222" s="2"/>
      <c r="N2222" s="2"/>
      <c r="O2222" s="2"/>
      <c r="P2222" s="2"/>
      <c r="Q2222" s="2"/>
      <c r="R2222" s="2"/>
      <c r="S2222" s="2"/>
    </row>
    <row r="2223" spans="10:19" x14ac:dyDescent="0.2">
      <c r="J2223" s="2"/>
      <c r="K2223" s="2"/>
      <c r="L2223" s="2"/>
      <c r="M2223" s="2"/>
      <c r="N2223" s="2"/>
      <c r="O2223" s="2"/>
      <c r="P2223" s="2"/>
      <c r="Q2223" s="2"/>
      <c r="R2223" s="2"/>
      <c r="S2223" s="2"/>
    </row>
    <row r="2224" spans="10:19" x14ac:dyDescent="0.2">
      <c r="J2224" s="2"/>
      <c r="K2224" s="2"/>
      <c r="L2224" s="2"/>
      <c r="M2224" s="2"/>
      <c r="N2224" s="2"/>
      <c r="O2224" s="2"/>
      <c r="P2224" s="2"/>
      <c r="Q2224" s="2"/>
      <c r="R2224" s="2"/>
      <c r="S2224" s="2"/>
    </row>
    <row r="2225" spans="10:19" x14ac:dyDescent="0.2">
      <c r="J2225" s="2"/>
      <c r="K2225" s="2"/>
      <c r="L2225" s="2"/>
      <c r="M2225" s="2"/>
      <c r="N2225" s="2"/>
      <c r="O2225" s="2"/>
      <c r="P2225" s="2"/>
      <c r="Q2225" s="2"/>
      <c r="R2225" s="2"/>
      <c r="S2225" s="2"/>
    </row>
    <row r="2226" spans="10:19" x14ac:dyDescent="0.2">
      <c r="J2226" s="2"/>
      <c r="K2226" s="2"/>
      <c r="L2226" s="2"/>
      <c r="M2226" s="2"/>
      <c r="N2226" s="2"/>
      <c r="O2226" s="2"/>
      <c r="P2226" s="2"/>
      <c r="Q2226" s="2"/>
      <c r="R2226" s="2"/>
      <c r="S2226" s="2"/>
    </row>
    <row r="2227" spans="10:19" x14ac:dyDescent="0.2">
      <c r="J2227" s="2"/>
      <c r="K2227" s="2"/>
      <c r="L2227" s="2"/>
      <c r="M2227" s="2"/>
      <c r="N2227" s="2"/>
      <c r="O2227" s="2"/>
      <c r="P2227" s="2"/>
      <c r="Q2227" s="2"/>
      <c r="R2227" s="2"/>
      <c r="S2227" s="2"/>
    </row>
    <row r="2228" spans="10:19" x14ac:dyDescent="0.2">
      <c r="J2228" s="2"/>
      <c r="K2228" s="2"/>
      <c r="L2228" s="2"/>
      <c r="M2228" s="2"/>
      <c r="N2228" s="2"/>
      <c r="O2228" s="2"/>
      <c r="P2228" s="2"/>
      <c r="Q2228" s="2"/>
      <c r="R2228" s="2"/>
      <c r="S2228" s="2"/>
    </row>
    <row r="2229" spans="10:19" x14ac:dyDescent="0.2">
      <c r="J2229" s="2"/>
      <c r="K2229" s="2"/>
      <c r="L2229" s="2"/>
      <c r="M2229" s="2"/>
      <c r="N2229" s="2"/>
      <c r="O2229" s="2"/>
      <c r="P2229" s="2"/>
      <c r="Q2229" s="2"/>
      <c r="R2229" s="2"/>
      <c r="S2229" s="2"/>
    </row>
    <row r="2230" spans="10:19" x14ac:dyDescent="0.2">
      <c r="J2230" s="2"/>
      <c r="K2230" s="2"/>
      <c r="L2230" s="2"/>
      <c r="M2230" s="2"/>
      <c r="N2230" s="2"/>
      <c r="O2230" s="2"/>
      <c r="P2230" s="2"/>
      <c r="Q2230" s="2"/>
      <c r="R2230" s="2"/>
      <c r="S2230" s="2"/>
    </row>
    <row r="2231" spans="10:19" x14ac:dyDescent="0.2">
      <c r="J2231" s="2"/>
      <c r="K2231" s="2"/>
      <c r="L2231" s="2"/>
      <c r="M2231" s="2"/>
      <c r="N2231" s="2"/>
      <c r="O2231" s="2"/>
      <c r="P2231" s="2"/>
      <c r="Q2231" s="2"/>
      <c r="R2231" s="2"/>
      <c r="S2231" s="2"/>
    </row>
    <row r="2232" spans="10:19" x14ac:dyDescent="0.2">
      <c r="J2232" s="2"/>
      <c r="K2232" s="2"/>
      <c r="L2232" s="2"/>
      <c r="M2232" s="2"/>
      <c r="N2232" s="2"/>
      <c r="O2232" s="2"/>
      <c r="P2232" s="2"/>
      <c r="Q2232" s="2"/>
      <c r="R2232" s="2"/>
      <c r="S2232" s="2"/>
    </row>
    <row r="2233" spans="10:19" x14ac:dyDescent="0.2">
      <c r="J2233" s="2"/>
      <c r="K2233" s="2"/>
      <c r="L2233" s="2"/>
      <c r="M2233" s="2"/>
      <c r="N2233" s="2"/>
      <c r="O2233" s="2"/>
      <c r="P2233" s="2"/>
      <c r="Q2233" s="2"/>
      <c r="R2233" s="2"/>
      <c r="S2233" s="2"/>
    </row>
    <row r="2234" spans="10:19" x14ac:dyDescent="0.2">
      <c r="J2234" s="2"/>
      <c r="K2234" s="2"/>
      <c r="L2234" s="2"/>
      <c r="M2234" s="2"/>
      <c r="N2234" s="2"/>
      <c r="O2234" s="2"/>
      <c r="P2234" s="2"/>
      <c r="Q2234" s="2"/>
      <c r="R2234" s="2"/>
      <c r="S2234" s="2"/>
    </row>
    <row r="2235" spans="10:19" x14ac:dyDescent="0.2">
      <c r="J2235" s="2"/>
      <c r="K2235" s="2"/>
      <c r="L2235" s="2"/>
      <c r="M2235" s="2"/>
      <c r="N2235" s="2"/>
      <c r="O2235" s="2"/>
      <c r="P2235" s="2"/>
      <c r="Q2235" s="2"/>
      <c r="R2235" s="2"/>
      <c r="S2235" s="2"/>
    </row>
    <row r="2236" spans="10:19" x14ac:dyDescent="0.2">
      <c r="J2236" s="2"/>
      <c r="K2236" s="2"/>
      <c r="L2236" s="2"/>
      <c r="M2236" s="2"/>
      <c r="N2236" s="2"/>
      <c r="O2236" s="2"/>
      <c r="P2236" s="2"/>
      <c r="Q2236" s="2"/>
      <c r="R2236" s="2"/>
      <c r="S2236" s="2"/>
    </row>
    <row r="2237" spans="10:19" x14ac:dyDescent="0.2">
      <c r="J2237" s="2"/>
      <c r="K2237" s="2"/>
      <c r="L2237" s="2"/>
      <c r="M2237" s="2"/>
      <c r="N2237" s="2"/>
      <c r="O2237" s="2"/>
      <c r="P2237" s="2"/>
      <c r="Q2237" s="2"/>
      <c r="R2237" s="2"/>
      <c r="S2237" s="2"/>
    </row>
    <row r="2238" spans="10:19" x14ac:dyDescent="0.2">
      <c r="J2238" s="2"/>
      <c r="K2238" s="2"/>
      <c r="L2238" s="2"/>
      <c r="M2238" s="2"/>
      <c r="N2238" s="2"/>
      <c r="O2238" s="2"/>
      <c r="P2238" s="2"/>
      <c r="Q2238" s="2"/>
      <c r="R2238" s="2"/>
      <c r="S2238" s="2"/>
    </row>
    <row r="2239" spans="10:19" x14ac:dyDescent="0.2">
      <c r="J2239" s="2"/>
      <c r="K2239" s="2"/>
      <c r="L2239" s="2"/>
      <c r="M2239" s="2"/>
      <c r="N2239" s="2"/>
      <c r="O2239" s="2"/>
      <c r="P2239" s="2"/>
      <c r="Q2239" s="2"/>
      <c r="R2239" s="2"/>
      <c r="S2239" s="2"/>
    </row>
    <row r="2240" spans="10:19" x14ac:dyDescent="0.2">
      <c r="J2240" s="2"/>
      <c r="K2240" s="2"/>
      <c r="L2240" s="2"/>
      <c r="M2240" s="2"/>
      <c r="N2240" s="2"/>
      <c r="O2240" s="2"/>
      <c r="P2240" s="2"/>
      <c r="Q2240" s="2"/>
      <c r="R2240" s="2"/>
      <c r="S2240" s="2"/>
    </row>
    <row r="2241" spans="10:19" x14ac:dyDescent="0.2">
      <c r="J2241" s="2"/>
      <c r="K2241" s="2"/>
      <c r="L2241" s="2"/>
      <c r="M2241" s="2"/>
      <c r="N2241" s="2"/>
      <c r="O2241" s="2"/>
      <c r="P2241" s="2"/>
      <c r="Q2241" s="2"/>
      <c r="R2241" s="2"/>
      <c r="S2241" s="2"/>
    </row>
    <row r="2242" spans="10:19" x14ac:dyDescent="0.2">
      <c r="J2242" s="2"/>
      <c r="K2242" s="2"/>
      <c r="L2242" s="2"/>
      <c r="M2242" s="2"/>
      <c r="N2242" s="2"/>
      <c r="O2242" s="2"/>
      <c r="P2242" s="2"/>
      <c r="Q2242" s="2"/>
      <c r="R2242" s="2"/>
      <c r="S2242" s="2"/>
    </row>
    <row r="2243" spans="10:19" x14ac:dyDescent="0.2">
      <c r="J2243" s="2"/>
      <c r="K2243" s="2"/>
      <c r="L2243" s="2"/>
      <c r="M2243" s="2"/>
      <c r="N2243" s="2"/>
      <c r="O2243" s="2"/>
      <c r="P2243" s="2"/>
      <c r="Q2243" s="2"/>
      <c r="R2243" s="2"/>
      <c r="S2243" s="2"/>
    </row>
    <row r="2244" spans="10:19" x14ac:dyDescent="0.2">
      <c r="J2244" s="2"/>
      <c r="K2244" s="2"/>
      <c r="L2244" s="2"/>
      <c r="M2244" s="2"/>
      <c r="N2244" s="2"/>
      <c r="O2244" s="2"/>
      <c r="P2244" s="2"/>
      <c r="Q2244" s="2"/>
      <c r="R2244" s="2"/>
      <c r="S2244" s="2"/>
    </row>
    <row r="2245" spans="10:19" x14ac:dyDescent="0.2">
      <c r="J2245" s="2"/>
      <c r="K2245" s="2"/>
      <c r="L2245" s="2"/>
      <c r="M2245" s="2"/>
      <c r="N2245" s="2"/>
      <c r="O2245" s="2"/>
      <c r="P2245" s="2"/>
      <c r="Q2245" s="2"/>
      <c r="R2245" s="2"/>
      <c r="S2245" s="2"/>
    </row>
    <row r="2246" spans="10:19" x14ac:dyDescent="0.2">
      <c r="J2246" s="2"/>
      <c r="K2246" s="2"/>
      <c r="L2246" s="2"/>
      <c r="M2246" s="2"/>
      <c r="N2246" s="2"/>
      <c r="O2246" s="2"/>
      <c r="P2246" s="2"/>
      <c r="Q2246" s="2"/>
      <c r="R2246" s="2"/>
      <c r="S2246" s="2"/>
    </row>
    <row r="2247" spans="10:19" x14ac:dyDescent="0.2">
      <c r="J2247" s="2"/>
      <c r="K2247" s="2"/>
      <c r="L2247" s="2"/>
      <c r="M2247" s="2"/>
      <c r="N2247" s="2"/>
      <c r="O2247" s="2"/>
      <c r="P2247" s="2"/>
      <c r="Q2247" s="2"/>
      <c r="R2247" s="2"/>
      <c r="S2247" s="2"/>
    </row>
    <row r="2248" spans="10:19" x14ac:dyDescent="0.2">
      <c r="J2248" s="2"/>
      <c r="K2248" s="2"/>
      <c r="L2248" s="2"/>
      <c r="M2248" s="2"/>
      <c r="N2248" s="2"/>
      <c r="O2248" s="2"/>
      <c r="P2248" s="2"/>
      <c r="Q2248" s="2"/>
      <c r="R2248" s="2"/>
      <c r="S2248" s="2"/>
    </row>
    <row r="2249" spans="10:19" x14ac:dyDescent="0.2">
      <c r="J2249" s="2"/>
      <c r="K2249" s="2"/>
      <c r="L2249" s="2"/>
      <c r="M2249" s="2"/>
      <c r="N2249" s="2"/>
      <c r="O2249" s="2"/>
      <c r="P2249" s="2"/>
      <c r="Q2249" s="2"/>
      <c r="R2249" s="2"/>
      <c r="S2249" s="2"/>
    </row>
    <row r="2250" spans="10:19" x14ac:dyDescent="0.2">
      <c r="J2250" s="2"/>
      <c r="K2250" s="2"/>
      <c r="L2250" s="2"/>
      <c r="M2250" s="2"/>
      <c r="N2250" s="2"/>
      <c r="O2250" s="2"/>
      <c r="P2250" s="2"/>
      <c r="Q2250" s="2"/>
      <c r="R2250" s="2"/>
      <c r="S2250" s="2"/>
    </row>
    <row r="2251" spans="10:19" x14ac:dyDescent="0.2">
      <c r="J2251" s="2"/>
      <c r="K2251" s="2"/>
      <c r="L2251" s="2"/>
      <c r="M2251" s="2"/>
      <c r="N2251" s="2"/>
      <c r="O2251" s="2"/>
      <c r="P2251" s="2"/>
      <c r="Q2251" s="2"/>
      <c r="R2251" s="2"/>
      <c r="S2251" s="2"/>
    </row>
    <row r="2252" spans="10:19" x14ac:dyDescent="0.2">
      <c r="J2252" s="2"/>
      <c r="K2252" s="2"/>
      <c r="L2252" s="2"/>
      <c r="M2252" s="2"/>
      <c r="N2252" s="2"/>
      <c r="O2252" s="2"/>
      <c r="P2252" s="2"/>
      <c r="Q2252" s="2"/>
      <c r="R2252" s="2"/>
      <c r="S2252" s="2"/>
    </row>
    <row r="2253" spans="10:19" x14ac:dyDescent="0.2">
      <c r="J2253" s="2"/>
      <c r="K2253" s="2"/>
      <c r="L2253" s="2"/>
      <c r="M2253" s="2"/>
      <c r="N2253" s="2"/>
      <c r="O2253" s="2"/>
      <c r="P2253" s="2"/>
      <c r="Q2253" s="2"/>
      <c r="R2253" s="2"/>
      <c r="S2253" s="2"/>
    </row>
    <row r="2254" spans="10:19" x14ac:dyDescent="0.2">
      <c r="J2254" s="2"/>
      <c r="K2254" s="2"/>
      <c r="L2254" s="2"/>
      <c r="M2254" s="2"/>
      <c r="N2254" s="2"/>
      <c r="O2254" s="2"/>
      <c r="P2254" s="2"/>
      <c r="Q2254" s="2"/>
      <c r="R2254" s="2"/>
      <c r="S2254" s="2"/>
    </row>
    <row r="2255" spans="10:19" x14ac:dyDescent="0.2">
      <c r="J2255" s="2"/>
      <c r="K2255" s="2"/>
      <c r="L2255" s="2"/>
      <c r="M2255" s="2"/>
      <c r="N2255" s="2"/>
      <c r="O2255" s="2"/>
      <c r="P2255" s="2"/>
      <c r="Q2255" s="2"/>
      <c r="R2255" s="2"/>
      <c r="S2255" s="2"/>
    </row>
    <row r="2256" spans="10:19" x14ac:dyDescent="0.2">
      <c r="J2256" s="2"/>
      <c r="K2256" s="2"/>
      <c r="L2256" s="2"/>
      <c r="M2256" s="2"/>
      <c r="N2256" s="2"/>
      <c r="O2256" s="2"/>
      <c r="P2256" s="2"/>
      <c r="Q2256" s="2"/>
      <c r="R2256" s="2"/>
      <c r="S2256" s="2"/>
    </row>
    <row r="2257" spans="10:19" x14ac:dyDescent="0.2">
      <c r="J2257" s="2"/>
      <c r="K2257" s="2"/>
      <c r="L2257" s="2"/>
      <c r="M2257" s="2"/>
      <c r="N2257" s="2"/>
      <c r="O2257" s="2"/>
      <c r="P2257" s="2"/>
      <c r="Q2257" s="2"/>
      <c r="R2257" s="2"/>
      <c r="S2257" s="2"/>
    </row>
    <row r="2258" spans="10:19" x14ac:dyDescent="0.2">
      <c r="J2258" s="2"/>
      <c r="K2258" s="2"/>
      <c r="L2258" s="2"/>
      <c r="M2258" s="2"/>
      <c r="N2258" s="2"/>
      <c r="O2258" s="2"/>
      <c r="P2258" s="2"/>
      <c r="Q2258" s="2"/>
      <c r="R2258" s="2"/>
      <c r="S2258" s="2"/>
    </row>
    <row r="2259" spans="10:19" x14ac:dyDescent="0.2">
      <c r="J2259" s="2"/>
      <c r="K2259" s="2"/>
      <c r="L2259" s="2"/>
      <c r="M2259" s="2"/>
      <c r="N2259" s="2"/>
      <c r="O2259" s="2"/>
      <c r="P2259" s="2"/>
      <c r="Q2259" s="2"/>
      <c r="R2259" s="2"/>
      <c r="S2259" s="2"/>
    </row>
    <row r="2260" spans="10:19" x14ac:dyDescent="0.2">
      <c r="J2260" s="2"/>
      <c r="K2260" s="2"/>
      <c r="L2260" s="2"/>
      <c r="M2260" s="2"/>
      <c r="N2260" s="2"/>
      <c r="O2260" s="2"/>
      <c r="P2260" s="2"/>
      <c r="Q2260" s="2"/>
      <c r="R2260" s="2"/>
      <c r="S2260" s="2"/>
    </row>
    <row r="2261" spans="10:19" x14ac:dyDescent="0.2">
      <c r="J2261" s="2"/>
      <c r="K2261" s="2"/>
      <c r="L2261" s="2"/>
      <c r="M2261" s="2"/>
      <c r="N2261" s="2"/>
      <c r="O2261" s="2"/>
      <c r="P2261" s="2"/>
      <c r="Q2261" s="2"/>
      <c r="R2261" s="2"/>
      <c r="S2261" s="2"/>
    </row>
    <row r="2262" spans="10:19" x14ac:dyDescent="0.2">
      <c r="J2262" s="2"/>
      <c r="K2262" s="2"/>
      <c r="L2262" s="2"/>
      <c r="M2262" s="2"/>
      <c r="N2262" s="2"/>
      <c r="O2262" s="2"/>
      <c r="P2262" s="2"/>
      <c r="Q2262" s="2"/>
      <c r="R2262" s="2"/>
      <c r="S2262" s="2"/>
    </row>
    <row r="2263" spans="10:19" x14ac:dyDescent="0.2">
      <c r="J2263" s="2"/>
      <c r="K2263" s="2"/>
      <c r="L2263" s="2"/>
      <c r="M2263" s="2"/>
      <c r="N2263" s="2"/>
      <c r="O2263" s="2"/>
      <c r="P2263" s="2"/>
      <c r="Q2263" s="2"/>
      <c r="R2263" s="2"/>
      <c r="S2263" s="2"/>
    </row>
    <row r="2264" spans="10:19" x14ac:dyDescent="0.2">
      <c r="J2264" s="2"/>
      <c r="K2264" s="2"/>
      <c r="L2264" s="2"/>
      <c r="M2264" s="2"/>
      <c r="N2264" s="2"/>
      <c r="O2264" s="2"/>
      <c r="P2264" s="2"/>
      <c r="Q2264" s="2"/>
      <c r="R2264" s="2"/>
      <c r="S2264" s="2"/>
    </row>
    <row r="2265" spans="10:19" x14ac:dyDescent="0.2">
      <c r="J2265" s="2"/>
      <c r="K2265" s="2"/>
      <c r="L2265" s="2"/>
      <c r="M2265" s="2"/>
      <c r="N2265" s="2"/>
      <c r="O2265" s="2"/>
      <c r="P2265" s="2"/>
      <c r="Q2265" s="2"/>
      <c r="R2265" s="2"/>
      <c r="S2265" s="2"/>
    </row>
    <row r="2266" spans="10:19" x14ac:dyDescent="0.2">
      <c r="J2266" s="2"/>
      <c r="K2266" s="2"/>
      <c r="L2266" s="2"/>
      <c r="M2266" s="2"/>
      <c r="N2266" s="2"/>
      <c r="O2266" s="2"/>
      <c r="P2266" s="2"/>
      <c r="Q2266" s="2"/>
      <c r="R2266" s="2"/>
      <c r="S2266" s="2"/>
    </row>
    <row r="2267" spans="10:19" x14ac:dyDescent="0.2">
      <c r="J2267" s="2"/>
      <c r="K2267" s="2"/>
      <c r="L2267" s="2"/>
      <c r="M2267" s="2"/>
      <c r="N2267" s="2"/>
      <c r="O2267" s="2"/>
      <c r="P2267" s="2"/>
      <c r="Q2267" s="2"/>
      <c r="R2267" s="2"/>
      <c r="S2267" s="2"/>
    </row>
    <row r="2268" spans="10:19" x14ac:dyDescent="0.2">
      <c r="J2268" s="2"/>
      <c r="K2268" s="2"/>
      <c r="L2268" s="2"/>
      <c r="M2268" s="2"/>
      <c r="N2268" s="2"/>
      <c r="O2268" s="2"/>
      <c r="P2268" s="2"/>
      <c r="Q2268" s="2"/>
      <c r="R2268" s="2"/>
      <c r="S2268" s="2"/>
    </row>
    <row r="2269" spans="10:19" x14ac:dyDescent="0.2">
      <c r="J2269" s="2"/>
      <c r="K2269" s="2"/>
      <c r="L2269" s="2"/>
      <c r="M2269" s="2"/>
      <c r="N2269" s="2"/>
      <c r="O2269" s="2"/>
      <c r="P2269" s="2"/>
      <c r="Q2269" s="2"/>
      <c r="R2269" s="2"/>
      <c r="S2269" s="2"/>
    </row>
    <row r="2270" spans="10:19" x14ac:dyDescent="0.2">
      <c r="J2270" s="2"/>
      <c r="K2270" s="2"/>
      <c r="L2270" s="2"/>
      <c r="M2270" s="2"/>
      <c r="N2270" s="2"/>
      <c r="O2270" s="2"/>
      <c r="P2270" s="2"/>
      <c r="Q2270" s="2"/>
      <c r="R2270" s="2"/>
      <c r="S2270" s="2"/>
    </row>
    <row r="2271" spans="10:19" x14ac:dyDescent="0.2">
      <c r="J2271" s="2"/>
      <c r="K2271" s="2"/>
      <c r="L2271" s="2"/>
      <c r="M2271" s="2"/>
      <c r="N2271" s="2"/>
      <c r="O2271" s="2"/>
      <c r="P2271" s="2"/>
      <c r="Q2271" s="2"/>
      <c r="R2271" s="2"/>
      <c r="S2271" s="2"/>
    </row>
    <row r="2272" spans="10:19" x14ac:dyDescent="0.2">
      <c r="J2272" s="2"/>
      <c r="K2272" s="2"/>
      <c r="L2272" s="2"/>
      <c r="M2272" s="2"/>
      <c r="N2272" s="2"/>
      <c r="O2272" s="2"/>
      <c r="P2272" s="2"/>
      <c r="Q2272" s="2"/>
      <c r="R2272" s="2"/>
      <c r="S2272" s="2"/>
    </row>
    <row r="2273" spans="10:19" x14ac:dyDescent="0.2">
      <c r="J2273" s="2"/>
      <c r="K2273" s="2"/>
      <c r="L2273" s="2"/>
      <c r="M2273" s="2"/>
      <c r="N2273" s="2"/>
      <c r="O2273" s="2"/>
      <c r="P2273" s="2"/>
      <c r="Q2273" s="2"/>
      <c r="R2273" s="2"/>
      <c r="S2273" s="2"/>
    </row>
    <row r="2274" spans="10:19" x14ac:dyDescent="0.2">
      <c r="J2274" s="2"/>
      <c r="K2274" s="2"/>
      <c r="L2274" s="2"/>
      <c r="M2274" s="2"/>
      <c r="N2274" s="2"/>
      <c r="O2274" s="2"/>
      <c r="P2274" s="2"/>
      <c r="Q2274" s="2"/>
      <c r="R2274" s="2"/>
      <c r="S2274" s="2"/>
    </row>
    <row r="2275" spans="10:19" x14ac:dyDescent="0.2">
      <c r="J2275" s="2"/>
      <c r="K2275" s="2"/>
      <c r="L2275" s="2"/>
      <c r="M2275" s="2"/>
      <c r="N2275" s="2"/>
      <c r="O2275" s="2"/>
      <c r="P2275" s="2"/>
      <c r="Q2275" s="2"/>
      <c r="R2275" s="2"/>
      <c r="S2275" s="2"/>
    </row>
    <row r="2276" spans="10:19" x14ac:dyDescent="0.2">
      <c r="J2276" s="2"/>
      <c r="K2276" s="2"/>
      <c r="L2276" s="2"/>
      <c r="M2276" s="2"/>
      <c r="N2276" s="2"/>
      <c r="O2276" s="2"/>
      <c r="P2276" s="2"/>
      <c r="Q2276" s="2"/>
      <c r="R2276" s="2"/>
      <c r="S2276" s="2"/>
    </row>
    <row r="2277" spans="10:19" x14ac:dyDescent="0.2">
      <c r="J2277" s="2"/>
      <c r="K2277" s="2"/>
      <c r="L2277" s="2"/>
      <c r="M2277" s="2"/>
      <c r="N2277" s="2"/>
      <c r="O2277" s="2"/>
      <c r="P2277" s="2"/>
      <c r="Q2277" s="2"/>
      <c r="R2277" s="2"/>
      <c r="S2277" s="2"/>
    </row>
    <row r="2278" spans="10:19" x14ac:dyDescent="0.2">
      <c r="J2278" s="2"/>
      <c r="K2278" s="2"/>
      <c r="L2278" s="2"/>
      <c r="M2278" s="2"/>
      <c r="N2278" s="2"/>
      <c r="O2278" s="2"/>
      <c r="P2278" s="2"/>
      <c r="Q2278" s="2"/>
      <c r="R2278" s="2"/>
      <c r="S2278" s="2"/>
    </row>
    <row r="2279" spans="10:19" x14ac:dyDescent="0.2">
      <c r="J2279" s="2"/>
      <c r="K2279" s="2"/>
      <c r="L2279" s="2"/>
      <c r="M2279" s="2"/>
      <c r="N2279" s="2"/>
      <c r="O2279" s="2"/>
      <c r="P2279" s="2"/>
      <c r="Q2279" s="2"/>
      <c r="R2279" s="2"/>
      <c r="S2279" s="2"/>
    </row>
    <row r="2280" spans="10:19" x14ac:dyDescent="0.2">
      <c r="J2280" s="2"/>
      <c r="K2280" s="2"/>
      <c r="L2280" s="2"/>
      <c r="M2280" s="2"/>
      <c r="N2280" s="2"/>
      <c r="O2280" s="2"/>
      <c r="P2280" s="2"/>
      <c r="Q2280" s="2"/>
      <c r="R2280" s="2"/>
      <c r="S2280" s="2"/>
    </row>
    <row r="2281" spans="10:19" x14ac:dyDescent="0.2">
      <c r="J2281" s="2"/>
      <c r="K2281" s="2"/>
      <c r="L2281" s="2"/>
      <c r="M2281" s="2"/>
      <c r="N2281" s="2"/>
      <c r="O2281" s="2"/>
      <c r="P2281" s="2"/>
      <c r="Q2281" s="2"/>
      <c r="R2281" s="2"/>
      <c r="S2281" s="2"/>
    </row>
    <row r="2282" spans="10:19" x14ac:dyDescent="0.2">
      <c r="J2282" s="2"/>
      <c r="K2282" s="2"/>
      <c r="L2282" s="2"/>
      <c r="M2282" s="2"/>
      <c r="N2282" s="2"/>
      <c r="O2282" s="2"/>
      <c r="P2282" s="2"/>
      <c r="Q2282" s="2"/>
      <c r="R2282" s="2"/>
      <c r="S2282" s="2"/>
    </row>
    <row r="2283" spans="10:19" x14ac:dyDescent="0.2">
      <c r="J2283" s="2"/>
      <c r="K2283" s="2"/>
      <c r="L2283" s="2"/>
      <c r="M2283" s="2"/>
      <c r="N2283" s="2"/>
      <c r="O2283" s="2"/>
      <c r="P2283" s="2"/>
      <c r="Q2283" s="2"/>
      <c r="R2283" s="2"/>
      <c r="S2283" s="2"/>
    </row>
    <row r="2284" spans="10:19" x14ac:dyDescent="0.2">
      <c r="J2284" s="2"/>
      <c r="K2284" s="2"/>
      <c r="L2284" s="2"/>
      <c r="M2284" s="2"/>
      <c r="N2284" s="2"/>
      <c r="O2284" s="2"/>
      <c r="P2284" s="2"/>
      <c r="Q2284" s="2"/>
      <c r="R2284" s="2"/>
      <c r="S2284" s="2"/>
    </row>
    <row r="2285" spans="10:19" x14ac:dyDescent="0.2">
      <c r="J2285" s="2"/>
      <c r="K2285" s="2"/>
      <c r="L2285" s="2"/>
      <c r="M2285" s="2"/>
      <c r="N2285" s="2"/>
      <c r="O2285" s="2"/>
      <c r="P2285" s="2"/>
      <c r="Q2285" s="2"/>
      <c r="R2285" s="2"/>
      <c r="S2285" s="2"/>
    </row>
    <row r="2286" spans="10:19" x14ac:dyDescent="0.2">
      <c r="J2286" s="2"/>
      <c r="K2286" s="2"/>
      <c r="L2286" s="2"/>
      <c r="M2286" s="2"/>
      <c r="N2286" s="2"/>
      <c r="O2286" s="2"/>
      <c r="P2286" s="2"/>
      <c r="Q2286" s="2"/>
      <c r="R2286" s="2"/>
      <c r="S2286" s="2"/>
    </row>
    <row r="2287" spans="10:19" x14ac:dyDescent="0.2">
      <c r="J2287" s="2"/>
      <c r="K2287" s="2"/>
      <c r="L2287" s="2"/>
      <c r="M2287" s="2"/>
      <c r="N2287" s="2"/>
      <c r="O2287" s="2"/>
      <c r="P2287" s="2"/>
      <c r="Q2287" s="2"/>
      <c r="R2287" s="2"/>
      <c r="S2287" s="2"/>
    </row>
    <row r="2288" spans="10:19" x14ac:dyDescent="0.2">
      <c r="J2288" s="2"/>
      <c r="K2288" s="2"/>
      <c r="L2288" s="2"/>
      <c r="M2288" s="2"/>
      <c r="N2288" s="2"/>
      <c r="O2288" s="2"/>
      <c r="P2288" s="2"/>
      <c r="Q2288" s="2"/>
      <c r="R2288" s="2"/>
      <c r="S2288" s="2"/>
    </row>
    <row r="2289" spans="10:19" x14ac:dyDescent="0.2">
      <c r="J2289" s="2"/>
      <c r="K2289" s="2"/>
      <c r="L2289" s="2"/>
      <c r="M2289" s="2"/>
      <c r="N2289" s="2"/>
      <c r="O2289" s="2"/>
      <c r="P2289" s="2"/>
      <c r="Q2289" s="2"/>
      <c r="R2289" s="2"/>
      <c r="S2289" s="2"/>
    </row>
    <row r="2290" spans="10:19" x14ac:dyDescent="0.2">
      <c r="J2290" s="2"/>
      <c r="K2290" s="2"/>
      <c r="L2290" s="2"/>
      <c r="M2290" s="2"/>
      <c r="N2290" s="2"/>
      <c r="O2290" s="2"/>
      <c r="P2290" s="2"/>
      <c r="Q2290" s="2"/>
      <c r="R2290" s="2"/>
      <c r="S2290" s="2"/>
    </row>
    <row r="2291" spans="10:19" x14ac:dyDescent="0.2">
      <c r="J2291" s="2"/>
      <c r="K2291" s="2"/>
      <c r="L2291" s="2"/>
      <c r="M2291" s="2"/>
      <c r="N2291" s="2"/>
      <c r="O2291" s="2"/>
      <c r="P2291" s="2"/>
      <c r="Q2291" s="2"/>
      <c r="R2291" s="2"/>
      <c r="S2291" s="2"/>
    </row>
    <row r="2292" spans="10:19" x14ac:dyDescent="0.2">
      <c r="J2292" s="2"/>
      <c r="K2292" s="2"/>
      <c r="L2292" s="2"/>
      <c r="M2292" s="2"/>
      <c r="N2292" s="2"/>
      <c r="O2292" s="2"/>
      <c r="P2292" s="2"/>
      <c r="Q2292" s="2"/>
      <c r="R2292" s="2"/>
      <c r="S2292" s="2"/>
    </row>
    <row r="2293" spans="10:19" x14ac:dyDescent="0.2">
      <c r="J2293" s="2"/>
      <c r="K2293" s="2"/>
      <c r="L2293" s="2"/>
      <c r="M2293" s="2"/>
      <c r="N2293" s="2"/>
      <c r="O2293" s="2"/>
      <c r="P2293" s="2"/>
      <c r="Q2293" s="2"/>
      <c r="R2293" s="2"/>
      <c r="S2293" s="2"/>
    </row>
    <row r="2294" spans="10:19" x14ac:dyDescent="0.2">
      <c r="J2294" s="2"/>
      <c r="K2294" s="2"/>
      <c r="L2294" s="2"/>
      <c r="M2294" s="2"/>
      <c r="N2294" s="2"/>
      <c r="O2294" s="2"/>
      <c r="P2294" s="2"/>
      <c r="Q2294" s="2"/>
      <c r="R2294" s="2"/>
      <c r="S2294" s="2"/>
    </row>
    <row r="2295" spans="10:19" x14ac:dyDescent="0.2">
      <c r="J2295" s="2"/>
      <c r="K2295" s="2"/>
      <c r="L2295" s="2"/>
      <c r="M2295" s="2"/>
      <c r="N2295" s="2"/>
      <c r="O2295" s="2"/>
      <c r="P2295" s="2"/>
      <c r="Q2295" s="2"/>
      <c r="R2295" s="2"/>
      <c r="S2295" s="2"/>
    </row>
    <row r="2296" spans="10:19" x14ac:dyDescent="0.2">
      <c r="J2296" s="2"/>
      <c r="K2296" s="2"/>
      <c r="L2296" s="2"/>
      <c r="M2296" s="2"/>
      <c r="N2296" s="2"/>
      <c r="O2296" s="2"/>
      <c r="P2296" s="2"/>
      <c r="Q2296" s="2"/>
      <c r="R2296" s="2"/>
      <c r="S2296" s="2"/>
    </row>
    <row r="2297" spans="10:19" x14ac:dyDescent="0.2">
      <c r="J2297" s="2"/>
      <c r="K2297" s="2"/>
      <c r="L2297" s="2"/>
      <c r="M2297" s="2"/>
      <c r="N2297" s="2"/>
      <c r="O2297" s="2"/>
      <c r="P2297" s="2"/>
      <c r="Q2297" s="2"/>
      <c r="R2297" s="2"/>
      <c r="S2297" s="2"/>
    </row>
    <row r="2298" spans="10:19" x14ac:dyDescent="0.2">
      <c r="J2298" s="2"/>
      <c r="K2298" s="2"/>
      <c r="L2298" s="2"/>
      <c r="M2298" s="2"/>
      <c r="N2298" s="2"/>
      <c r="O2298" s="2"/>
      <c r="P2298" s="2"/>
      <c r="Q2298" s="2"/>
      <c r="R2298" s="2"/>
      <c r="S2298" s="2"/>
    </row>
    <row r="2299" spans="10:19" x14ac:dyDescent="0.2">
      <c r="J2299" s="2"/>
      <c r="K2299" s="2"/>
      <c r="L2299" s="2"/>
      <c r="M2299" s="2"/>
      <c r="N2299" s="2"/>
      <c r="O2299" s="2"/>
      <c r="P2299" s="2"/>
      <c r="Q2299" s="2"/>
      <c r="R2299" s="2"/>
      <c r="S2299" s="2"/>
    </row>
    <row r="2300" spans="10:19" x14ac:dyDescent="0.2">
      <c r="J2300" s="2"/>
      <c r="K2300" s="2"/>
      <c r="L2300" s="2"/>
      <c r="M2300" s="2"/>
      <c r="N2300" s="2"/>
      <c r="O2300" s="2"/>
      <c r="P2300" s="2"/>
      <c r="Q2300" s="2"/>
      <c r="R2300" s="2"/>
      <c r="S2300" s="2"/>
    </row>
    <row r="2301" spans="10:19" x14ac:dyDescent="0.2">
      <c r="J2301" s="2"/>
      <c r="K2301" s="2"/>
      <c r="L2301" s="2"/>
      <c r="M2301" s="2"/>
      <c r="N2301" s="2"/>
      <c r="O2301" s="2"/>
      <c r="P2301" s="2"/>
      <c r="Q2301" s="2"/>
      <c r="R2301" s="2"/>
      <c r="S2301" s="2"/>
    </row>
    <row r="2302" spans="10:19" x14ac:dyDescent="0.2">
      <c r="J2302" s="2"/>
      <c r="K2302" s="2"/>
      <c r="L2302" s="2"/>
      <c r="M2302" s="2"/>
      <c r="N2302" s="2"/>
      <c r="O2302" s="2"/>
      <c r="P2302" s="2"/>
      <c r="Q2302" s="2"/>
      <c r="R2302" s="2"/>
      <c r="S2302" s="2"/>
    </row>
    <row r="2303" spans="10:19" x14ac:dyDescent="0.2">
      <c r="J2303" s="2"/>
      <c r="K2303" s="2"/>
      <c r="L2303" s="2"/>
      <c r="M2303" s="2"/>
      <c r="N2303" s="2"/>
      <c r="O2303" s="2"/>
      <c r="P2303" s="2"/>
      <c r="Q2303" s="2"/>
      <c r="R2303" s="2"/>
      <c r="S2303" s="2"/>
    </row>
    <row r="2304" spans="10:19" x14ac:dyDescent="0.2">
      <c r="J2304" s="2"/>
      <c r="K2304" s="2"/>
      <c r="L2304" s="2"/>
      <c r="M2304" s="2"/>
      <c r="N2304" s="2"/>
      <c r="O2304" s="2"/>
      <c r="P2304" s="2"/>
      <c r="Q2304" s="2"/>
      <c r="R2304" s="2"/>
      <c r="S2304" s="2"/>
    </row>
    <row r="2305" spans="10:19" x14ac:dyDescent="0.2">
      <c r="J2305" s="2"/>
      <c r="K2305" s="2"/>
      <c r="L2305" s="2"/>
      <c r="M2305" s="2"/>
      <c r="N2305" s="2"/>
      <c r="O2305" s="2"/>
      <c r="P2305" s="2"/>
      <c r="Q2305" s="2"/>
      <c r="R2305" s="2"/>
      <c r="S2305" s="2"/>
    </row>
    <row r="2306" spans="10:19" x14ac:dyDescent="0.2">
      <c r="J2306" s="2"/>
      <c r="K2306" s="2"/>
      <c r="L2306" s="2"/>
      <c r="M2306" s="2"/>
      <c r="N2306" s="2"/>
      <c r="O2306" s="2"/>
      <c r="P2306" s="2"/>
      <c r="Q2306" s="2"/>
      <c r="R2306" s="2"/>
      <c r="S2306" s="2"/>
    </row>
    <row r="2307" spans="10:19" x14ac:dyDescent="0.2">
      <c r="J2307" s="2"/>
      <c r="K2307" s="2"/>
      <c r="L2307" s="2"/>
      <c r="M2307" s="2"/>
      <c r="N2307" s="2"/>
      <c r="O2307" s="2"/>
      <c r="P2307" s="2"/>
      <c r="Q2307" s="2"/>
      <c r="R2307" s="2"/>
      <c r="S2307" s="2"/>
    </row>
    <row r="2308" spans="10:19" x14ac:dyDescent="0.2">
      <c r="J2308" s="2"/>
      <c r="K2308" s="2"/>
      <c r="L2308" s="2"/>
      <c r="M2308" s="2"/>
      <c r="N2308" s="2"/>
      <c r="O2308" s="2"/>
      <c r="P2308" s="2"/>
      <c r="Q2308" s="2"/>
      <c r="R2308" s="2"/>
      <c r="S2308" s="2"/>
    </row>
    <row r="2309" spans="10:19" x14ac:dyDescent="0.2">
      <c r="J2309" s="2"/>
      <c r="K2309" s="2"/>
      <c r="L2309" s="2"/>
      <c r="M2309" s="2"/>
      <c r="N2309" s="2"/>
      <c r="O2309" s="2"/>
      <c r="P2309" s="2"/>
      <c r="Q2309" s="2"/>
      <c r="R2309" s="2"/>
      <c r="S2309" s="2"/>
    </row>
    <row r="2310" spans="10:19" x14ac:dyDescent="0.2">
      <c r="J2310" s="2"/>
      <c r="K2310" s="2"/>
      <c r="L2310" s="2"/>
      <c r="M2310" s="2"/>
      <c r="N2310" s="2"/>
      <c r="O2310" s="2"/>
      <c r="P2310" s="2"/>
      <c r="Q2310" s="2"/>
      <c r="R2310" s="2"/>
      <c r="S2310" s="2"/>
    </row>
    <row r="2311" spans="10:19" x14ac:dyDescent="0.2">
      <c r="J2311" s="2"/>
      <c r="K2311" s="2"/>
      <c r="L2311" s="2"/>
      <c r="M2311" s="2"/>
      <c r="N2311" s="2"/>
      <c r="O2311" s="2"/>
      <c r="P2311" s="2"/>
      <c r="Q2311" s="2"/>
      <c r="R2311" s="2"/>
      <c r="S2311" s="2"/>
    </row>
    <row r="2312" spans="10:19" x14ac:dyDescent="0.2">
      <c r="J2312" s="2"/>
      <c r="K2312" s="2"/>
      <c r="L2312" s="2"/>
      <c r="M2312" s="2"/>
      <c r="N2312" s="2"/>
      <c r="O2312" s="2"/>
      <c r="P2312" s="2"/>
      <c r="Q2312" s="2"/>
      <c r="R2312" s="2"/>
      <c r="S2312" s="2"/>
    </row>
    <row r="2313" spans="10:19" x14ac:dyDescent="0.2">
      <c r="J2313" s="2"/>
      <c r="K2313" s="2"/>
      <c r="L2313" s="2"/>
      <c r="M2313" s="2"/>
      <c r="N2313" s="2"/>
      <c r="O2313" s="2"/>
      <c r="P2313" s="2"/>
      <c r="Q2313" s="2"/>
      <c r="R2313" s="2"/>
      <c r="S2313" s="2"/>
    </row>
    <row r="2314" spans="10:19" x14ac:dyDescent="0.2">
      <c r="J2314" s="2"/>
      <c r="K2314" s="2"/>
      <c r="L2314" s="2"/>
      <c r="M2314" s="2"/>
      <c r="N2314" s="2"/>
      <c r="O2314" s="2"/>
      <c r="P2314" s="2"/>
      <c r="Q2314" s="2"/>
      <c r="R2314" s="2"/>
      <c r="S2314" s="2"/>
    </row>
    <row r="2315" spans="10:19" x14ac:dyDescent="0.2">
      <c r="J2315" s="2"/>
      <c r="K2315" s="2"/>
      <c r="L2315" s="2"/>
      <c r="M2315" s="2"/>
      <c r="N2315" s="2"/>
      <c r="O2315" s="2"/>
      <c r="P2315" s="2"/>
      <c r="Q2315" s="2"/>
      <c r="R2315" s="2"/>
      <c r="S2315" s="2"/>
    </row>
    <row r="2316" spans="10:19" x14ac:dyDescent="0.2">
      <c r="J2316" s="2"/>
      <c r="K2316" s="2"/>
      <c r="L2316" s="2"/>
      <c r="M2316" s="2"/>
      <c r="N2316" s="2"/>
      <c r="O2316" s="2"/>
      <c r="P2316" s="2"/>
      <c r="Q2316" s="2"/>
      <c r="R2316" s="2"/>
      <c r="S2316" s="2"/>
    </row>
    <row r="2317" spans="10:19" x14ac:dyDescent="0.2">
      <c r="J2317" s="2"/>
      <c r="K2317" s="2"/>
      <c r="L2317" s="2"/>
      <c r="M2317" s="2"/>
      <c r="N2317" s="2"/>
      <c r="O2317" s="2"/>
      <c r="P2317" s="2"/>
      <c r="Q2317" s="2"/>
      <c r="R2317" s="2"/>
      <c r="S2317" s="2"/>
    </row>
    <row r="2318" spans="10:19" x14ac:dyDescent="0.2">
      <c r="J2318" s="2"/>
      <c r="K2318" s="2"/>
      <c r="L2318" s="2"/>
      <c r="M2318" s="2"/>
      <c r="N2318" s="2"/>
      <c r="O2318" s="2"/>
      <c r="P2318" s="2"/>
      <c r="Q2318" s="2"/>
      <c r="R2318" s="2"/>
      <c r="S2318" s="2"/>
    </row>
    <row r="2319" spans="10:19" x14ac:dyDescent="0.2">
      <c r="J2319" s="2"/>
      <c r="K2319" s="2"/>
      <c r="L2319" s="2"/>
      <c r="M2319" s="2"/>
      <c r="N2319" s="2"/>
      <c r="O2319" s="2"/>
      <c r="P2319" s="2"/>
      <c r="Q2319" s="2"/>
      <c r="R2319" s="2"/>
      <c r="S2319" s="2"/>
    </row>
    <row r="2320" spans="10:19" x14ac:dyDescent="0.2">
      <c r="J2320" s="2"/>
      <c r="K2320" s="2"/>
      <c r="L2320" s="2"/>
      <c r="M2320" s="2"/>
      <c r="N2320" s="2"/>
      <c r="O2320" s="2"/>
      <c r="P2320" s="2"/>
      <c r="Q2320" s="2"/>
      <c r="R2320" s="2"/>
      <c r="S2320" s="2"/>
    </row>
    <row r="2321" spans="10:19" x14ac:dyDescent="0.2">
      <c r="J2321" s="2"/>
      <c r="K2321" s="2"/>
      <c r="L2321" s="2"/>
      <c r="M2321" s="2"/>
      <c r="N2321" s="2"/>
      <c r="O2321" s="2"/>
      <c r="P2321" s="2"/>
      <c r="Q2321" s="2"/>
      <c r="R2321" s="2"/>
      <c r="S2321" s="2"/>
    </row>
    <row r="2322" spans="10:19" x14ac:dyDescent="0.2">
      <c r="J2322" s="2"/>
      <c r="K2322" s="2"/>
      <c r="L2322" s="2"/>
      <c r="M2322" s="2"/>
      <c r="N2322" s="2"/>
      <c r="O2322" s="2"/>
      <c r="P2322" s="2"/>
      <c r="Q2322" s="2"/>
      <c r="R2322" s="2"/>
      <c r="S2322" s="2"/>
    </row>
    <row r="2323" spans="10:19" x14ac:dyDescent="0.2">
      <c r="J2323" s="2"/>
      <c r="K2323" s="2"/>
      <c r="L2323" s="2"/>
      <c r="M2323" s="2"/>
      <c r="N2323" s="2"/>
      <c r="O2323" s="2"/>
      <c r="P2323" s="2"/>
      <c r="Q2323" s="2"/>
      <c r="R2323" s="2"/>
      <c r="S2323" s="2"/>
    </row>
    <row r="2324" spans="10:19" x14ac:dyDescent="0.2">
      <c r="J2324" s="2"/>
      <c r="K2324" s="2"/>
      <c r="L2324" s="2"/>
      <c r="M2324" s="2"/>
      <c r="N2324" s="2"/>
      <c r="O2324" s="2"/>
      <c r="P2324" s="2"/>
      <c r="Q2324" s="2"/>
      <c r="R2324" s="2"/>
      <c r="S2324" s="2"/>
    </row>
    <row r="2325" spans="10:19" x14ac:dyDescent="0.2">
      <c r="J2325" s="2"/>
      <c r="K2325" s="2"/>
      <c r="L2325" s="2"/>
      <c r="M2325" s="2"/>
      <c r="N2325" s="2"/>
      <c r="O2325" s="2"/>
      <c r="P2325" s="2"/>
      <c r="Q2325" s="2"/>
      <c r="R2325" s="2"/>
      <c r="S2325" s="2"/>
    </row>
    <row r="2326" spans="10:19" x14ac:dyDescent="0.2">
      <c r="J2326" s="2"/>
      <c r="K2326" s="2"/>
      <c r="L2326" s="2"/>
      <c r="M2326" s="2"/>
      <c r="N2326" s="2"/>
      <c r="O2326" s="2"/>
      <c r="P2326" s="2"/>
      <c r="Q2326" s="2"/>
      <c r="R2326" s="2"/>
      <c r="S2326" s="2"/>
    </row>
    <row r="2327" spans="10:19" x14ac:dyDescent="0.2">
      <c r="J2327" s="2"/>
      <c r="K2327" s="2"/>
      <c r="L2327" s="2"/>
      <c r="M2327" s="2"/>
      <c r="N2327" s="2"/>
      <c r="O2327" s="2"/>
      <c r="P2327" s="2"/>
      <c r="Q2327" s="2"/>
      <c r="R2327" s="2"/>
      <c r="S2327" s="2"/>
    </row>
    <row r="2328" spans="10:19" x14ac:dyDescent="0.2">
      <c r="J2328" s="2"/>
      <c r="K2328" s="2"/>
      <c r="L2328" s="2"/>
      <c r="M2328" s="2"/>
      <c r="N2328" s="2"/>
      <c r="O2328" s="2"/>
      <c r="P2328" s="2"/>
      <c r="Q2328" s="2"/>
      <c r="R2328" s="2"/>
      <c r="S2328" s="2"/>
    </row>
    <row r="2329" spans="10:19" x14ac:dyDescent="0.2">
      <c r="J2329" s="2"/>
      <c r="K2329" s="2"/>
      <c r="L2329" s="2"/>
      <c r="M2329" s="2"/>
      <c r="N2329" s="2"/>
      <c r="O2329" s="2"/>
      <c r="P2329" s="2"/>
      <c r="Q2329" s="2"/>
      <c r="R2329" s="2"/>
      <c r="S2329" s="2"/>
    </row>
    <row r="2330" spans="10:19" x14ac:dyDescent="0.2">
      <c r="J2330" s="2"/>
      <c r="K2330" s="2"/>
      <c r="L2330" s="2"/>
      <c r="M2330" s="2"/>
      <c r="N2330" s="2"/>
      <c r="O2330" s="2"/>
      <c r="P2330" s="2"/>
      <c r="Q2330" s="2"/>
      <c r="R2330" s="2"/>
      <c r="S2330" s="2"/>
    </row>
    <row r="2331" spans="10:19" x14ac:dyDescent="0.2">
      <c r="J2331" s="2"/>
      <c r="K2331" s="2"/>
      <c r="L2331" s="2"/>
      <c r="M2331" s="2"/>
      <c r="N2331" s="2"/>
      <c r="O2331" s="2"/>
      <c r="P2331" s="2"/>
      <c r="Q2331" s="2"/>
      <c r="R2331" s="2"/>
      <c r="S2331" s="2"/>
    </row>
    <row r="2332" spans="10:19" x14ac:dyDescent="0.2">
      <c r="J2332" s="2"/>
      <c r="K2332" s="2"/>
      <c r="L2332" s="2"/>
      <c r="M2332" s="2"/>
      <c r="N2332" s="2"/>
      <c r="O2332" s="2"/>
      <c r="P2332" s="2"/>
      <c r="Q2332" s="2"/>
      <c r="R2332" s="2"/>
      <c r="S2332" s="2"/>
    </row>
    <row r="2333" spans="10:19" x14ac:dyDescent="0.2">
      <c r="J2333" s="2"/>
      <c r="K2333" s="2"/>
      <c r="L2333" s="2"/>
      <c r="M2333" s="2"/>
      <c r="N2333" s="2"/>
      <c r="O2333" s="2"/>
      <c r="P2333" s="2"/>
      <c r="Q2333" s="2"/>
      <c r="R2333" s="2"/>
      <c r="S2333" s="2"/>
    </row>
    <row r="2334" spans="10:19" x14ac:dyDescent="0.2">
      <c r="J2334" s="2"/>
      <c r="K2334" s="2"/>
      <c r="L2334" s="2"/>
      <c r="M2334" s="2"/>
      <c r="N2334" s="2"/>
      <c r="O2334" s="2"/>
      <c r="P2334" s="2"/>
      <c r="Q2334" s="2"/>
      <c r="R2334" s="2"/>
      <c r="S2334" s="2"/>
    </row>
    <row r="2335" spans="10:19" x14ac:dyDescent="0.2">
      <c r="J2335" s="2"/>
      <c r="K2335" s="2"/>
      <c r="L2335" s="2"/>
      <c r="M2335" s="2"/>
      <c r="N2335" s="2"/>
      <c r="O2335" s="2"/>
      <c r="P2335" s="2"/>
      <c r="Q2335" s="2"/>
      <c r="R2335" s="2"/>
      <c r="S2335" s="2"/>
    </row>
    <row r="2336" spans="10:19" x14ac:dyDescent="0.2">
      <c r="J2336" s="2"/>
      <c r="K2336" s="2"/>
      <c r="L2336" s="2"/>
      <c r="M2336" s="2"/>
      <c r="N2336" s="2"/>
      <c r="O2336" s="2"/>
      <c r="P2336" s="2"/>
      <c r="Q2336" s="2"/>
      <c r="R2336" s="2"/>
      <c r="S2336" s="2"/>
    </row>
    <row r="2337" spans="10:19" x14ac:dyDescent="0.2">
      <c r="J2337" s="2"/>
      <c r="K2337" s="2"/>
      <c r="L2337" s="2"/>
      <c r="M2337" s="2"/>
      <c r="N2337" s="2"/>
      <c r="O2337" s="2"/>
      <c r="P2337" s="2"/>
      <c r="Q2337" s="2"/>
      <c r="R2337" s="2"/>
      <c r="S2337" s="2"/>
    </row>
    <row r="2338" spans="10:19" x14ac:dyDescent="0.2">
      <c r="J2338" s="2"/>
      <c r="K2338" s="2"/>
      <c r="L2338" s="2"/>
      <c r="M2338" s="2"/>
      <c r="N2338" s="2"/>
      <c r="O2338" s="2"/>
      <c r="P2338" s="2"/>
      <c r="Q2338" s="2"/>
      <c r="R2338" s="2"/>
      <c r="S2338" s="2"/>
    </row>
    <row r="2339" spans="10:19" x14ac:dyDescent="0.2">
      <c r="J2339" s="2"/>
      <c r="K2339" s="2"/>
      <c r="L2339" s="2"/>
      <c r="M2339" s="2"/>
      <c r="N2339" s="2"/>
      <c r="O2339" s="2"/>
      <c r="P2339" s="2"/>
      <c r="Q2339" s="2"/>
      <c r="R2339" s="2"/>
      <c r="S2339" s="2"/>
    </row>
    <row r="2340" spans="10:19" x14ac:dyDescent="0.2">
      <c r="J2340" s="2"/>
      <c r="K2340" s="2"/>
      <c r="L2340" s="2"/>
      <c r="M2340" s="2"/>
      <c r="N2340" s="2"/>
      <c r="O2340" s="2"/>
      <c r="P2340" s="2"/>
      <c r="Q2340" s="2"/>
      <c r="R2340" s="2"/>
      <c r="S2340" s="2"/>
    </row>
    <row r="2341" spans="10:19" x14ac:dyDescent="0.2">
      <c r="J2341" s="2"/>
      <c r="K2341" s="2"/>
      <c r="L2341" s="2"/>
      <c r="M2341" s="2"/>
      <c r="N2341" s="2"/>
      <c r="O2341" s="2"/>
      <c r="P2341" s="2"/>
      <c r="Q2341" s="2"/>
      <c r="R2341" s="2"/>
      <c r="S2341" s="2"/>
    </row>
    <row r="2342" spans="10:19" x14ac:dyDescent="0.2">
      <c r="J2342" s="2"/>
      <c r="K2342" s="2"/>
      <c r="L2342" s="2"/>
      <c r="M2342" s="2"/>
      <c r="N2342" s="2"/>
      <c r="O2342" s="2"/>
      <c r="P2342" s="2"/>
      <c r="Q2342" s="2"/>
      <c r="R2342" s="2"/>
      <c r="S2342" s="2"/>
    </row>
    <row r="2343" spans="10:19" x14ac:dyDescent="0.2">
      <c r="J2343" s="2"/>
      <c r="K2343" s="2"/>
      <c r="L2343" s="2"/>
      <c r="M2343" s="2"/>
      <c r="N2343" s="2"/>
      <c r="O2343" s="2"/>
      <c r="P2343" s="2"/>
      <c r="Q2343" s="2"/>
      <c r="R2343" s="2"/>
      <c r="S2343" s="2"/>
    </row>
    <row r="2344" spans="10:19" x14ac:dyDescent="0.2">
      <c r="J2344" s="2"/>
      <c r="K2344" s="2"/>
      <c r="L2344" s="2"/>
      <c r="M2344" s="2"/>
      <c r="N2344" s="2"/>
      <c r="O2344" s="2"/>
      <c r="P2344" s="2"/>
      <c r="Q2344" s="2"/>
      <c r="R2344" s="2"/>
      <c r="S2344" s="2"/>
    </row>
    <row r="2345" spans="10:19" x14ac:dyDescent="0.2">
      <c r="J2345" s="2"/>
      <c r="K2345" s="2"/>
      <c r="L2345" s="2"/>
      <c r="M2345" s="2"/>
      <c r="N2345" s="2"/>
      <c r="O2345" s="2"/>
      <c r="P2345" s="2"/>
      <c r="Q2345" s="2"/>
      <c r="R2345" s="2"/>
      <c r="S2345" s="2"/>
    </row>
    <row r="2346" spans="10:19" x14ac:dyDescent="0.2">
      <c r="J2346" s="2"/>
      <c r="K2346" s="2"/>
      <c r="L2346" s="2"/>
      <c r="M2346" s="2"/>
      <c r="N2346" s="2"/>
      <c r="O2346" s="2"/>
      <c r="P2346" s="2"/>
      <c r="Q2346" s="2"/>
      <c r="R2346" s="2"/>
      <c r="S2346" s="2"/>
    </row>
    <row r="2347" spans="10:19" x14ac:dyDescent="0.2"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0:19" x14ac:dyDescent="0.2">
      <c r="J2348" s="2"/>
      <c r="K2348" s="2"/>
      <c r="L2348" s="2"/>
      <c r="M2348" s="2"/>
      <c r="N2348" s="2"/>
      <c r="O2348" s="2"/>
      <c r="P2348" s="2"/>
      <c r="Q2348" s="2"/>
      <c r="R2348" s="2"/>
      <c r="S2348" s="2"/>
    </row>
    <row r="2349" spans="10:19" x14ac:dyDescent="0.2"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spans="10:19" x14ac:dyDescent="0.2">
      <c r="J2350" s="2"/>
      <c r="K2350" s="2"/>
      <c r="L2350" s="2"/>
      <c r="M2350" s="2"/>
      <c r="N2350" s="2"/>
      <c r="O2350" s="2"/>
      <c r="P2350" s="2"/>
      <c r="Q2350" s="2"/>
      <c r="R2350" s="2"/>
      <c r="S2350" s="2"/>
    </row>
    <row r="2351" spans="10:19" x14ac:dyDescent="0.2"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spans="10:19" x14ac:dyDescent="0.2">
      <c r="J2352" s="2"/>
      <c r="K2352" s="2"/>
      <c r="L2352" s="2"/>
      <c r="M2352" s="2"/>
      <c r="N2352" s="2"/>
      <c r="O2352" s="2"/>
      <c r="P2352" s="2"/>
      <c r="Q2352" s="2"/>
      <c r="R2352" s="2"/>
      <c r="S2352" s="2"/>
    </row>
    <row r="2353" spans="10:19" x14ac:dyDescent="0.2"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spans="10:19" x14ac:dyDescent="0.2">
      <c r="J2354" s="2"/>
      <c r="K2354" s="2"/>
      <c r="L2354" s="2"/>
      <c r="M2354" s="2"/>
      <c r="N2354" s="2"/>
      <c r="O2354" s="2"/>
      <c r="P2354" s="2"/>
      <c r="Q2354" s="2"/>
      <c r="R2354" s="2"/>
      <c r="S2354" s="2"/>
    </row>
    <row r="2355" spans="10:19" x14ac:dyDescent="0.2"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spans="10:19" x14ac:dyDescent="0.2"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spans="10:19" x14ac:dyDescent="0.2">
      <c r="J2357" s="2"/>
      <c r="K2357" s="2"/>
      <c r="L2357" s="2"/>
      <c r="M2357" s="2"/>
      <c r="N2357" s="2"/>
      <c r="O2357" s="2"/>
      <c r="P2357" s="2"/>
      <c r="Q2357" s="2"/>
      <c r="R2357" s="2"/>
      <c r="S2357" s="2"/>
    </row>
    <row r="2358" spans="10:19" x14ac:dyDescent="0.2"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spans="10:19" x14ac:dyDescent="0.2"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spans="10:19" x14ac:dyDescent="0.2">
      <c r="J2360" s="2"/>
      <c r="K2360" s="2"/>
      <c r="L2360" s="2"/>
      <c r="M2360" s="2"/>
      <c r="N2360" s="2"/>
      <c r="O2360" s="2"/>
      <c r="P2360" s="2"/>
      <c r="Q2360" s="2"/>
      <c r="R2360" s="2"/>
      <c r="S2360" s="2"/>
    </row>
    <row r="2361" spans="10:19" x14ac:dyDescent="0.2">
      <c r="J2361" s="2"/>
      <c r="K2361" s="2"/>
      <c r="L2361" s="2"/>
      <c r="M2361" s="2"/>
      <c r="N2361" s="2"/>
      <c r="O2361" s="2"/>
      <c r="P2361" s="2"/>
      <c r="Q2361" s="2"/>
      <c r="R2361" s="2"/>
      <c r="S2361" s="2"/>
    </row>
    <row r="2362" spans="10:19" x14ac:dyDescent="0.2"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spans="10:19" x14ac:dyDescent="0.2"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0:19" x14ac:dyDescent="0.2">
      <c r="J2364" s="2"/>
      <c r="K2364" s="2"/>
      <c r="L2364" s="2"/>
      <c r="M2364" s="2"/>
      <c r="N2364" s="2"/>
      <c r="O2364" s="2"/>
      <c r="P2364" s="2"/>
      <c r="Q2364" s="2"/>
      <c r="R2364" s="2"/>
      <c r="S2364" s="2"/>
    </row>
    <row r="2365" spans="10:19" x14ac:dyDescent="0.2">
      <c r="J2365" s="2"/>
      <c r="K2365" s="2"/>
      <c r="L2365" s="2"/>
      <c r="M2365" s="2"/>
      <c r="N2365" s="2"/>
      <c r="O2365" s="2"/>
      <c r="P2365" s="2"/>
      <c r="Q2365" s="2"/>
      <c r="R2365" s="2"/>
      <c r="S2365" s="2"/>
    </row>
    <row r="2366" spans="10:19" x14ac:dyDescent="0.2"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spans="10:19" x14ac:dyDescent="0.2">
      <c r="J2367" s="2"/>
      <c r="K2367" s="2"/>
      <c r="L2367" s="2"/>
      <c r="M2367" s="2"/>
      <c r="N2367" s="2"/>
      <c r="O2367" s="2"/>
      <c r="P2367" s="2"/>
      <c r="Q2367" s="2"/>
      <c r="R2367" s="2"/>
      <c r="S2367" s="2"/>
    </row>
    <row r="2368" spans="10:19" x14ac:dyDescent="0.2">
      <c r="J2368" s="2"/>
      <c r="K2368" s="2"/>
      <c r="L2368" s="2"/>
      <c r="M2368" s="2"/>
      <c r="N2368" s="2"/>
      <c r="O2368" s="2"/>
      <c r="P2368" s="2"/>
      <c r="Q2368" s="2"/>
      <c r="R2368" s="2"/>
      <c r="S2368" s="2"/>
    </row>
    <row r="2369" spans="10:19" x14ac:dyDescent="0.2">
      <c r="J2369" s="2"/>
      <c r="K2369" s="2"/>
      <c r="L2369" s="2"/>
      <c r="M2369" s="2"/>
      <c r="N2369" s="2"/>
      <c r="O2369" s="2"/>
      <c r="P2369" s="2"/>
      <c r="Q2369" s="2"/>
      <c r="R2369" s="2"/>
      <c r="S2369" s="2"/>
    </row>
    <row r="2370" spans="10:19" x14ac:dyDescent="0.2"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spans="10:19" x14ac:dyDescent="0.2">
      <c r="J2371" s="2"/>
      <c r="K2371" s="2"/>
      <c r="L2371" s="2"/>
      <c r="M2371" s="2"/>
      <c r="N2371" s="2"/>
      <c r="O2371" s="2"/>
      <c r="P2371" s="2"/>
      <c r="Q2371" s="2"/>
      <c r="R2371" s="2"/>
      <c r="S2371" s="2"/>
    </row>
    <row r="2372" spans="10:19" x14ac:dyDescent="0.2">
      <c r="J2372" s="2"/>
      <c r="K2372" s="2"/>
      <c r="L2372" s="2"/>
      <c r="M2372" s="2"/>
      <c r="N2372" s="2"/>
      <c r="O2372" s="2"/>
      <c r="P2372" s="2"/>
      <c r="Q2372" s="2"/>
      <c r="R2372" s="2"/>
      <c r="S2372" s="2"/>
    </row>
    <row r="2373" spans="10:19" x14ac:dyDescent="0.2"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spans="10:19" x14ac:dyDescent="0.2">
      <c r="J2374" s="2"/>
      <c r="K2374" s="2"/>
      <c r="L2374" s="2"/>
      <c r="M2374" s="2"/>
      <c r="N2374" s="2"/>
      <c r="O2374" s="2"/>
      <c r="P2374" s="2"/>
      <c r="Q2374" s="2"/>
      <c r="R2374" s="2"/>
      <c r="S2374" s="2"/>
    </row>
    <row r="2375" spans="10:19" x14ac:dyDescent="0.2">
      <c r="J2375" s="2"/>
      <c r="K2375" s="2"/>
      <c r="L2375" s="2"/>
      <c r="M2375" s="2"/>
      <c r="N2375" s="2"/>
      <c r="O2375" s="2"/>
      <c r="P2375" s="2"/>
      <c r="Q2375" s="2"/>
      <c r="R2375" s="2"/>
      <c r="S2375" s="2"/>
    </row>
    <row r="2376" spans="10:19" x14ac:dyDescent="0.2">
      <c r="J2376" s="2"/>
      <c r="K2376" s="2"/>
      <c r="L2376" s="2"/>
      <c r="M2376" s="2"/>
      <c r="N2376" s="2"/>
      <c r="O2376" s="2"/>
      <c r="P2376" s="2"/>
      <c r="Q2376" s="2"/>
      <c r="R2376" s="2"/>
      <c r="S2376" s="2"/>
    </row>
    <row r="2377" spans="10:19" x14ac:dyDescent="0.2">
      <c r="J2377" s="2"/>
      <c r="K2377" s="2"/>
      <c r="L2377" s="2"/>
      <c r="M2377" s="2"/>
      <c r="N2377" s="2"/>
      <c r="O2377" s="2"/>
      <c r="P2377" s="2"/>
      <c r="Q2377" s="2"/>
      <c r="R2377" s="2"/>
      <c r="S2377" s="2"/>
    </row>
    <row r="2378" spans="10:19" x14ac:dyDescent="0.2">
      <c r="J2378" s="2"/>
      <c r="K2378" s="2"/>
      <c r="L2378" s="2"/>
      <c r="M2378" s="2"/>
      <c r="N2378" s="2"/>
      <c r="O2378" s="2"/>
      <c r="P2378" s="2"/>
      <c r="Q2378" s="2"/>
      <c r="R2378" s="2"/>
      <c r="S2378" s="2"/>
    </row>
    <row r="2379" spans="10:19" x14ac:dyDescent="0.2">
      <c r="J2379" s="2"/>
      <c r="K2379" s="2"/>
      <c r="L2379" s="2"/>
      <c r="M2379" s="2"/>
      <c r="N2379" s="2"/>
      <c r="O2379" s="2"/>
      <c r="P2379" s="2"/>
      <c r="Q2379" s="2"/>
      <c r="R2379" s="2"/>
      <c r="S2379" s="2"/>
    </row>
    <row r="2380" spans="10:19" x14ac:dyDescent="0.2"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spans="10:19" x14ac:dyDescent="0.2">
      <c r="J2381" s="2"/>
      <c r="K2381" s="2"/>
      <c r="L2381" s="2"/>
      <c r="M2381" s="2"/>
      <c r="N2381" s="2"/>
      <c r="O2381" s="2"/>
      <c r="P2381" s="2"/>
      <c r="Q2381" s="2"/>
      <c r="R2381" s="2"/>
      <c r="S2381" s="2"/>
    </row>
    <row r="2382" spans="10:19" x14ac:dyDescent="0.2">
      <c r="J2382" s="2"/>
      <c r="K2382" s="2"/>
      <c r="L2382" s="2"/>
      <c r="M2382" s="2"/>
      <c r="N2382" s="2"/>
      <c r="O2382" s="2"/>
      <c r="P2382" s="2"/>
      <c r="Q2382" s="2"/>
      <c r="R2382" s="2"/>
      <c r="S2382" s="2"/>
    </row>
    <row r="2383" spans="10:19" x14ac:dyDescent="0.2">
      <c r="J2383" s="2"/>
      <c r="K2383" s="2"/>
      <c r="L2383" s="2"/>
      <c r="M2383" s="2"/>
      <c r="N2383" s="2"/>
      <c r="O2383" s="2"/>
      <c r="P2383" s="2"/>
      <c r="Q2383" s="2"/>
      <c r="R2383" s="2"/>
      <c r="S2383" s="2"/>
    </row>
    <row r="2384" spans="10:19" x14ac:dyDescent="0.2"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  <row r="2385" spans="10:19" x14ac:dyDescent="0.2">
      <c r="J2385" s="2"/>
      <c r="K2385" s="2"/>
      <c r="L2385" s="2"/>
      <c r="M2385" s="2"/>
      <c r="N2385" s="2"/>
      <c r="O2385" s="2"/>
      <c r="P2385" s="2"/>
      <c r="Q2385" s="2"/>
      <c r="R2385" s="2"/>
      <c r="S2385" s="2"/>
    </row>
    <row r="2386" spans="10:19" x14ac:dyDescent="0.2">
      <c r="J2386" s="2"/>
      <c r="K2386" s="2"/>
      <c r="L2386" s="2"/>
      <c r="M2386" s="2"/>
      <c r="N2386" s="2"/>
      <c r="O2386" s="2"/>
      <c r="P2386" s="2"/>
      <c r="Q2386" s="2"/>
      <c r="R2386" s="2"/>
      <c r="S2386" s="2"/>
    </row>
    <row r="2387" spans="10:19" x14ac:dyDescent="0.2">
      <c r="J2387" s="2"/>
      <c r="K2387" s="2"/>
      <c r="L2387" s="2"/>
      <c r="M2387" s="2"/>
      <c r="N2387" s="2"/>
      <c r="O2387" s="2"/>
      <c r="P2387" s="2"/>
      <c r="Q2387" s="2"/>
      <c r="R2387" s="2"/>
      <c r="S2387" s="2"/>
    </row>
    <row r="2388" spans="10:19" x14ac:dyDescent="0.2">
      <c r="J2388" s="2"/>
      <c r="K2388" s="2"/>
      <c r="L2388" s="2"/>
      <c r="M2388" s="2"/>
      <c r="N2388" s="2"/>
      <c r="O2388" s="2"/>
      <c r="P2388" s="2"/>
      <c r="Q2388" s="2"/>
      <c r="R2388" s="2"/>
      <c r="S2388" s="2"/>
    </row>
    <row r="2389" spans="10:19" x14ac:dyDescent="0.2">
      <c r="J2389" s="2"/>
      <c r="K2389" s="2"/>
      <c r="L2389" s="2"/>
      <c r="M2389" s="2"/>
      <c r="N2389" s="2"/>
      <c r="O2389" s="2"/>
      <c r="P2389" s="2"/>
      <c r="Q2389" s="2"/>
      <c r="R2389" s="2"/>
      <c r="S2389" s="2"/>
    </row>
    <row r="2390" spans="10:19" x14ac:dyDescent="0.2">
      <c r="J2390" s="2"/>
      <c r="K2390" s="2"/>
      <c r="L2390" s="2"/>
      <c r="M2390" s="2"/>
      <c r="N2390" s="2"/>
      <c r="O2390" s="2"/>
      <c r="P2390" s="2"/>
      <c r="Q2390" s="2"/>
      <c r="R2390" s="2"/>
      <c r="S2390" s="2"/>
    </row>
    <row r="2391" spans="10:19" x14ac:dyDescent="0.2">
      <c r="J2391" s="2"/>
      <c r="K2391" s="2"/>
      <c r="L2391" s="2"/>
      <c r="M2391" s="2"/>
      <c r="N2391" s="2"/>
      <c r="O2391" s="2"/>
      <c r="P2391" s="2"/>
      <c r="Q2391" s="2"/>
      <c r="R2391" s="2"/>
      <c r="S2391" s="2"/>
    </row>
    <row r="2392" spans="10:19" x14ac:dyDescent="0.2">
      <c r="J2392" s="2"/>
      <c r="K2392" s="2"/>
      <c r="L2392" s="2"/>
      <c r="M2392" s="2"/>
      <c r="N2392" s="2"/>
      <c r="O2392" s="2"/>
      <c r="P2392" s="2"/>
      <c r="Q2392" s="2"/>
      <c r="R2392" s="2"/>
      <c r="S2392" s="2"/>
    </row>
    <row r="2393" spans="10:19" x14ac:dyDescent="0.2">
      <c r="J2393" s="2"/>
      <c r="K2393" s="2"/>
      <c r="L2393" s="2"/>
      <c r="M2393" s="2"/>
      <c r="N2393" s="2"/>
      <c r="O2393" s="2"/>
      <c r="P2393" s="2"/>
      <c r="Q2393" s="2"/>
      <c r="R2393" s="2"/>
      <c r="S2393" s="2"/>
    </row>
    <row r="2394" spans="10:19" x14ac:dyDescent="0.2">
      <c r="J2394" s="2"/>
      <c r="K2394" s="2"/>
      <c r="L2394" s="2"/>
      <c r="M2394" s="2"/>
      <c r="N2394" s="2"/>
      <c r="O2394" s="2"/>
      <c r="P2394" s="2"/>
      <c r="Q2394" s="2"/>
      <c r="R2394" s="2"/>
      <c r="S2394" s="2"/>
    </row>
    <row r="2395" spans="10:19" x14ac:dyDescent="0.2">
      <c r="J2395" s="2"/>
      <c r="K2395" s="2"/>
      <c r="L2395" s="2"/>
      <c r="M2395" s="2"/>
      <c r="N2395" s="2"/>
      <c r="O2395" s="2"/>
      <c r="P2395" s="2"/>
      <c r="Q2395" s="2"/>
      <c r="R2395" s="2"/>
      <c r="S2395" s="2"/>
    </row>
    <row r="2396" spans="10:19" x14ac:dyDescent="0.2">
      <c r="J2396" s="2"/>
      <c r="K2396" s="2"/>
      <c r="L2396" s="2"/>
      <c r="M2396" s="2"/>
      <c r="N2396" s="2"/>
      <c r="O2396" s="2"/>
      <c r="P2396" s="2"/>
      <c r="Q2396" s="2"/>
      <c r="R2396" s="2"/>
      <c r="S2396" s="2"/>
    </row>
    <row r="2397" spans="10:19" x14ac:dyDescent="0.2">
      <c r="J2397" s="2"/>
      <c r="K2397" s="2"/>
      <c r="L2397" s="2"/>
      <c r="M2397" s="2"/>
      <c r="N2397" s="2"/>
      <c r="O2397" s="2"/>
      <c r="P2397" s="2"/>
      <c r="Q2397" s="2"/>
      <c r="R2397" s="2"/>
      <c r="S2397" s="2"/>
    </row>
    <row r="2398" spans="10:19" x14ac:dyDescent="0.2">
      <c r="J2398" s="2"/>
      <c r="K2398" s="2"/>
      <c r="L2398" s="2"/>
      <c r="M2398" s="2"/>
      <c r="N2398" s="2"/>
      <c r="O2398" s="2"/>
      <c r="P2398" s="2"/>
      <c r="Q2398" s="2"/>
      <c r="R2398" s="2"/>
      <c r="S2398" s="2"/>
    </row>
    <row r="2399" spans="10:19" x14ac:dyDescent="0.2">
      <c r="J2399" s="2"/>
      <c r="K2399" s="2"/>
      <c r="L2399" s="2"/>
      <c r="M2399" s="2"/>
      <c r="N2399" s="2"/>
      <c r="O2399" s="2"/>
      <c r="P2399" s="2"/>
      <c r="Q2399" s="2"/>
      <c r="R2399" s="2"/>
      <c r="S2399" s="2"/>
    </row>
    <row r="2400" spans="10:19" x14ac:dyDescent="0.2">
      <c r="J2400" s="2"/>
      <c r="K2400" s="2"/>
      <c r="L2400" s="2"/>
      <c r="M2400" s="2"/>
      <c r="N2400" s="2"/>
      <c r="O2400" s="2"/>
      <c r="P2400" s="2"/>
      <c r="Q2400" s="2"/>
      <c r="R2400" s="2"/>
      <c r="S2400" s="2"/>
    </row>
    <row r="2401" spans="10:19" x14ac:dyDescent="0.2">
      <c r="J2401" s="2"/>
      <c r="K2401" s="2"/>
      <c r="L2401" s="2"/>
      <c r="M2401" s="2"/>
      <c r="N2401" s="2"/>
      <c r="O2401" s="2"/>
      <c r="P2401" s="2"/>
      <c r="Q2401" s="2"/>
      <c r="R2401" s="2"/>
      <c r="S2401" s="2"/>
    </row>
    <row r="2402" spans="10:19" x14ac:dyDescent="0.2">
      <c r="J2402" s="2"/>
      <c r="K2402" s="2"/>
      <c r="L2402" s="2"/>
      <c r="M2402" s="2"/>
      <c r="N2402" s="2"/>
      <c r="O2402" s="2"/>
      <c r="P2402" s="2"/>
      <c r="Q2402" s="2"/>
      <c r="R2402" s="2"/>
      <c r="S2402" s="2"/>
    </row>
    <row r="2403" spans="10:19" x14ac:dyDescent="0.2">
      <c r="J2403" s="2"/>
      <c r="K2403" s="2"/>
      <c r="L2403" s="2"/>
      <c r="M2403" s="2"/>
      <c r="N2403" s="2"/>
      <c r="O2403" s="2"/>
      <c r="P2403" s="2"/>
      <c r="Q2403" s="2"/>
      <c r="R2403" s="2"/>
      <c r="S2403" s="2"/>
    </row>
    <row r="2404" spans="10:19" x14ac:dyDescent="0.2">
      <c r="J2404" s="2"/>
      <c r="K2404" s="2"/>
      <c r="L2404" s="2"/>
      <c r="M2404" s="2"/>
      <c r="N2404" s="2"/>
      <c r="O2404" s="2"/>
      <c r="P2404" s="2"/>
      <c r="Q2404" s="2"/>
      <c r="R2404" s="2"/>
      <c r="S2404" s="2"/>
    </row>
    <row r="2405" spans="10:19" x14ac:dyDescent="0.2">
      <c r="J2405" s="2"/>
      <c r="K2405" s="2"/>
      <c r="L2405" s="2"/>
      <c r="M2405" s="2"/>
      <c r="N2405" s="2"/>
      <c r="O2405" s="2"/>
      <c r="P2405" s="2"/>
      <c r="Q2405" s="2"/>
      <c r="R2405" s="2"/>
      <c r="S2405" s="2"/>
    </row>
    <row r="2406" spans="10:19" x14ac:dyDescent="0.2">
      <c r="J2406" s="2"/>
      <c r="K2406" s="2"/>
      <c r="L2406" s="2"/>
      <c r="M2406" s="2"/>
      <c r="N2406" s="2"/>
      <c r="O2406" s="2"/>
      <c r="P2406" s="2"/>
      <c r="Q2406" s="2"/>
      <c r="R2406" s="2"/>
      <c r="S2406" s="2"/>
    </row>
    <row r="2407" spans="10:19" x14ac:dyDescent="0.2">
      <c r="J2407" s="2"/>
      <c r="K2407" s="2"/>
      <c r="L2407" s="2"/>
      <c r="M2407" s="2"/>
      <c r="N2407" s="2"/>
      <c r="O2407" s="2"/>
      <c r="P2407" s="2"/>
      <c r="Q2407" s="2"/>
      <c r="R2407" s="2"/>
      <c r="S2407" s="2"/>
    </row>
    <row r="2408" spans="10:19" x14ac:dyDescent="0.2">
      <c r="J2408" s="2"/>
      <c r="K2408" s="2"/>
      <c r="L2408" s="2"/>
      <c r="M2408" s="2"/>
      <c r="N2408" s="2"/>
      <c r="O2408" s="2"/>
      <c r="P2408" s="2"/>
      <c r="Q2408" s="2"/>
      <c r="R2408" s="2"/>
      <c r="S2408" s="2"/>
    </row>
    <row r="2409" spans="10:19" x14ac:dyDescent="0.2">
      <c r="J2409" s="2"/>
      <c r="K2409" s="2"/>
      <c r="L2409" s="2"/>
      <c r="M2409" s="2"/>
      <c r="N2409" s="2"/>
      <c r="O2409" s="2"/>
      <c r="P2409" s="2"/>
      <c r="Q2409" s="2"/>
      <c r="R2409" s="2"/>
      <c r="S2409" s="2"/>
    </row>
    <row r="2410" spans="10:19" x14ac:dyDescent="0.2">
      <c r="J2410" s="2"/>
      <c r="K2410" s="2"/>
      <c r="L2410" s="2"/>
      <c r="M2410" s="2"/>
      <c r="N2410" s="2"/>
      <c r="O2410" s="2"/>
      <c r="P2410" s="2"/>
      <c r="Q2410" s="2"/>
      <c r="R2410" s="2"/>
      <c r="S2410" s="2"/>
    </row>
    <row r="2411" spans="10:19" x14ac:dyDescent="0.2">
      <c r="J2411" s="2"/>
      <c r="K2411" s="2"/>
      <c r="L2411" s="2"/>
      <c r="M2411" s="2"/>
      <c r="N2411" s="2"/>
      <c r="O2411" s="2"/>
      <c r="P2411" s="2"/>
      <c r="Q2411" s="2"/>
      <c r="R2411" s="2"/>
      <c r="S2411" s="2"/>
    </row>
    <row r="2412" spans="10:19" x14ac:dyDescent="0.2">
      <c r="J2412" s="2"/>
      <c r="K2412" s="2"/>
      <c r="L2412" s="2"/>
      <c r="M2412" s="2"/>
      <c r="N2412" s="2"/>
      <c r="O2412" s="2"/>
      <c r="P2412" s="2"/>
      <c r="Q2412" s="2"/>
      <c r="R2412" s="2"/>
      <c r="S2412" s="2"/>
    </row>
    <row r="2413" spans="10:19" x14ac:dyDescent="0.2">
      <c r="J2413" s="2"/>
      <c r="K2413" s="2"/>
      <c r="L2413" s="2"/>
      <c r="M2413" s="2"/>
      <c r="N2413" s="2"/>
      <c r="O2413" s="2"/>
      <c r="P2413" s="2"/>
      <c r="Q2413" s="2"/>
      <c r="R2413" s="2"/>
      <c r="S2413" s="2"/>
    </row>
    <row r="2414" spans="10:19" x14ac:dyDescent="0.2">
      <c r="J2414" s="2"/>
      <c r="K2414" s="2"/>
      <c r="L2414" s="2"/>
      <c r="M2414" s="2"/>
      <c r="N2414" s="2"/>
      <c r="O2414" s="2"/>
      <c r="P2414" s="2"/>
      <c r="Q2414" s="2"/>
      <c r="R2414" s="2"/>
      <c r="S2414" s="2"/>
    </row>
    <row r="2415" spans="10:19" x14ac:dyDescent="0.2">
      <c r="J2415" s="2"/>
      <c r="K2415" s="2"/>
      <c r="L2415" s="2"/>
      <c r="M2415" s="2"/>
      <c r="N2415" s="2"/>
      <c r="O2415" s="2"/>
      <c r="P2415" s="2"/>
      <c r="Q2415" s="2"/>
      <c r="R2415" s="2"/>
      <c r="S2415" s="2"/>
    </row>
    <row r="2416" spans="10:19" x14ac:dyDescent="0.2">
      <c r="J2416" s="2"/>
      <c r="K2416" s="2"/>
      <c r="L2416" s="2"/>
      <c r="M2416" s="2"/>
      <c r="N2416" s="2"/>
      <c r="O2416" s="2"/>
      <c r="P2416" s="2"/>
      <c r="Q2416" s="2"/>
      <c r="R2416" s="2"/>
      <c r="S2416" s="2"/>
    </row>
    <row r="2417" spans="10:19" x14ac:dyDescent="0.2">
      <c r="J2417" s="2"/>
      <c r="K2417" s="2"/>
      <c r="L2417" s="2"/>
      <c r="M2417" s="2"/>
      <c r="N2417" s="2"/>
      <c r="O2417" s="2"/>
      <c r="P2417" s="2"/>
      <c r="Q2417" s="2"/>
      <c r="R2417" s="2"/>
      <c r="S2417" s="2"/>
    </row>
    <row r="2418" spans="10:19" x14ac:dyDescent="0.2">
      <c r="J2418" s="2"/>
      <c r="K2418" s="2"/>
      <c r="L2418" s="2"/>
      <c r="M2418" s="2"/>
      <c r="N2418" s="2"/>
      <c r="O2418" s="2"/>
      <c r="P2418" s="2"/>
      <c r="Q2418" s="2"/>
      <c r="R2418" s="2"/>
      <c r="S2418" s="2"/>
    </row>
    <row r="2419" spans="10:19" x14ac:dyDescent="0.2">
      <c r="J2419" s="2"/>
      <c r="K2419" s="2"/>
      <c r="L2419" s="2"/>
      <c r="M2419" s="2"/>
      <c r="N2419" s="2"/>
      <c r="O2419" s="2"/>
      <c r="P2419" s="2"/>
      <c r="Q2419" s="2"/>
      <c r="R2419" s="2"/>
      <c r="S2419" s="2"/>
    </row>
    <row r="2420" spans="10:19" x14ac:dyDescent="0.2">
      <c r="J2420" s="2"/>
      <c r="K2420" s="2"/>
      <c r="L2420" s="2"/>
      <c r="M2420" s="2"/>
      <c r="N2420" s="2"/>
      <c r="O2420" s="2"/>
      <c r="P2420" s="2"/>
      <c r="Q2420" s="2"/>
      <c r="R2420" s="2"/>
      <c r="S2420" s="2"/>
    </row>
    <row r="2421" spans="10:19" x14ac:dyDescent="0.2">
      <c r="J2421" s="2"/>
      <c r="K2421" s="2"/>
      <c r="L2421" s="2"/>
      <c r="M2421" s="2"/>
      <c r="N2421" s="2"/>
      <c r="O2421" s="2"/>
      <c r="P2421" s="2"/>
      <c r="Q2421" s="2"/>
      <c r="R2421" s="2"/>
      <c r="S2421" s="2"/>
    </row>
    <row r="2422" spans="10:19" x14ac:dyDescent="0.2">
      <c r="J2422" s="2"/>
      <c r="K2422" s="2"/>
      <c r="L2422" s="2"/>
      <c r="M2422" s="2"/>
      <c r="N2422" s="2"/>
      <c r="O2422" s="2"/>
      <c r="P2422" s="2"/>
      <c r="Q2422" s="2"/>
      <c r="R2422" s="2"/>
      <c r="S2422" s="2"/>
    </row>
    <row r="2423" spans="10:19" x14ac:dyDescent="0.2">
      <c r="J2423" s="2"/>
      <c r="K2423" s="2"/>
      <c r="L2423" s="2"/>
      <c r="M2423" s="2"/>
      <c r="N2423" s="2"/>
      <c r="O2423" s="2"/>
      <c r="P2423" s="2"/>
      <c r="Q2423" s="2"/>
      <c r="R2423" s="2"/>
      <c r="S2423" s="2"/>
    </row>
    <row r="2424" spans="10:19" x14ac:dyDescent="0.2">
      <c r="J2424" s="2"/>
      <c r="K2424" s="2"/>
      <c r="L2424" s="2"/>
      <c r="M2424" s="2"/>
      <c r="N2424" s="2"/>
      <c r="O2424" s="2"/>
      <c r="P2424" s="2"/>
      <c r="Q2424" s="2"/>
      <c r="R2424" s="2"/>
      <c r="S2424" s="2"/>
    </row>
    <row r="2425" spans="10:19" x14ac:dyDescent="0.2">
      <c r="J2425" s="2"/>
      <c r="K2425" s="2"/>
      <c r="L2425" s="2"/>
      <c r="M2425" s="2"/>
      <c r="N2425" s="2"/>
      <c r="O2425" s="2"/>
      <c r="P2425" s="2"/>
      <c r="Q2425" s="2"/>
      <c r="R2425" s="2"/>
      <c r="S2425" s="2"/>
    </row>
    <row r="2426" spans="10:19" x14ac:dyDescent="0.2">
      <c r="J2426" s="2"/>
      <c r="K2426" s="2"/>
      <c r="L2426" s="2"/>
      <c r="M2426" s="2"/>
      <c r="N2426" s="2"/>
      <c r="O2426" s="2"/>
      <c r="P2426" s="2"/>
      <c r="Q2426" s="2"/>
      <c r="R2426" s="2"/>
      <c r="S2426" s="2"/>
    </row>
    <row r="2427" spans="10:19" x14ac:dyDescent="0.2">
      <c r="J2427" s="2"/>
      <c r="K2427" s="2"/>
      <c r="L2427" s="2"/>
      <c r="M2427" s="2"/>
      <c r="N2427" s="2"/>
      <c r="O2427" s="2"/>
      <c r="P2427" s="2"/>
      <c r="Q2427" s="2"/>
      <c r="R2427" s="2"/>
      <c r="S2427" s="2"/>
    </row>
    <row r="2428" spans="10:19" x14ac:dyDescent="0.2">
      <c r="J2428" s="2"/>
      <c r="K2428" s="2"/>
      <c r="L2428" s="2"/>
      <c r="M2428" s="2"/>
      <c r="N2428" s="2"/>
      <c r="O2428" s="2"/>
      <c r="P2428" s="2"/>
      <c r="Q2428" s="2"/>
      <c r="R2428" s="2"/>
      <c r="S2428" s="2"/>
    </row>
    <row r="2429" spans="10:19" x14ac:dyDescent="0.2">
      <c r="J2429" s="2"/>
      <c r="K2429" s="2"/>
      <c r="L2429" s="2"/>
      <c r="M2429" s="2"/>
      <c r="N2429" s="2"/>
      <c r="O2429" s="2"/>
      <c r="P2429" s="2"/>
      <c r="Q2429" s="2"/>
      <c r="R2429" s="2"/>
      <c r="S2429" s="2"/>
    </row>
    <row r="2430" spans="10:19" x14ac:dyDescent="0.2">
      <c r="J2430" s="2"/>
      <c r="K2430" s="2"/>
      <c r="L2430" s="2"/>
      <c r="M2430" s="2"/>
      <c r="N2430" s="2"/>
      <c r="O2430" s="2"/>
      <c r="P2430" s="2"/>
      <c r="Q2430" s="2"/>
      <c r="R2430" s="2"/>
      <c r="S2430" s="2"/>
    </row>
    <row r="2431" spans="10:19" x14ac:dyDescent="0.2">
      <c r="J2431" s="2"/>
      <c r="K2431" s="2"/>
      <c r="L2431" s="2"/>
      <c r="M2431" s="2"/>
      <c r="N2431" s="2"/>
      <c r="O2431" s="2"/>
      <c r="P2431" s="2"/>
      <c r="Q2431" s="2"/>
      <c r="R2431" s="2"/>
      <c r="S2431" s="2"/>
    </row>
    <row r="2432" spans="10:19" x14ac:dyDescent="0.2">
      <c r="J2432" s="2"/>
      <c r="K2432" s="2"/>
      <c r="L2432" s="2"/>
      <c r="M2432" s="2"/>
      <c r="N2432" s="2"/>
      <c r="O2432" s="2"/>
      <c r="P2432" s="2"/>
      <c r="Q2432" s="2"/>
      <c r="R2432" s="2"/>
      <c r="S2432" s="2"/>
    </row>
    <row r="2433" spans="10:19" x14ac:dyDescent="0.2">
      <c r="J2433" s="2"/>
      <c r="K2433" s="2"/>
      <c r="L2433" s="2"/>
      <c r="M2433" s="2"/>
      <c r="N2433" s="2"/>
      <c r="O2433" s="2"/>
      <c r="P2433" s="2"/>
      <c r="Q2433" s="2"/>
      <c r="R2433" s="2"/>
      <c r="S2433" s="2"/>
    </row>
    <row r="2434" spans="10:19" x14ac:dyDescent="0.2">
      <c r="J2434" s="2"/>
      <c r="K2434" s="2"/>
      <c r="L2434" s="2"/>
      <c r="M2434" s="2"/>
      <c r="N2434" s="2"/>
      <c r="O2434" s="2"/>
      <c r="P2434" s="2"/>
      <c r="Q2434" s="2"/>
      <c r="R2434" s="2"/>
      <c r="S2434" s="2"/>
    </row>
    <row r="2435" spans="10:19" x14ac:dyDescent="0.2">
      <c r="J2435" s="2"/>
      <c r="K2435" s="2"/>
      <c r="L2435" s="2"/>
      <c r="M2435" s="2"/>
      <c r="N2435" s="2"/>
      <c r="O2435" s="2"/>
      <c r="P2435" s="2"/>
      <c r="Q2435" s="2"/>
      <c r="R2435" s="2"/>
      <c r="S2435" s="2"/>
    </row>
    <row r="2436" spans="10:19" x14ac:dyDescent="0.2">
      <c r="J2436" s="2"/>
      <c r="K2436" s="2"/>
      <c r="L2436" s="2"/>
      <c r="M2436" s="2"/>
      <c r="N2436" s="2"/>
      <c r="O2436" s="2"/>
      <c r="P2436" s="2"/>
      <c r="Q2436" s="2"/>
      <c r="R2436" s="2"/>
      <c r="S2436" s="2"/>
    </row>
    <row r="2437" spans="10:19" x14ac:dyDescent="0.2">
      <c r="J2437" s="2"/>
      <c r="K2437" s="2"/>
      <c r="L2437" s="2"/>
      <c r="M2437" s="2"/>
      <c r="N2437" s="2"/>
      <c r="O2437" s="2"/>
      <c r="P2437" s="2"/>
      <c r="Q2437" s="2"/>
      <c r="R2437" s="2"/>
      <c r="S2437" s="2"/>
    </row>
    <row r="2438" spans="10:19" x14ac:dyDescent="0.2">
      <c r="J2438" s="2"/>
      <c r="K2438" s="2"/>
      <c r="L2438" s="2"/>
      <c r="M2438" s="2"/>
      <c r="N2438" s="2"/>
      <c r="O2438" s="2"/>
      <c r="P2438" s="2"/>
      <c r="Q2438" s="2"/>
      <c r="R2438" s="2"/>
      <c r="S2438" s="2"/>
    </row>
    <row r="2439" spans="10:19" x14ac:dyDescent="0.2">
      <c r="J2439" s="2"/>
      <c r="K2439" s="2"/>
      <c r="L2439" s="2"/>
      <c r="M2439" s="2"/>
      <c r="N2439" s="2"/>
      <c r="O2439" s="2"/>
      <c r="P2439" s="2"/>
      <c r="Q2439" s="2"/>
      <c r="R2439" s="2"/>
      <c r="S2439" s="2"/>
    </row>
    <row r="2440" spans="10:19" x14ac:dyDescent="0.2">
      <c r="J2440" s="2"/>
      <c r="K2440" s="2"/>
      <c r="L2440" s="2"/>
      <c r="M2440" s="2"/>
      <c r="N2440" s="2"/>
      <c r="O2440" s="2"/>
      <c r="P2440" s="2"/>
      <c r="Q2440" s="2"/>
      <c r="R2440" s="2"/>
      <c r="S2440" s="2"/>
    </row>
    <row r="2441" spans="10:19" x14ac:dyDescent="0.2">
      <c r="J2441" s="2"/>
      <c r="K2441" s="2"/>
      <c r="L2441" s="2"/>
      <c r="M2441" s="2"/>
      <c r="N2441" s="2"/>
      <c r="O2441" s="2"/>
      <c r="P2441" s="2"/>
      <c r="Q2441" s="2"/>
      <c r="R2441" s="2"/>
      <c r="S2441" s="2"/>
    </row>
    <row r="2442" spans="10:19" x14ac:dyDescent="0.2">
      <c r="J2442" s="2"/>
      <c r="K2442" s="2"/>
      <c r="L2442" s="2"/>
      <c r="M2442" s="2"/>
      <c r="N2442" s="2"/>
      <c r="O2442" s="2"/>
      <c r="P2442" s="2"/>
      <c r="Q2442" s="2"/>
      <c r="R2442" s="2"/>
      <c r="S2442" s="2"/>
    </row>
    <row r="2443" spans="10:19" x14ac:dyDescent="0.2">
      <c r="J2443" s="2"/>
      <c r="K2443" s="2"/>
      <c r="L2443" s="2"/>
      <c r="M2443" s="2"/>
      <c r="N2443" s="2"/>
      <c r="O2443" s="2"/>
      <c r="P2443" s="2"/>
      <c r="Q2443" s="2"/>
      <c r="R2443" s="2"/>
      <c r="S2443" s="2"/>
    </row>
    <row r="2444" spans="10:19" x14ac:dyDescent="0.2">
      <c r="J2444" s="2"/>
      <c r="K2444" s="2"/>
      <c r="L2444" s="2"/>
      <c r="M2444" s="2"/>
      <c r="N2444" s="2"/>
      <c r="O2444" s="2"/>
      <c r="P2444" s="2"/>
      <c r="Q2444" s="2"/>
      <c r="R2444" s="2"/>
      <c r="S2444" s="2"/>
    </row>
    <row r="2445" spans="10:19" x14ac:dyDescent="0.2">
      <c r="J2445" s="2"/>
      <c r="K2445" s="2"/>
      <c r="L2445" s="2"/>
      <c r="M2445" s="2"/>
      <c r="N2445" s="2"/>
      <c r="O2445" s="2"/>
      <c r="P2445" s="2"/>
      <c r="Q2445" s="2"/>
      <c r="R2445" s="2"/>
      <c r="S2445" s="2"/>
    </row>
    <row r="2446" spans="10:19" x14ac:dyDescent="0.2">
      <c r="J2446" s="2"/>
      <c r="K2446" s="2"/>
      <c r="L2446" s="2"/>
      <c r="M2446" s="2"/>
      <c r="N2446" s="2"/>
      <c r="O2446" s="2"/>
      <c r="P2446" s="2"/>
      <c r="Q2446" s="2"/>
      <c r="R2446" s="2"/>
      <c r="S2446" s="2"/>
    </row>
    <row r="2447" spans="10:19" x14ac:dyDescent="0.2">
      <c r="J2447" s="2"/>
      <c r="K2447" s="2"/>
      <c r="L2447" s="2"/>
      <c r="M2447" s="2"/>
      <c r="N2447" s="2"/>
      <c r="O2447" s="2"/>
      <c r="P2447" s="2"/>
      <c r="Q2447" s="2"/>
      <c r="R2447" s="2"/>
      <c r="S2447" s="2"/>
    </row>
    <row r="2448" spans="10:19" x14ac:dyDescent="0.2">
      <c r="J2448" s="2"/>
      <c r="K2448" s="2"/>
      <c r="L2448" s="2"/>
      <c r="M2448" s="2"/>
      <c r="N2448" s="2"/>
      <c r="O2448" s="2"/>
      <c r="P2448" s="2"/>
      <c r="Q2448" s="2"/>
      <c r="R2448" s="2"/>
      <c r="S2448" s="2"/>
    </row>
    <row r="2449" spans="10:19" x14ac:dyDescent="0.2">
      <c r="J2449" s="2"/>
      <c r="K2449" s="2"/>
      <c r="L2449" s="2"/>
      <c r="M2449" s="2"/>
      <c r="N2449" s="2"/>
      <c r="O2449" s="2"/>
      <c r="P2449" s="2"/>
      <c r="Q2449" s="2"/>
      <c r="R2449" s="2"/>
      <c r="S2449" s="2"/>
    </row>
    <row r="2450" spans="10:19" x14ac:dyDescent="0.2">
      <c r="J2450" s="2"/>
      <c r="K2450" s="2"/>
      <c r="L2450" s="2"/>
      <c r="M2450" s="2"/>
      <c r="N2450" s="2"/>
      <c r="O2450" s="2"/>
      <c r="P2450" s="2"/>
      <c r="Q2450" s="2"/>
      <c r="R2450" s="2"/>
      <c r="S2450" s="2"/>
    </row>
    <row r="2451" spans="10:19" x14ac:dyDescent="0.2">
      <c r="J2451" s="2"/>
      <c r="K2451" s="2"/>
      <c r="L2451" s="2"/>
      <c r="M2451" s="2"/>
      <c r="N2451" s="2"/>
      <c r="O2451" s="2"/>
      <c r="P2451" s="2"/>
      <c r="Q2451" s="2"/>
      <c r="R2451" s="2"/>
      <c r="S2451" s="2"/>
    </row>
    <row r="2452" spans="10:19" x14ac:dyDescent="0.2">
      <c r="J2452" s="2"/>
      <c r="K2452" s="2"/>
      <c r="L2452" s="2"/>
      <c r="M2452" s="2"/>
      <c r="N2452" s="2"/>
      <c r="O2452" s="2"/>
      <c r="P2452" s="2"/>
      <c r="Q2452" s="2"/>
      <c r="R2452" s="2"/>
      <c r="S2452" s="2"/>
    </row>
    <row r="2453" spans="10:19" x14ac:dyDescent="0.2">
      <c r="J2453" s="2"/>
      <c r="K2453" s="2"/>
      <c r="L2453" s="2"/>
      <c r="M2453" s="2"/>
      <c r="N2453" s="2"/>
      <c r="O2453" s="2"/>
      <c r="P2453" s="2"/>
      <c r="Q2453" s="2"/>
      <c r="R2453" s="2"/>
      <c r="S2453" s="2"/>
    </row>
    <row r="2454" spans="10:19" x14ac:dyDescent="0.2">
      <c r="J2454" s="2"/>
      <c r="K2454" s="2"/>
      <c r="L2454" s="2"/>
      <c r="M2454" s="2"/>
      <c r="N2454" s="2"/>
      <c r="O2454" s="2"/>
      <c r="P2454" s="2"/>
      <c r="Q2454" s="2"/>
      <c r="R2454" s="2"/>
      <c r="S2454" s="2"/>
    </row>
    <row r="2455" spans="10:19" x14ac:dyDescent="0.2">
      <c r="J2455" s="2"/>
      <c r="K2455" s="2"/>
      <c r="L2455" s="2"/>
      <c r="M2455" s="2"/>
      <c r="N2455" s="2"/>
      <c r="O2455" s="2"/>
      <c r="P2455" s="2"/>
      <c r="Q2455" s="2"/>
      <c r="R2455" s="2"/>
      <c r="S2455" s="2"/>
    </row>
    <row r="2456" spans="10:19" x14ac:dyDescent="0.2">
      <c r="J2456" s="2"/>
      <c r="K2456" s="2"/>
      <c r="L2456" s="2"/>
      <c r="M2456" s="2"/>
      <c r="N2456" s="2"/>
      <c r="O2456" s="2"/>
      <c r="P2456" s="2"/>
      <c r="Q2456" s="2"/>
      <c r="R2456" s="2"/>
      <c r="S2456" s="2"/>
    </row>
    <row r="2457" spans="10:19" x14ac:dyDescent="0.2">
      <c r="J2457" s="2"/>
      <c r="K2457" s="2"/>
      <c r="L2457" s="2"/>
      <c r="M2457" s="2"/>
      <c r="N2457" s="2"/>
      <c r="O2457" s="2"/>
      <c r="P2457" s="2"/>
      <c r="Q2457" s="2"/>
      <c r="R2457" s="2"/>
      <c r="S2457" s="2"/>
    </row>
    <row r="2458" spans="10:19" x14ac:dyDescent="0.2">
      <c r="J2458" s="2"/>
      <c r="K2458" s="2"/>
      <c r="L2458" s="2"/>
      <c r="M2458" s="2"/>
      <c r="N2458" s="2"/>
      <c r="O2458" s="2"/>
      <c r="P2458" s="2"/>
      <c r="Q2458" s="2"/>
      <c r="R2458" s="2"/>
      <c r="S2458" s="2"/>
    </row>
    <row r="2459" spans="10:19" x14ac:dyDescent="0.2">
      <c r="J2459" s="2"/>
      <c r="K2459" s="2"/>
      <c r="L2459" s="2"/>
      <c r="M2459" s="2"/>
      <c r="N2459" s="2"/>
      <c r="O2459" s="2"/>
      <c r="P2459" s="2"/>
      <c r="Q2459" s="2"/>
      <c r="R2459" s="2"/>
      <c r="S2459" s="2"/>
    </row>
    <row r="2460" spans="10:19" x14ac:dyDescent="0.2">
      <c r="J2460" s="2"/>
      <c r="K2460" s="2"/>
      <c r="L2460" s="2"/>
      <c r="M2460" s="2"/>
      <c r="N2460" s="2"/>
      <c r="O2460" s="2"/>
      <c r="P2460" s="2"/>
      <c r="Q2460" s="2"/>
      <c r="R2460" s="2"/>
      <c r="S2460" s="2"/>
    </row>
    <row r="2461" spans="10:19" x14ac:dyDescent="0.2">
      <c r="J2461" s="2"/>
      <c r="K2461" s="2"/>
      <c r="L2461" s="2"/>
      <c r="M2461" s="2"/>
      <c r="N2461" s="2"/>
      <c r="O2461" s="2"/>
      <c r="P2461" s="2"/>
      <c r="Q2461" s="2"/>
      <c r="R2461" s="2"/>
      <c r="S2461" s="2"/>
    </row>
    <row r="2462" spans="10:19" x14ac:dyDescent="0.2">
      <c r="J2462" s="2"/>
      <c r="K2462" s="2"/>
      <c r="L2462" s="2"/>
      <c r="M2462" s="2"/>
      <c r="N2462" s="2"/>
      <c r="O2462" s="2"/>
      <c r="P2462" s="2"/>
      <c r="Q2462" s="2"/>
      <c r="R2462" s="2"/>
      <c r="S2462" s="2"/>
    </row>
    <row r="2463" spans="10:19" x14ac:dyDescent="0.2">
      <c r="J2463" s="2"/>
      <c r="K2463" s="2"/>
      <c r="L2463" s="2"/>
      <c r="M2463" s="2"/>
      <c r="N2463" s="2"/>
      <c r="O2463" s="2"/>
      <c r="P2463" s="2"/>
      <c r="Q2463" s="2"/>
      <c r="R2463" s="2"/>
      <c r="S2463" s="2"/>
    </row>
    <row r="2464" spans="10:19" x14ac:dyDescent="0.2">
      <c r="J2464" s="2"/>
      <c r="K2464" s="2"/>
      <c r="L2464" s="2"/>
      <c r="M2464" s="2"/>
      <c r="N2464" s="2"/>
      <c r="O2464" s="2"/>
      <c r="P2464" s="2"/>
      <c r="Q2464" s="2"/>
      <c r="R2464" s="2"/>
      <c r="S2464" s="2"/>
    </row>
    <row r="2465" spans="10:19" x14ac:dyDescent="0.2">
      <c r="J2465" s="2"/>
      <c r="K2465" s="2"/>
      <c r="L2465" s="2"/>
      <c r="M2465" s="2"/>
      <c r="N2465" s="2"/>
      <c r="O2465" s="2"/>
      <c r="P2465" s="2"/>
      <c r="Q2465" s="2"/>
      <c r="R2465" s="2"/>
      <c r="S2465" s="2"/>
    </row>
    <row r="2466" spans="10:19" x14ac:dyDescent="0.2">
      <c r="J2466" s="2"/>
      <c r="K2466" s="2"/>
      <c r="L2466" s="2"/>
      <c r="M2466" s="2"/>
      <c r="N2466" s="2"/>
      <c r="O2466" s="2"/>
      <c r="P2466" s="2"/>
      <c r="Q2466" s="2"/>
      <c r="R2466" s="2"/>
      <c r="S2466" s="2"/>
    </row>
    <row r="2467" spans="10:19" x14ac:dyDescent="0.2">
      <c r="J2467" s="2"/>
      <c r="K2467" s="2"/>
      <c r="L2467" s="2"/>
      <c r="M2467" s="2"/>
      <c r="N2467" s="2"/>
      <c r="O2467" s="2"/>
      <c r="P2467" s="2"/>
      <c r="Q2467" s="2"/>
      <c r="R2467" s="2"/>
      <c r="S2467" s="2"/>
    </row>
    <row r="2468" spans="10:19" x14ac:dyDescent="0.2">
      <c r="J2468" s="2"/>
      <c r="K2468" s="2"/>
      <c r="L2468" s="2"/>
      <c r="M2468" s="2"/>
      <c r="N2468" s="2"/>
      <c r="O2468" s="2"/>
      <c r="P2468" s="2"/>
      <c r="Q2468" s="2"/>
      <c r="R2468" s="2"/>
      <c r="S2468" s="2"/>
    </row>
    <row r="2469" spans="10:19" x14ac:dyDescent="0.2">
      <c r="J2469" s="2"/>
      <c r="K2469" s="2"/>
      <c r="L2469" s="2"/>
      <c r="M2469" s="2"/>
      <c r="N2469" s="2"/>
      <c r="O2469" s="2"/>
      <c r="P2469" s="2"/>
      <c r="Q2469" s="2"/>
      <c r="R2469" s="2"/>
      <c r="S2469" s="2"/>
    </row>
    <row r="2470" spans="10:19" x14ac:dyDescent="0.2">
      <c r="J2470" s="2"/>
      <c r="K2470" s="2"/>
      <c r="L2470" s="2"/>
      <c r="M2470" s="2"/>
      <c r="N2470" s="2"/>
      <c r="O2470" s="2"/>
      <c r="P2470" s="2"/>
      <c r="Q2470" s="2"/>
      <c r="R2470" s="2"/>
      <c r="S2470" s="2"/>
    </row>
    <row r="2471" spans="10:19" x14ac:dyDescent="0.2">
      <c r="J2471" s="2"/>
      <c r="K2471" s="2"/>
      <c r="L2471" s="2"/>
      <c r="M2471" s="2"/>
      <c r="N2471" s="2"/>
      <c r="O2471" s="2"/>
      <c r="P2471" s="2"/>
      <c r="Q2471" s="2"/>
      <c r="R2471" s="2"/>
      <c r="S2471" s="2"/>
    </row>
    <row r="2472" spans="10:19" x14ac:dyDescent="0.2">
      <c r="J2472" s="2"/>
      <c r="K2472" s="2"/>
      <c r="L2472" s="2"/>
      <c r="M2472" s="2"/>
      <c r="N2472" s="2"/>
      <c r="O2472" s="2"/>
      <c r="P2472" s="2"/>
      <c r="Q2472" s="2"/>
      <c r="R2472" s="2"/>
      <c r="S2472" s="2"/>
    </row>
    <row r="2473" spans="10:19" x14ac:dyDescent="0.2">
      <c r="J2473" s="2"/>
      <c r="K2473" s="2"/>
      <c r="L2473" s="2"/>
      <c r="M2473" s="2"/>
      <c r="N2473" s="2"/>
      <c r="O2473" s="2"/>
      <c r="P2473" s="2"/>
      <c r="Q2473" s="2"/>
      <c r="R2473" s="2"/>
      <c r="S2473" s="2"/>
    </row>
    <row r="2474" spans="10:19" x14ac:dyDescent="0.2">
      <c r="J2474" s="2"/>
      <c r="K2474" s="2"/>
      <c r="L2474" s="2"/>
      <c r="M2474" s="2"/>
      <c r="N2474" s="2"/>
      <c r="O2474" s="2"/>
      <c r="P2474" s="2"/>
      <c r="Q2474" s="2"/>
      <c r="R2474" s="2"/>
      <c r="S2474" s="2"/>
    </row>
    <row r="2475" spans="10:19" x14ac:dyDescent="0.2">
      <c r="J2475" s="2"/>
      <c r="K2475" s="2"/>
      <c r="L2475" s="2"/>
      <c r="M2475" s="2"/>
      <c r="N2475" s="2"/>
      <c r="O2475" s="2"/>
      <c r="P2475" s="2"/>
      <c r="Q2475" s="2"/>
      <c r="R2475" s="2"/>
      <c r="S2475" s="2"/>
    </row>
    <row r="2476" spans="10:19" x14ac:dyDescent="0.2">
      <c r="J2476" s="2"/>
      <c r="K2476" s="2"/>
      <c r="L2476" s="2"/>
      <c r="M2476" s="2"/>
      <c r="N2476" s="2"/>
      <c r="O2476" s="2"/>
      <c r="P2476" s="2"/>
      <c r="Q2476" s="2"/>
      <c r="R2476" s="2"/>
      <c r="S2476" s="2"/>
    </row>
    <row r="2477" spans="10:19" x14ac:dyDescent="0.2">
      <c r="J2477" s="2"/>
      <c r="K2477" s="2"/>
      <c r="L2477" s="2"/>
      <c r="M2477" s="2"/>
      <c r="N2477" s="2"/>
      <c r="O2477" s="2"/>
      <c r="P2477" s="2"/>
      <c r="Q2477" s="2"/>
      <c r="R2477" s="2"/>
      <c r="S2477" s="2"/>
    </row>
    <row r="2478" spans="10:19" x14ac:dyDescent="0.2">
      <c r="J2478" s="2"/>
      <c r="K2478" s="2"/>
      <c r="L2478" s="2"/>
      <c r="M2478" s="2"/>
      <c r="N2478" s="2"/>
      <c r="O2478" s="2"/>
      <c r="P2478" s="2"/>
      <c r="Q2478" s="2"/>
      <c r="R2478" s="2"/>
      <c r="S2478" s="2"/>
    </row>
    <row r="2479" spans="10:19" x14ac:dyDescent="0.2">
      <c r="J2479" s="2"/>
      <c r="K2479" s="2"/>
      <c r="L2479" s="2"/>
      <c r="M2479" s="2"/>
      <c r="N2479" s="2"/>
      <c r="O2479" s="2"/>
      <c r="P2479" s="2"/>
      <c r="Q2479" s="2"/>
      <c r="R2479" s="2"/>
      <c r="S2479" s="2"/>
    </row>
    <row r="2480" spans="10:19" x14ac:dyDescent="0.2">
      <c r="J2480" s="2"/>
      <c r="K2480" s="2"/>
      <c r="L2480" s="2"/>
      <c r="M2480" s="2"/>
      <c r="N2480" s="2"/>
      <c r="O2480" s="2"/>
      <c r="P2480" s="2"/>
      <c r="Q2480" s="2"/>
      <c r="R2480" s="2"/>
      <c r="S2480" s="2"/>
    </row>
    <row r="2481" spans="10:19" x14ac:dyDescent="0.2">
      <c r="J2481" s="2"/>
      <c r="K2481" s="2"/>
      <c r="L2481" s="2"/>
      <c r="M2481" s="2"/>
      <c r="N2481" s="2"/>
      <c r="O2481" s="2"/>
      <c r="P2481" s="2"/>
      <c r="Q2481" s="2"/>
      <c r="R2481" s="2"/>
      <c r="S2481" s="2"/>
    </row>
    <row r="2482" spans="10:19" x14ac:dyDescent="0.2">
      <c r="J2482" s="2"/>
      <c r="K2482" s="2"/>
      <c r="L2482" s="2"/>
      <c r="M2482" s="2"/>
      <c r="N2482" s="2"/>
      <c r="O2482" s="2"/>
      <c r="P2482" s="2"/>
      <c r="Q2482" s="2"/>
      <c r="R2482" s="2"/>
      <c r="S2482" s="2"/>
    </row>
    <row r="2483" spans="10:19" x14ac:dyDescent="0.2">
      <c r="J2483" s="2"/>
      <c r="K2483" s="2"/>
      <c r="L2483" s="2"/>
      <c r="M2483" s="2"/>
      <c r="N2483" s="2"/>
      <c r="O2483" s="2"/>
      <c r="P2483" s="2"/>
      <c r="Q2483" s="2"/>
      <c r="R2483" s="2"/>
      <c r="S2483" s="2"/>
    </row>
    <row r="2484" spans="10:19" x14ac:dyDescent="0.2">
      <c r="J2484" s="2"/>
      <c r="K2484" s="2"/>
      <c r="L2484" s="2"/>
      <c r="M2484" s="2"/>
      <c r="N2484" s="2"/>
      <c r="O2484" s="2"/>
      <c r="P2484" s="2"/>
      <c r="Q2484" s="2"/>
      <c r="R2484" s="2"/>
      <c r="S2484" s="2"/>
    </row>
    <row r="2485" spans="10:19" x14ac:dyDescent="0.2">
      <c r="J2485" s="2"/>
      <c r="K2485" s="2"/>
      <c r="L2485" s="2"/>
      <c r="M2485" s="2"/>
      <c r="N2485" s="2"/>
      <c r="O2485" s="2"/>
      <c r="P2485" s="2"/>
      <c r="Q2485" s="2"/>
      <c r="R2485" s="2"/>
      <c r="S2485" s="2"/>
    </row>
    <row r="2486" spans="10:19" x14ac:dyDescent="0.2">
      <c r="J2486" s="2"/>
      <c r="K2486" s="2"/>
      <c r="L2486" s="2"/>
      <c r="M2486" s="2"/>
      <c r="N2486" s="2"/>
      <c r="O2486" s="2"/>
      <c r="P2486" s="2"/>
      <c r="Q2486" s="2"/>
      <c r="R2486" s="2"/>
      <c r="S2486" s="2"/>
    </row>
    <row r="2487" spans="10:19" x14ac:dyDescent="0.2">
      <c r="J2487" s="2"/>
      <c r="K2487" s="2"/>
      <c r="L2487" s="2"/>
      <c r="M2487" s="2"/>
      <c r="N2487" s="2"/>
      <c r="O2487" s="2"/>
      <c r="P2487" s="2"/>
      <c r="Q2487" s="2"/>
      <c r="R2487" s="2"/>
      <c r="S2487" s="2"/>
    </row>
    <row r="2488" spans="10:19" x14ac:dyDescent="0.2">
      <c r="J2488" s="2"/>
      <c r="K2488" s="2"/>
      <c r="L2488" s="2"/>
      <c r="M2488" s="2"/>
      <c r="N2488" s="2"/>
      <c r="O2488" s="2"/>
      <c r="P2488" s="2"/>
      <c r="Q2488" s="2"/>
      <c r="R2488" s="2"/>
      <c r="S2488" s="2"/>
    </row>
    <row r="2489" spans="10:19" x14ac:dyDescent="0.2">
      <c r="J2489" s="2"/>
      <c r="K2489" s="2"/>
      <c r="L2489" s="2"/>
      <c r="M2489" s="2"/>
      <c r="N2489" s="2"/>
      <c r="O2489" s="2"/>
      <c r="P2489" s="2"/>
      <c r="Q2489" s="2"/>
      <c r="R2489" s="2"/>
      <c r="S2489" s="2"/>
    </row>
    <row r="2490" spans="10:19" x14ac:dyDescent="0.2">
      <c r="J2490" s="2"/>
      <c r="K2490" s="2"/>
      <c r="L2490" s="2"/>
      <c r="M2490" s="2"/>
      <c r="N2490" s="2"/>
      <c r="O2490" s="2"/>
      <c r="P2490" s="2"/>
      <c r="Q2490" s="2"/>
      <c r="R2490" s="2"/>
      <c r="S2490" s="2"/>
    </row>
    <row r="2491" spans="10:19" x14ac:dyDescent="0.2">
      <c r="J2491" s="2"/>
      <c r="K2491" s="2"/>
      <c r="L2491" s="2"/>
      <c r="M2491" s="2"/>
      <c r="N2491" s="2"/>
      <c r="O2491" s="2"/>
      <c r="P2491" s="2"/>
      <c r="Q2491" s="2"/>
      <c r="R2491" s="2"/>
      <c r="S2491" s="2"/>
    </row>
    <row r="2492" spans="10:19" x14ac:dyDescent="0.2">
      <c r="J2492" s="2"/>
      <c r="K2492" s="2"/>
      <c r="L2492" s="2"/>
      <c r="M2492" s="2"/>
      <c r="N2492" s="2"/>
      <c r="O2492" s="2"/>
      <c r="P2492" s="2"/>
      <c r="Q2492" s="2"/>
      <c r="R2492" s="2"/>
      <c r="S2492" s="2"/>
    </row>
    <row r="2493" spans="10:19" x14ac:dyDescent="0.2">
      <c r="J2493" s="2"/>
      <c r="K2493" s="2"/>
      <c r="L2493" s="2"/>
      <c r="M2493" s="2"/>
      <c r="N2493" s="2"/>
      <c r="O2493" s="2"/>
      <c r="P2493" s="2"/>
      <c r="Q2493" s="2"/>
      <c r="R2493" s="2"/>
      <c r="S2493" s="2"/>
    </row>
    <row r="2494" spans="10:19" x14ac:dyDescent="0.2">
      <c r="J2494" s="2"/>
      <c r="K2494" s="2"/>
      <c r="L2494" s="2"/>
      <c r="M2494" s="2"/>
      <c r="N2494" s="2"/>
      <c r="O2494" s="2"/>
      <c r="P2494" s="2"/>
      <c r="Q2494" s="2"/>
      <c r="R2494" s="2"/>
      <c r="S2494" s="2"/>
    </row>
    <row r="2495" spans="10:19" x14ac:dyDescent="0.2">
      <c r="J2495" s="2"/>
      <c r="K2495" s="2"/>
      <c r="L2495" s="2"/>
      <c r="M2495" s="2"/>
      <c r="N2495" s="2"/>
      <c r="O2495" s="2"/>
      <c r="P2495" s="2"/>
      <c r="Q2495" s="2"/>
      <c r="R2495" s="2"/>
      <c r="S2495" s="2"/>
    </row>
    <row r="2496" spans="10:19" x14ac:dyDescent="0.2">
      <c r="J2496" s="2"/>
      <c r="K2496" s="2"/>
      <c r="L2496" s="2"/>
      <c r="M2496" s="2"/>
      <c r="N2496" s="2"/>
      <c r="O2496" s="2"/>
      <c r="P2496" s="2"/>
      <c r="Q2496" s="2"/>
      <c r="R2496" s="2"/>
      <c r="S2496" s="2"/>
    </row>
    <row r="2497" spans="10:19" x14ac:dyDescent="0.2">
      <c r="J2497" s="2"/>
      <c r="K2497" s="2"/>
      <c r="L2497" s="2"/>
      <c r="M2497" s="2"/>
      <c r="N2497" s="2"/>
      <c r="O2497" s="2"/>
      <c r="P2497" s="2"/>
      <c r="Q2497" s="2"/>
      <c r="R2497" s="2"/>
      <c r="S2497" s="2"/>
    </row>
    <row r="2498" spans="10:19" x14ac:dyDescent="0.2">
      <c r="J2498" s="2"/>
      <c r="K2498" s="2"/>
      <c r="L2498" s="2"/>
      <c r="M2498" s="2"/>
      <c r="N2498" s="2"/>
      <c r="O2498" s="2"/>
      <c r="P2498" s="2"/>
      <c r="Q2498" s="2"/>
      <c r="R2498" s="2"/>
      <c r="S2498" s="2"/>
    </row>
    <row r="2499" spans="10:19" x14ac:dyDescent="0.2">
      <c r="J2499" s="2"/>
      <c r="K2499" s="2"/>
      <c r="L2499" s="2"/>
      <c r="M2499" s="2"/>
      <c r="N2499" s="2"/>
      <c r="O2499" s="2"/>
      <c r="P2499" s="2"/>
      <c r="Q2499" s="2"/>
      <c r="R2499" s="2"/>
      <c r="S2499" s="2"/>
    </row>
    <row r="2500" spans="10:19" x14ac:dyDescent="0.2">
      <c r="J2500" s="2"/>
      <c r="K2500" s="2"/>
      <c r="L2500" s="2"/>
      <c r="M2500" s="2"/>
      <c r="N2500" s="2"/>
      <c r="O2500" s="2"/>
      <c r="P2500" s="2"/>
      <c r="Q2500" s="2"/>
      <c r="R2500" s="2"/>
      <c r="S2500" s="2"/>
    </row>
    <row r="2501" spans="10:19" x14ac:dyDescent="0.2">
      <c r="J2501" s="2"/>
      <c r="K2501" s="2"/>
      <c r="L2501" s="2"/>
      <c r="M2501" s="2"/>
      <c r="N2501" s="2"/>
      <c r="O2501" s="2"/>
      <c r="P2501" s="2"/>
      <c r="Q2501" s="2"/>
      <c r="R2501" s="2"/>
      <c r="S2501" s="2"/>
    </row>
    <row r="2502" spans="10:19" x14ac:dyDescent="0.2">
      <c r="J2502" s="2"/>
      <c r="K2502" s="2"/>
      <c r="L2502" s="2"/>
      <c r="M2502" s="2"/>
      <c r="N2502" s="2"/>
      <c r="O2502" s="2"/>
      <c r="P2502" s="2"/>
      <c r="Q2502" s="2"/>
      <c r="R2502" s="2"/>
      <c r="S2502" s="2"/>
    </row>
    <row r="2503" spans="10:19" x14ac:dyDescent="0.2">
      <c r="J2503" s="2"/>
      <c r="K2503" s="2"/>
      <c r="L2503" s="2"/>
      <c r="M2503" s="2"/>
      <c r="N2503" s="2"/>
      <c r="O2503" s="2"/>
      <c r="P2503" s="2"/>
      <c r="Q2503" s="2"/>
      <c r="R2503" s="2"/>
      <c r="S2503" s="2"/>
    </row>
    <row r="2504" spans="10:19" x14ac:dyDescent="0.2">
      <c r="J2504" s="2"/>
      <c r="K2504" s="2"/>
      <c r="L2504" s="2"/>
      <c r="M2504" s="2"/>
      <c r="N2504" s="2"/>
      <c r="O2504" s="2"/>
      <c r="P2504" s="2"/>
      <c r="Q2504" s="2"/>
      <c r="R2504" s="2"/>
      <c r="S2504" s="2"/>
    </row>
    <row r="2505" spans="10:19" x14ac:dyDescent="0.2">
      <c r="J2505" s="2"/>
      <c r="K2505" s="2"/>
      <c r="L2505" s="2"/>
      <c r="M2505" s="2"/>
      <c r="N2505" s="2"/>
      <c r="O2505" s="2"/>
      <c r="P2505" s="2"/>
      <c r="Q2505" s="2"/>
      <c r="R2505" s="2"/>
      <c r="S2505" s="2"/>
    </row>
    <row r="2506" spans="10:19" x14ac:dyDescent="0.2">
      <c r="J2506" s="2"/>
      <c r="K2506" s="2"/>
      <c r="L2506" s="2"/>
      <c r="M2506" s="2"/>
      <c r="N2506" s="2"/>
      <c r="O2506" s="2"/>
      <c r="P2506" s="2"/>
      <c r="Q2506" s="2"/>
      <c r="R2506" s="2"/>
      <c r="S2506" s="2"/>
    </row>
    <row r="2507" spans="10:19" x14ac:dyDescent="0.2">
      <c r="J2507" s="2"/>
      <c r="K2507" s="2"/>
      <c r="L2507" s="2"/>
      <c r="M2507" s="2"/>
      <c r="N2507" s="2"/>
      <c r="O2507" s="2"/>
      <c r="P2507" s="2"/>
      <c r="Q2507" s="2"/>
      <c r="R2507" s="2"/>
      <c r="S2507" s="2"/>
    </row>
    <row r="2508" spans="10:19" x14ac:dyDescent="0.2">
      <c r="J2508" s="2"/>
      <c r="K2508" s="2"/>
      <c r="L2508" s="2"/>
      <c r="M2508" s="2"/>
      <c r="N2508" s="2"/>
      <c r="O2508" s="2"/>
      <c r="P2508" s="2"/>
      <c r="Q2508" s="2"/>
      <c r="R2508" s="2"/>
      <c r="S2508" s="2"/>
    </row>
    <row r="2509" spans="10:19" x14ac:dyDescent="0.2">
      <c r="J2509" s="2"/>
      <c r="K2509" s="2"/>
      <c r="L2509" s="2"/>
      <c r="M2509" s="2"/>
      <c r="N2509" s="2"/>
      <c r="O2509" s="2"/>
      <c r="P2509" s="2"/>
      <c r="Q2509" s="2"/>
      <c r="R2509" s="2"/>
      <c r="S2509" s="2"/>
    </row>
    <row r="2510" spans="10:19" x14ac:dyDescent="0.2">
      <c r="J2510" s="2"/>
      <c r="K2510" s="2"/>
      <c r="L2510" s="2"/>
      <c r="M2510" s="2"/>
      <c r="N2510" s="2"/>
      <c r="O2510" s="2"/>
      <c r="P2510" s="2"/>
      <c r="Q2510" s="2"/>
      <c r="R2510" s="2"/>
      <c r="S2510" s="2"/>
    </row>
    <row r="2511" spans="10:19" x14ac:dyDescent="0.2">
      <c r="J2511" s="2"/>
      <c r="K2511" s="2"/>
      <c r="L2511" s="2"/>
      <c r="M2511" s="2"/>
      <c r="N2511" s="2"/>
      <c r="O2511" s="2"/>
      <c r="P2511" s="2"/>
      <c r="Q2511" s="2"/>
      <c r="R2511" s="2"/>
      <c r="S2511" s="2"/>
    </row>
    <row r="2512" spans="10:19" x14ac:dyDescent="0.2">
      <c r="J2512" s="2"/>
      <c r="K2512" s="2"/>
      <c r="L2512" s="2"/>
      <c r="M2512" s="2"/>
      <c r="N2512" s="2"/>
      <c r="O2512" s="2"/>
      <c r="P2512" s="2"/>
      <c r="Q2512" s="2"/>
      <c r="R2512" s="2"/>
      <c r="S2512" s="2"/>
    </row>
    <row r="2513" spans="10:19" x14ac:dyDescent="0.2">
      <c r="J2513" s="2"/>
      <c r="K2513" s="2"/>
      <c r="L2513" s="2"/>
      <c r="M2513" s="2"/>
      <c r="N2513" s="2"/>
      <c r="O2513" s="2"/>
      <c r="P2513" s="2"/>
      <c r="Q2513" s="2"/>
      <c r="R2513" s="2"/>
      <c r="S2513" s="2"/>
    </row>
    <row r="2514" spans="10:19" x14ac:dyDescent="0.2">
      <c r="J2514" s="2"/>
      <c r="K2514" s="2"/>
      <c r="L2514" s="2"/>
      <c r="M2514" s="2"/>
      <c r="N2514" s="2"/>
      <c r="O2514" s="2"/>
      <c r="P2514" s="2"/>
      <c r="Q2514" s="2"/>
      <c r="R2514" s="2"/>
      <c r="S2514" s="2"/>
    </row>
    <row r="2515" spans="10:19" x14ac:dyDescent="0.2">
      <c r="J2515" s="2"/>
      <c r="K2515" s="2"/>
      <c r="L2515" s="2"/>
      <c r="M2515" s="2"/>
      <c r="N2515" s="2"/>
      <c r="O2515" s="2"/>
      <c r="P2515" s="2"/>
      <c r="Q2515" s="2"/>
      <c r="R2515" s="2"/>
      <c r="S2515" s="2"/>
    </row>
    <row r="2516" spans="10:19" x14ac:dyDescent="0.2">
      <c r="J2516" s="2"/>
      <c r="K2516" s="2"/>
      <c r="L2516" s="2"/>
      <c r="M2516" s="2"/>
      <c r="N2516" s="2"/>
      <c r="O2516" s="2"/>
      <c r="P2516" s="2"/>
      <c r="Q2516" s="2"/>
      <c r="R2516" s="2"/>
      <c r="S2516" s="2"/>
    </row>
    <row r="2517" spans="10:19" x14ac:dyDescent="0.2">
      <c r="J2517" s="2"/>
      <c r="K2517" s="2"/>
      <c r="L2517" s="2"/>
      <c r="M2517" s="2"/>
      <c r="N2517" s="2"/>
      <c r="O2517" s="2"/>
      <c r="P2517" s="2"/>
      <c r="Q2517" s="2"/>
      <c r="R2517" s="2"/>
      <c r="S2517" s="2"/>
    </row>
    <row r="2518" spans="10:19" x14ac:dyDescent="0.2">
      <c r="J2518" s="2"/>
      <c r="K2518" s="2"/>
      <c r="L2518" s="2"/>
      <c r="M2518" s="2"/>
      <c r="N2518" s="2"/>
      <c r="O2518" s="2"/>
      <c r="P2518" s="2"/>
      <c r="Q2518" s="2"/>
      <c r="R2518" s="2"/>
      <c r="S2518" s="2"/>
    </row>
    <row r="2519" spans="10:19" x14ac:dyDescent="0.2">
      <c r="J2519" s="2"/>
      <c r="K2519" s="2"/>
      <c r="L2519" s="2"/>
      <c r="M2519" s="2"/>
      <c r="N2519" s="2"/>
      <c r="O2519" s="2"/>
      <c r="P2519" s="2"/>
      <c r="Q2519" s="2"/>
      <c r="R2519" s="2"/>
      <c r="S2519" s="2"/>
    </row>
    <row r="2520" spans="10:19" x14ac:dyDescent="0.2">
      <c r="J2520" s="2"/>
      <c r="K2520" s="2"/>
      <c r="L2520" s="2"/>
      <c r="M2520" s="2"/>
      <c r="N2520" s="2"/>
      <c r="O2520" s="2"/>
      <c r="P2520" s="2"/>
      <c r="Q2520" s="2"/>
      <c r="R2520" s="2"/>
      <c r="S2520" s="2"/>
    </row>
    <row r="2521" spans="10:19" x14ac:dyDescent="0.2">
      <c r="J2521" s="2"/>
      <c r="K2521" s="2"/>
      <c r="L2521" s="2"/>
      <c r="M2521" s="2"/>
      <c r="N2521" s="2"/>
      <c r="O2521" s="2"/>
      <c r="P2521" s="2"/>
      <c r="Q2521" s="2"/>
      <c r="R2521" s="2"/>
      <c r="S2521" s="2"/>
    </row>
    <row r="2522" spans="10:19" x14ac:dyDescent="0.2">
      <c r="J2522" s="2"/>
      <c r="K2522" s="2"/>
      <c r="L2522" s="2"/>
      <c r="M2522" s="2"/>
      <c r="N2522" s="2"/>
      <c r="O2522" s="2"/>
      <c r="P2522" s="2"/>
      <c r="Q2522" s="2"/>
      <c r="R2522" s="2"/>
      <c r="S2522" s="2"/>
    </row>
    <row r="2523" spans="10:19" x14ac:dyDescent="0.2">
      <c r="J2523" s="2"/>
      <c r="K2523" s="2"/>
      <c r="L2523" s="2"/>
      <c r="M2523" s="2"/>
      <c r="N2523" s="2"/>
      <c r="O2523" s="2"/>
      <c r="P2523" s="2"/>
      <c r="Q2523" s="2"/>
      <c r="R2523" s="2"/>
      <c r="S2523" s="2"/>
    </row>
    <row r="2524" spans="10:19" x14ac:dyDescent="0.2">
      <c r="J2524" s="2"/>
      <c r="K2524" s="2"/>
      <c r="L2524" s="2"/>
      <c r="M2524" s="2"/>
      <c r="N2524" s="2"/>
      <c r="O2524" s="2"/>
      <c r="P2524" s="2"/>
      <c r="Q2524" s="2"/>
      <c r="R2524" s="2"/>
      <c r="S2524" s="2"/>
    </row>
    <row r="2525" spans="10:19" x14ac:dyDescent="0.2">
      <c r="J2525" s="2"/>
      <c r="K2525" s="2"/>
      <c r="L2525" s="2"/>
      <c r="M2525" s="2"/>
      <c r="N2525" s="2"/>
      <c r="O2525" s="2"/>
      <c r="P2525" s="2"/>
      <c r="Q2525" s="2"/>
      <c r="R2525" s="2"/>
      <c r="S2525" s="2"/>
    </row>
    <row r="2526" spans="10:19" x14ac:dyDescent="0.2">
      <c r="J2526" s="2"/>
      <c r="K2526" s="2"/>
      <c r="L2526" s="2"/>
      <c r="M2526" s="2"/>
      <c r="N2526" s="2"/>
      <c r="O2526" s="2"/>
      <c r="P2526" s="2"/>
      <c r="Q2526" s="2"/>
      <c r="R2526" s="2"/>
      <c r="S2526" s="2"/>
    </row>
    <row r="2527" spans="10:19" x14ac:dyDescent="0.2">
      <c r="J2527" s="2"/>
      <c r="K2527" s="2"/>
      <c r="L2527" s="2"/>
      <c r="M2527" s="2"/>
      <c r="N2527" s="2"/>
      <c r="O2527" s="2"/>
      <c r="P2527" s="2"/>
      <c r="Q2527" s="2"/>
      <c r="R2527" s="2"/>
      <c r="S2527" s="2"/>
    </row>
    <row r="2528" spans="10:19" x14ac:dyDescent="0.2">
      <c r="J2528" s="2"/>
      <c r="K2528" s="2"/>
      <c r="L2528" s="2"/>
      <c r="M2528" s="2"/>
      <c r="N2528" s="2"/>
      <c r="O2528" s="2"/>
      <c r="P2528" s="2"/>
      <c r="Q2528" s="2"/>
      <c r="R2528" s="2"/>
      <c r="S2528" s="2"/>
    </row>
    <row r="2529" spans="10:19" x14ac:dyDescent="0.2">
      <c r="J2529" s="2"/>
      <c r="K2529" s="2"/>
      <c r="L2529" s="2"/>
      <c r="M2529" s="2"/>
      <c r="N2529" s="2"/>
      <c r="O2529" s="2"/>
      <c r="P2529" s="2"/>
      <c r="Q2529" s="2"/>
      <c r="R2529" s="2"/>
      <c r="S2529" s="2"/>
    </row>
    <row r="2530" spans="10:19" x14ac:dyDescent="0.2">
      <c r="J2530" s="2"/>
      <c r="K2530" s="2"/>
      <c r="L2530" s="2"/>
      <c r="M2530" s="2"/>
      <c r="N2530" s="2"/>
      <c r="O2530" s="2"/>
      <c r="P2530" s="2"/>
      <c r="Q2530" s="2"/>
      <c r="R2530" s="2"/>
      <c r="S2530" s="2"/>
    </row>
    <row r="2531" spans="10:19" x14ac:dyDescent="0.2">
      <c r="J2531" s="2"/>
      <c r="K2531" s="2"/>
      <c r="L2531" s="2"/>
      <c r="M2531" s="2"/>
      <c r="N2531" s="2"/>
      <c r="O2531" s="2"/>
      <c r="P2531" s="2"/>
      <c r="Q2531" s="2"/>
      <c r="R2531" s="2"/>
      <c r="S2531" s="2"/>
    </row>
    <row r="2532" spans="10:19" x14ac:dyDescent="0.2">
      <c r="J2532" s="2"/>
      <c r="K2532" s="2"/>
      <c r="L2532" s="2"/>
      <c r="M2532" s="2"/>
      <c r="N2532" s="2"/>
      <c r="O2532" s="2"/>
      <c r="P2532" s="2"/>
      <c r="Q2532" s="2"/>
      <c r="R2532" s="2"/>
      <c r="S2532" s="2"/>
    </row>
    <row r="2533" spans="10:19" x14ac:dyDescent="0.2">
      <c r="J2533" s="2"/>
      <c r="K2533" s="2"/>
      <c r="L2533" s="2"/>
      <c r="M2533" s="2"/>
      <c r="N2533" s="2"/>
      <c r="O2533" s="2"/>
      <c r="P2533" s="2"/>
      <c r="Q2533" s="2"/>
      <c r="R2533" s="2"/>
      <c r="S2533" s="2"/>
    </row>
    <row r="2534" spans="10:19" x14ac:dyDescent="0.2">
      <c r="J2534" s="2"/>
      <c r="K2534" s="2"/>
      <c r="L2534" s="2"/>
      <c r="M2534" s="2"/>
      <c r="N2534" s="2"/>
      <c r="O2534" s="2"/>
      <c r="P2534" s="2"/>
      <c r="Q2534" s="2"/>
      <c r="R2534" s="2"/>
      <c r="S2534" s="2"/>
    </row>
    <row r="2535" spans="10:19" x14ac:dyDescent="0.2">
      <c r="J2535" s="2"/>
      <c r="K2535" s="2"/>
      <c r="L2535" s="2"/>
      <c r="M2535" s="2"/>
      <c r="N2535" s="2"/>
      <c r="O2535" s="2"/>
      <c r="P2535" s="2"/>
      <c r="Q2535" s="2"/>
      <c r="R2535" s="2"/>
      <c r="S2535" s="2"/>
    </row>
    <row r="2536" spans="10:19" x14ac:dyDescent="0.2">
      <c r="J2536" s="2"/>
      <c r="K2536" s="2"/>
      <c r="L2536" s="2"/>
      <c r="M2536" s="2"/>
      <c r="N2536" s="2"/>
      <c r="O2536" s="2"/>
      <c r="P2536" s="2"/>
      <c r="Q2536" s="2"/>
      <c r="R2536" s="2"/>
      <c r="S2536" s="2"/>
    </row>
    <row r="2537" spans="10:19" x14ac:dyDescent="0.2">
      <c r="J2537" s="2"/>
      <c r="K2537" s="2"/>
      <c r="L2537" s="2"/>
      <c r="M2537" s="2"/>
      <c r="N2537" s="2"/>
      <c r="O2537" s="2"/>
      <c r="P2537" s="2"/>
      <c r="Q2537" s="2"/>
      <c r="R2537" s="2"/>
      <c r="S2537" s="2"/>
    </row>
    <row r="2538" spans="10:19" x14ac:dyDescent="0.2">
      <c r="J2538" s="2"/>
      <c r="K2538" s="2"/>
      <c r="L2538" s="2"/>
      <c r="M2538" s="2"/>
      <c r="N2538" s="2"/>
      <c r="O2538" s="2"/>
      <c r="P2538" s="2"/>
      <c r="Q2538" s="2"/>
      <c r="R2538" s="2"/>
      <c r="S2538" s="2"/>
    </row>
    <row r="2539" spans="10:19" x14ac:dyDescent="0.2">
      <c r="J2539" s="2"/>
      <c r="K2539" s="2"/>
      <c r="L2539" s="2"/>
      <c r="M2539" s="2"/>
      <c r="N2539" s="2"/>
      <c r="O2539" s="2"/>
      <c r="P2539" s="2"/>
      <c r="Q2539" s="2"/>
      <c r="R2539" s="2"/>
      <c r="S2539" s="2"/>
    </row>
    <row r="2540" spans="10:19" x14ac:dyDescent="0.2">
      <c r="J2540" s="2"/>
      <c r="K2540" s="2"/>
      <c r="L2540" s="2"/>
      <c r="M2540" s="2"/>
      <c r="N2540" s="2"/>
      <c r="O2540" s="2"/>
      <c r="P2540" s="2"/>
      <c r="Q2540" s="2"/>
      <c r="R2540" s="2"/>
      <c r="S2540" s="2"/>
    </row>
    <row r="2541" spans="10:19" x14ac:dyDescent="0.2">
      <c r="J2541" s="2"/>
      <c r="K2541" s="2"/>
      <c r="L2541" s="2"/>
      <c r="M2541" s="2"/>
      <c r="N2541" s="2"/>
      <c r="O2541" s="2"/>
      <c r="P2541" s="2"/>
      <c r="Q2541" s="2"/>
      <c r="R2541" s="2"/>
      <c r="S2541" s="2"/>
    </row>
    <row r="2542" spans="10:19" x14ac:dyDescent="0.2">
      <c r="J2542" s="2"/>
      <c r="K2542" s="2"/>
      <c r="L2542" s="2"/>
      <c r="M2542" s="2"/>
      <c r="N2542" s="2"/>
      <c r="O2542" s="2"/>
      <c r="P2542" s="2"/>
      <c r="Q2542" s="2"/>
      <c r="R2542" s="2"/>
      <c r="S2542" s="2"/>
    </row>
    <row r="2543" spans="10:19" x14ac:dyDescent="0.2">
      <c r="J2543" s="2"/>
      <c r="K2543" s="2"/>
      <c r="L2543" s="2"/>
      <c r="M2543" s="2"/>
      <c r="N2543" s="2"/>
      <c r="O2543" s="2"/>
      <c r="P2543" s="2"/>
      <c r="Q2543" s="2"/>
      <c r="R2543" s="2"/>
      <c r="S2543" s="2"/>
    </row>
    <row r="2544" spans="10:19" x14ac:dyDescent="0.2">
      <c r="J2544" s="2"/>
      <c r="K2544" s="2"/>
      <c r="L2544" s="2"/>
      <c r="M2544" s="2"/>
      <c r="N2544" s="2"/>
      <c r="O2544" s="2"/>
      <c r="P2544" s="2"/>
      <c r="Q2544" s="2"/>
      <c r="R2544" s="2"/>
      <c r="S2544" s="2"/>
    </row>
    <row r="2545" spans="10:19" x14ac:dyDescent="0.2">
      <c r="J2545" s="2"/>
      <c r="K2545" s="2"/>
      <c r="L2545" s="2"/>
      <c r="M2545" s="2"/>
      <c r="N2545" s="2"/>
      <c r="O2545" s="2"/>
      <c r="P2545" s="2"/>
      <c r="Q2545" s="2"/>
      <c r="R2545" s="2"/>
      <c r="S2545" s="2"/>
    </row>
    <row r="2546" spans="10:19" x14ac:dyDescent="0.2">
      <c r="J2546" s="2"/>
      <c r="K2546" s="2"/>
      <c r="L2546" s="2"/>
      <c r="M2546" s="2"/>
      <c r="N2546" s="2"/>
      <c r="O2546" s="2"/>
      <c r="P2546" s="2"/>
      <c r="Q2546" s="2"/>
      <c r="R2546" s="2"/>
      <c r="S2546" s="2"/>
    </row>
    <row r="2547" spans="10:19" x14ac:dyDescent="0.2">
      <c r="J2547" s="2"/>
      <c r="K2547" s="2"/>
      <c r="L2547" s="2"/>
      <c r="M2547" s="2"/>
      <c r="N2547" s="2"/>
      <c r="O2547" s="2"/>
      <c r="P2547" s="2"/>
      <c r="Q2547" s="2"/>
      <c r="R2547" s="2"/>
      <c r="S2547" s="2"/>
    </row>
    <row r="2548" spans="10:19" x14ac:dyDescent="0.2">
      <c r="J2548" s="2"/>
      <c r="K2548" s="2"/>
      <c r="L2548" s="2"/>
      <c r="M2548" s="2"/>
      <c r="N2548" s="2"/>
      <c r="O2548" s="2"/>
      <c r="P2548" s="2"/>
      <c r="Q2548" s="2"/>
      <c r="R2548" s="2"/>
      <c r="S2548" s="2"/>
    </row>
    <row r="2549" spans="10:19" x14ac:dyDescent="0.2">
      <c r="J2549" s="2"/>
      <c r="K2549" s="2"/>
      <c r="L2549" s="2"/>
      <c r="M2549" s="2"/>
      <c r="N2549" s="2"/>
      <c r="O2549" s="2"/>
      <c r="P2549" s="2"/>
      <c r="Q2549" s="2"/>
      <c r="R2549" s="2"/>
      <c r="S2549" s="2"/>
    </row>
    <row r="2550" spans="10:19" x14ac:dyDescent="0.2">
      <c r="J2550" s="2"/>
      <c r="K2550" s="2"/>
      <c r="L2550" s="2"/>
      <c r="M2550" s="2"/>
      <c r="N2550" s="2"/>
      <c r="O2550" s="2"/>
      <c r="P2550" s="2"/>
      <c r="Q2550" s="2"/>
      <c r="R2550" s="2"/>
      <c r="S2550" s="2"/>
    </row>
    <row r="2551" spans="10:19" x14ac:dyDescent="0.2">
      <c r="J2551" s="2"/>
      <c r="K2551" s="2"/>
      <c r="L2551" s="2"/>
      <c r="M2551" s="2"/>
      <c r="N2551" s="2"/>
      <c r="O2551" s="2"/>
      <c r="P2551" s="2"/>
      <c r="Q2551" s="2"/>
      <c r="R2551" s="2"/>
      <c r="S2551" s="2"/>
    </row>
    <row r="2552" spans="10:19" x14ac:dyDescent="0.2">
      <c r="J2552" s="2"/>
      <c r="K2552" s="2"/>
      <c r="L2552" s="2"/>
      <c r="M2552" s="2"/>
      <c r="N2552" s="2"/>
      <c r="O2552" s="2"/>
      <c r="P2552" s="2"/>
      <c r="Q2552" s="2"/>
      <c r="R2552" s="2"/>
      <c r="S2552" s="2"/>
    </row>
    <row r="2553" spans="10:19" x14ac:dyDescent="0.2">
      <c r="J2553" s="2"/>
      <c r="K2553" s="2"/>
      <c r="L2553" s="2"/>
      <c r="M2553" s="2"/>
      <c r="N2553" s="2"/>
      <c r="O2553" s="2"/>
      <c r="P2553" s="2"/>
      <c r="Q2553" s="2"/>
      <c r="R2553" s="2"/>
      <c r="S2553" s="2"/>
    </row>
    <row r="2554" spans="10:19" x14ac:dyDescent="0.2">
      <c r="J2554" s="2"/>
      <c r="K2554" s="2"/>
      <c r="L2554" s="2"/>
      <c r="M2554" s="2"/>
      <c r="N2554" s="2"/>
      <c r="O2554" s="2"/>
      <c r="P2554" s="2"/>
      <c r="Q2554" s="2"/>
      <c r="R2554" s="2"/>
      <c r="S2554" s="2"/>
    </row>
    <row r="2555" spans="10:19" x14ac:dyDescent="0.2">
      <c r="J2555" s="2"/>
      <c r="K2555" s="2"/>
      <c r="L2555" s="2"/>
      <c r="M2555" s="2"/>
      <c r="N2555" s="2"/>
      <c r="O2555" s="2"/>
      <c r="P2555" s="2"/>
      <c r="Q2555" s="2"/>
      <c r="R2555" s="2"/>
      <c r="S2555" s="2"/>
    </row>
    <row r="2556" spans="10:19" x14ac:dyDescent="0.2">
      <c r="J2556" s="2"/>
      <c r="K2556" s="2"/>
      <c r="L2556" s="2"/>
      <c r="M2556" s="2"/>
      <c r="N2556" s="2"/>
      <c r="O2556" s="2"/>
      <c r="P2556" s="2"/>
      <c r="Q2556" s="2"/>
      <c r="R2556" s="2"/>
      <c r="S2556" s="2"/>
    </row>
    <row r="2557" spans="10:19" x14ac:dyDescent="0.2">
      <c r="J2557" s="2"/>
      <c r="K2557" s="2"/>
      <c r="L2557" s="2"/>
      <c r="M2557" s="2"/>
      <c r="N2557" s="2"/>
      <c r="O2557" s="2"/>
      <c r="P2557" s="2"/>
      <c r="Q2557" s="2"/>
      <c r="R2557" s="2"/>
      <c r="S2557" s="2"/>
    </row>
    <row r="2558" spans="10:19" x14ac:dyDescent="0.2">
      <c r="J2558" s="2"/>
      <c r="K2558" s="2"/>
      <c r="L2558" s="2"/>
      <c r="M2558" s="2"/>
      <c r="N2558" s="2"/>
      <c r="O2558" s="2"/>
      <c r="P2558" s="2"/>
      <c r="Q2558" s="2"/>
      <c r="R2558" s="2"/>
      <c r="S2558" s="2"/>
    </row>
    <row r="2559" spans="10:19" x14ac:dyDescent="0.2">
      <c r="J2559" s="2"/>
      <c r="K2559" s="2"/>
      <c r="L2559" s="2"/>
      <c r="M2559" s="2"/>
      <c r="N2559" s="2"/>
      <c r="O2559" s="2"/>
      <c r="P2559" s="2"/>
      <c r="Q2559" s="2"/>
      <c r="R2559" s="2"/>
      <c r="S2559" s="2"/>
    </row>
    <row r="2560" spans="10:19" x14ac:dyDescent="0.2">
      <c r="J2560" s="2"/>
      <c r="K2560" s="2"/>
      <c r="L2560" s="2"/>
      <c r="M2560" s="2"/>
      <c r="N2560" s="2"/>
      <c r="O2560" s="2"/>
      <c r="P2560" s="2"/>
      <c r="Q2560" s="2"/>
      <c r="R2560" s="2"/>
      <c r="S2560" s="2"/>
    </row>
    <row r="2561" spans="10:19" x14ac:dyDescent="0.2">
      <c r="J2561" s="2"/>
      <c r="K2561" s="2"/>
      <c r="L2561" s="2"/>
      <c r="M2561" s="2"/>
      <c r="N2561" s="2"/>
      <c r="O2561" s="2"/>
      <c r="P2561" s="2"/>
      <c r="Q2561" s="2"/>
      <c r="R2561" s="2"/>
      <c r="S2561" s="2"/>
    </row>
    <row r="2562" spans="10:19" x14ac:dyDescent="0.2">
      <c r="J2562" s="2"/>
      <c r="K2562" s="2"/>
      <c r="L2562" s="2"/>
      <c r="M2562" s="2"/>
      <c r="N2562" s="2"/>
      <c r="O2562" s="2"/>
      <c r="P2562" s="2"/>
      <c r="Q2562" s="2"/>
      <c r="R2562" s="2"/>
      <c r="S2562" s="2"/>
    </row>
    <row r="2563" spans="10:19" x14ac:dyDescent="0.2">
      <c r="J2563" s="2"/>
      <c r="K2563" s="2"/>
      <c r="L2563" s="2"/>
      <c r="M2563" s="2"/>
      <c r="N2563" s="2"/>
      <c r="O2563" s="2"/>
      <c r="P2563" s="2"/>
      <c r="Q2563" s="2"/>
      <c r="R2563" s="2"/>
      <c r="S2563" s="2"/>
    </row>
    <row r="2564" spans="10:19" x14ac:dyDescent="0.2">
      <c r="J2564" s="2"/>
      <c r="K2564" s="2"/>
      <c r="L2564" s="2"/>
      <c r="M2564" s="2"/>
      <c r="N2564" s="2"/>
      <c r="O2564" s="2"/>
      <c r="P2564" s="2"/>
      <c r="Q2564" s="2"/>
      <c r="R2564" s="2"/>
      <c r="S2564" s="2"/>
    </row>
    <row r="2565" spans="10:19" x14ac:dyDescent="0.2">
      <c r="J2565" s="2"/>
      <c r="K2565" s="2"/>
      <c r="L2565" s="2"/>
      <c r="M2565" s="2"/>
      <c r="N2565" s="2"/>
      <c r="O2565" s="2"/>
      <c r="P2565" s="2"/>
      <c r="Q2565" s="2"/>
      <c r="R2565" s="2"/>
      <c r="S2565" s="2"/>
    </row>
    <row r="2566" spans="10:19" x14ac:dyDescent="0.2">
      <c r="J2566" s="2"/>
      <c r="K2566" s="2"/>
      <c r="L2566" s="2"/>
      <c r="M2566" s="2"/>
      <c r="N2566" s="2"/>
      <c r="O2566" s="2"/>
      <c r="P2566" s="2"/>
      <c r="Q2566" s="2"/>
      <c r="R2566" s="2"/>
      <c r="S2566" s="2"/>
    </row>
    <row r="2567" spans="10:19" x14ac:dyDescent="0.2">
      <c r="J2567" s="2"/>
      <c r="K2567" s="2"/>
      <c r="L2567" s="2"/>
      <c r="M2567" s="2"/>
      <c r="N2567" s="2"/>
      <c r="O2567" s="2"/>
      <c r="P2567" s="2"/>
      <c r="Q2567" s="2"/>
      <c r="R2567" s="2"/>
      <c r="S2567" s="2"/>
    </row>
    <row r="2568" spans="10:19" x14ac:dyDescent="0.2">
      <c r="J2568" s="2"/>
      <c r="K2568" s="2"/>
      <c r="L2568" s="2"/>
      <c r="M2568" s="2"/>
      <c r="N2568" s="2"/>
      <c r="O2568" s="2"/>
      <c r="P2568" s="2"/>
      <c r="Q2568" s="2"/>
      <c r="R2568" s="2"/>
      <c r="S2568" s="2"/>
    </row>
    <row r="2569" spans="10:19" x14ac:dyDescent="0.2">
      <c r="J2569" s="2"/>
      <c r="K2569" s="2"/>
      <c r="L2569" s="2"/>
      <c r="M2569" s="2"/>
      <c r="N2569" s="2"/>
      <c r="O2569" s="2"/>
      <c r="P2569" s="2"/>
      <c r="Q2569" s="2"/>
      <c r="R2569" s="2"/>
      <c r="S2569" s="2"/>
    </row>
    <row r="2570" spans="10:19" x14ac:dyDescent="0.2">
      <c r="J2570" s="2"/>
      <c r="K2570" s="2"/>
      <c r="L2570" s="2"/>
      <c r="M2570" s="2"/>
      <c r="N2570" s="2"/>
      <c r="O2570" s="2"/>
      <c r="P2570" s="2"/>
      <c r="Q2570" s="2"/>
      <c r="R2570" s="2"/>
      <c r="S2570" s="2"/>
    </row>
    <row r="2571" spans="10:19" x14ac:dyDescent="0.2">
      <c r="J2571" s="2"/>
      <c r="K2571" s="2"/>
      <c r="L2571" s="2"/>
      <c r="M2571" s="2"/>
      <c r="N2571" s="2"/>
      <c r="O2571" s="2"/>
      <c r="P2571" s="2"/>
      <c r="Q2571" s="2"/>
      <c r="R2571" s="2"/>
      <c r="S2571" s="2"/>
    </row>
    <row r="2572" spans="10:19" x14ac:dyDescent="0.2">
      <c r="J2572" s="2"/>
      <c r="K2572" s="2"/>
      <c r="L2572" s="2"/>
      <c r="M2572" s="2"/>
      <c r="N2572" s="2"/>
      <c r="O2572" s="2"/>
      <c r="P2572" s="2"/>
      <c r="Q2572" s="2"/>
      <c r="R2572" s="2"/>
      <c r="S2572" s="2"/>
    </row>
    <row r="2573" spans="10:19" x14ac:dyDescent="0.2">
      <c r="J2573" s="2"/>
      <c r="K2573" s="2"/>
      <c r="L2573" s="2"/>
      <c r="M2573" s="2"/>
      <c r="N2573" s="2"/>
      <c r="O2573" s="2"/>
      <c r="P2573" s="2"/>
      <c r="Q2573" s="2"/>
      <c r="R2573" s="2"/>
      <c r="S2573" s="2"/>
    </row>
    <row r="2574" spans="10:19" x14ac:dyDescent="0.2">
      <c r="J2574" s="2"/>
      <c r="K2574" s="2"/>
      <c r="L2574" s="2"/>
      <c r="M2574" s="2"/>
      <c r="N2574" s="2"/>
      <c r="O2574" s="2"/>
      <c r="P2574" s="2"/>
      <c r="Q2574" s="2"/>
      <c r="R2574" s="2"/>
      <c r="S2574" s="2"/>
    </row>
    <row r="2575" spans="10:19" x14ac:dyDescent="0.2">
      <c r="J2575" s="2"/>
      <c r="K2575" s="2"/>
      <c r="L2575" s="2"/>
      <c r="M2575" s="2"/>
      <c r="N2575" s="2"/>
      <c r="O2575" s="2"/>
      <c r="P2575" s="2"/>
      <c r="Q2575" s="2"/>
      <c r="R2575" s="2"/>
      <c r="S2575" s="2"/>
    </row>
    <row r="2576" spans="10:19" x14ac:dyDescent="0.2">
      <c r="J2576" s="2"/>
      <c r="K2576" s="2"/>
      <c r="L2576" s="2"/>
      <c r="M2576" s="2"/>
      <c r="N2576" s="2"/>
      <c r="O2576" s="2"/>
      <c r="P2576" s="2"/>
      <c r="Q2576" s="2"/>
      <c r="R2576" s="2"/>
      <c r="S2576" s="2"/>
    </row>
    <row r="2577" spans="10:19" x14ac:dyDescent="0.2">
      <c r="J2577" s="2"/>
      <c r="K2577" s="2"/>
      <c r="L2577" s="2"/>
      <c r="M2577" s="2"/>
      <c r="N2577" s="2"/>
      <c r="O2577" s="2"/>
      <c r="P2577" s="2"/>
      <c r="Q2577" s="2"/>
      <c r="R2577" s="2"/>
      <c r="S2577" s="2"/>
    </row>
    <row r="2578" spans="10:19" x14ac:dyDescent="0.2">
      <c r="J2578" s="2"/>
      <c r="K2578" s="2"/>
      <c r="L2578" s="2"/>
      <c r="M2578" s="2"/>
      <c r="N2578" s="2"/>
      <c r="O2578" s="2"/>
      <c r="P2578" s="2"/>
      <c r="Q2578" s="2"/>
      <c r="R2578" s="2"/>
      <c r="S2578" s="2"/>
    </row>
    <row r="2579" spans="10:19" x14ac:dyDescent="0.2">
      <c r="J2579" s="2"/>
      <c r="K2579" s="2"/>
      <c r="L2579" s="2"/>
      <c r="M2579" s="2"/>
      <c r="N2579" s="2"/>
      <c r="O2579" s="2"/>
      <c r="P2579" s="2"/>
      <c r="Q2579" s="2"/>
      <c r="R2579" s="2"/>
      <c r="S2579" s="2"/>
    </row>
    <row r="2580" spans="10:19" x14ac:dyDescent="0.2">
      <c r="J2580" s="2"/>
      <c r="K2580" s="2"/>
      <c r="L2580" s="2"/>
      <c r="M2580" s="2"/>
      <c r="N2580" s="2"/>
      <c r="O2580" s="2"/>
      <c r="P2580" s="2"/>
      <c r="Q2580" s="2"/>
      <c r="R2580" s="2"/>
      <c r="S2580" s="2"/>
    </row>
    <row r="2581" spans="10:19" x14ac:dyDescent="0.2">
      <c r="J2581" s="2"/>
      <c r="K2581" s="2"/>
      <c r="L2581" s="2"/>
      <c r="M2581" s="2"/>
      <c r="N2581" s="2"/>
      <c r="O2581" s="2"/>
      <c r="P2581" s="2"/>
      <c r="Q2581" s="2"/>
      <c r="R2581" s="2"/>
      <c r="S2581" s="2"/>
    </row>
    <row r="2582" spans="10:19" x14ac:dyDescent="0.2">
      <c r="J2582" s="2"/>
      <c r="K2582" s="2"/>
      <c r="L2582" s="2"/>
      <c r="M2582" s="2"/>
      <c r="N2582" s="2"/>
      <c r="O2582" s="2"/>
      <c r="P2582" s="2"/>
      <c r="Q2582" s="2"/>
      <c r="R2582" s="2"/>
      <c r="S2582" s="2"/>
    </row>
    <row r="2583" spans="10:19" x14ac:dyDescent="0.2">
      <c r="J2583" s="2"/>
      <c r="K2583" s="2"/>
      <c r="L2583" s="2"/>
      <c r="M2583" s="2"/>
      <c r="N2583" s="2"/>
      <c r="O2583" s="2"/>
      <c r="P2583" s="2"/>
      <c r="Q2583" s="2"/>
      <c r="R2583" s="2"/>
      <c r="S2583" s="2"/>
    </row>
    <row r="2584" spans="10:19" x14ac:dyDescent="0.2">
      <c r="J2584" s="2"/>
      <c r="K2584" s="2"/>
      <c r="L2584" s="2"/>
      <c r="M2584" s="2"/>
      <c r="N2584" s="2"/>
      <c r="O2584" s="2"/>
      <c r="P2584" s="2"/>
      <c r="Q2584" s="2"/>
      <c r="R2584" s="2"/>
      <c r="S2584" s="2"/>
    </row>
    <row r="2585" spans="10:19" x14ac:dyDescent="0.2">
      <c r="J2585" s="2"/>
      <c r="K2585" s="2"/>
      <c r="L2585" s="2"/>
      <c r="M2585" s="2"/>
      <c r="N2585" s="2"/>
      <c r="O2585" s="2"/>
      <c r="P2585" s="2"/>
      <c r="Q2585" s="2"/>
      <c r="R2585" s="2"/>
      <c r="S2585" s="2"/>
    </row>
    <row r="2586" spans="10:19" x14ac:dyDescent="0.2">
      <c r="J2586" s="2"/>
      <c r="K2586" s="2"/>
      <c r="L2586" s="2"/>
      <c r="M2586" s="2"/>
      <c r="N2586" s="2"/>
      <c r="O2586" s="2"/>
      <c r="P2586" s="2"/>
      <c r="Q2586" s="2"/>
      <c r="R2586" s="2"/>
      <c r="S2586" s="2"/>
    </row>
    <row r="2587" spans="10:19" x14ac:dyDescent="0.2">
      <c r="J2587" s="2"/>
      <c r="K2587" s="2"/>
      <c r="L2587" s="2"/>
      <c r="M2587" s="2"/>
      <c r="N2587" s="2"/>
      <c r="O2587" s="2"/>
      <c r="P2587" s="2"/>
      <c r="Q2587" s="2"/>
      <c r="R2587" s="2"/>
      <c r="S2587" s="2"/>
    </row>
    <row r="2588" spans="10:19" x14ac:dyDescent="0.2">
      <c r="J2588" s="2"/>
      <c r="K2588" s="2"/>
      <c r="L2588" s="2"/>
      <c r="M2588" s="2"/>
      <c r="N2588" s="2"/>
      <c r="O2588" s="2"/>
      <c r="P2588" s="2"/>
      <c r="Q2588" s="2"/>
      <c r="R2588" s="2"/>
      <c r="S2588" s="2"/>
    </row>
    <row r="2589" spans="10:19" x14ac:dyDescent="0.2">
      <c r="J2589" s="2"/>
      <c r="K2589" s="2"/>
      <c r="L2589" s="2"/>
      <c r="M2589" s="2"/>
      <c r="N2589" s="2"/>
      <c r="O2589" s="2"/>
      <c r="P2589" s="2"/>
      <c r="Q2589" s="2"/>
      <c r="R2589" s="2"/>
      <c r="S2589" s="2"/>
    </row>
    <row r="2590" spans="10:19" x14ac:dyDescent="0.2">
      <c r="J2590" s="2"/>
      <c r="K2590" s="2"/>
      <c r="L2590" s="2"/>
      <c r="M2590" s="2"/>
      <c r="N2590" s="2"/>
      <c r="O2590" s="2"/>
      <c r="P2590" s="2"/>
      <c r="Q2590" s="2"/>
      <c r="R2590" s="2"/>
      <c r="S2590" s="2"/>
    </row>
    <row r="2591" spans="10:19" x14ac:dyDescent="0.2">
      <c r="J2591" s="2"/>
      <c r="K2591" s="2"/>
      <c r="L2591" s="2"/>
      <c r="M2591" s="2"/>
      <c r="N2591" s="2"/>
      <c r="O2591" s="2"/>
      <c r="P2591" s="2"/>
      <c r="Q2591" s="2"/>
      <c r="R2591" s="2"/>
      <c r="S2591" s="2"/>
    </row>
    <row r="2592" spans="10:19" x14ac:dyDescent="0.2">
      <c r="J2592" s="2"/>
      <c r="K2592" s="2"/>
      <c r="L2592" s="2"/>
      <c r="M2592" s="2"/>
      <c r="N2592" s="2"/>
      <c r="O2592" s="2"/>
      <c r="P2592" s="2"/>
      <c r="Q2592" s="2"/>
      <c r="R2592" s="2"/>
      <c r="S2592" s="2"/>
    </row>
    <row r="2593" spans="10:19" x14ac:dyDescent="0.2">
      <c r="J2593" s="2"/>
      <c r="K2593" s="2"/>
      <c r="L2593" s="2"/>
      <c r="M2593" s="2"/>
      <c r="N2593" s="2"/>
      <c r="O2593" s="2"/>
      <c r="P2593" s="2"/>
      <c r="Q2593" s="2"/>
      <c r="R2593" s="2"/>
      <c r="S2593" s="2"/>
    </row>
    <row r="2594" spans="10:19" x14ac:dyDescent="0.2">
      <c r="J2594" s="2"/>
      <c r="K2594" s="2"/>
      <c r="L2594" s="2"/>
      <c r="M2594" s="2"/>
      <c r="N2594" s="2"/>
      <c r="O2594" s="2"/>
      <c r="P2594" s="2"/>
      <c r="Q2594" s="2"/>
      <c r="R2594" s="2"/>
      <c r="S2594" s="2"/>
    </row>
    <row r="2595" spans="10:19" x14ac:dyDescent="0.2">
      <c r="J2595" s="2"/>
      <c r="K2595" s="2"/>
      <c r="L2595" s="2"/>
      <c r="M2595" s="2"/>
      <c r="N2595" s="2"/>
      <c r="O2595" s="2"/>
      <c r="P2595" s="2"/>
      <c r="Q2595" s="2"/>
      <c r="R2595" s="2"/>
      <c r="S2595" s="2"/>
    </row>
    <row r="2596" spans="10:19" x14ac:dyDescent="0.2">
      <c r="J2596" s="2"/>
      <c r="K2596" s="2"/>
      <c r="L2596" s="2"/>
      <c r="M2596" s="2"/>
      <c r="N2596" s="2"/>
      <c r="O2596" s="2"/>
      <c r="P2596" s="2"/>
      <c r="Q2596" s="2"/>
      <c r="R2596" s="2"/>
      <c r="S2596" s="2"/>
    </row>
    <row r="2597" spans="10:19" x14ac:dyDescent="0.2">
      <c r="J2597" s="2"/>
      <c r="K2597" s="2"/>
      <c r="L2597" s="2"/>
      <c r="M2597" s="2"/>
      <c r="N2597" s="2"/>
      <c r="O2597" s="2"/>
      <c r="P2597" s="2"/>
      <c r="Q2597" s="2"/>
      <c r="R2597" s="2"/>
      <c r="S2597" s="2"/>
    </row>
    <row r="2598" spans="10:19" x14ac:dyDescent="0.2">
      <c r="J2598" s="2"/>
      <c r="K2598" s="2"/>
      <c r="L2598" s="2"/>
      <c r="M2598" s="2"/>
      <c r="N2598" s="2"/>
      <c r="O2598" s="2"/>
      <c r="P2598" s="2"/>
      <c r="Q2598" s="2"/>
      <c r="R2598" s="2"/>
      <c r="S2598" s="2"/>
    </row>
    <row r="2599" spans="10:19" x14ac:dyDescent="0.2">
      <c r="J2599" s="2"/>
      <c r="K2599" s="2"/>
      <c r="L2599" s="2"/>
      <c r="M2599" s="2"/>
      <c r="N2599" s="2"/>
      <c r="O2599" s="2"/>
      <c r="P2599" s="2"/>
      <c r="Q2599" s="2"/>
      <c r="R2599" s="2"/>
      <c r="S2599" s="2"/>
    </row>
    <row r="2600" spans="10:19" x14ac:dyDescent="0.2">
      <c r="J2600" s="2"/>
      <c r="K2600" s="2"/>
      <c r="L2600" s="2"/>
      <c r="M2600" s="2"/>
      <c r="N2600" s="2"/>
      <c r="O2600" s="2"/>
      <c r="P2600" s="2"/>
      <c r="Q2600" s="2"/>
      <c r="R2600" s="2"/>
      <c r="S2600" s="2"/>
    </row>
    <row r="2601" spans="10:19" x14ac:dyDescent="0.2">
      <c r="J2601" s="2"/>
      <c r="K2601" s="2"/>
      <c r="L2601" s="2"/>
      <c r="M2601" s="2"/>
      <c r="N2601" s="2"/>
      <c r="O2601" s="2"/>
      <c r="P2601" s="2"/>
      <c r="Q2601" s="2"/>
      <c r="R2601" s="2"/>
      <c r="S2601" s="2"/>
    </row>
    <row r="2602" spans="10:19" x14ac:dyDescent="0.2">
      <c r="J2602" s="2"/>
      <c r="K2602" s="2"/>
      <c r="L2602" s="2"/>
      <c r="M2602" s="2"/>
      <c r="N2602" s="2"/>
      <c r="O2602" s="2"/>
      <c r="P2602" s="2"/>
      <c r="Q2602" s="2"/>
      <c r="R2602" s="2"/>
      <c r="S2602" s="2"/>
    </row>
    <row r="2603" spans="10:19" x14ac:dyDescent="0.2">
      <c r="J2603" s="2"/>
      <c r="K2603" s="2"/>
      <c r="L2603" s="2"/>
      <c r="M2603" s="2"/>
      <c r="N2603" s="2"/>
      <c r="O2603" s="2"/>
      <c r="P2603" s="2"/>
      <c r="Q2603" s="2"/>
      <c r="R2603" s="2"/>
      <c r="S2603" s="2"/>
    </row>
    <row r="2604" spans="10:19" x14ac:dyDescent="0.2">
      <c r="J2604" s="2"/>
      <c r="K2604" s="2"/>
      <c r="L2604" s="2"/>
      <c r="M2604" s="2"/>
      <c r="N2604" s="2"/>
      <c r="O2604" s="2"/>
      <c r="P2604" s="2"/>
      <c r="Q2604" s="2"/>
      <c r="R2604" s="2"/>
      <c r="S2604" s="2"/>
    </row>
    <row r="2605" spans="10:19" x14ac:dyDescent="0.2">
      <c r="J2605" s="2"/>
      <c r="K2605" s="2"/>
      <c r="L2605" s="2"/>
      <c r="M2605" s="2"/>
      <c r="N2605" s="2"/>
      <c r="O2605" s="2"/>
      <c r="P2605" s="2"/>
      <c r="Q2605" s="2"/>
      <c r="R2605" s="2"/>
      <c r="S2605" s="2"/>
    </row>
    <row r="2606" spans="10:19" x14ac:dyDescent="0.2">
      <c r="J2606" s="2"/>
      <c r="K2606" s="2"/>
      <c r="L2606" s="2"/>
      <c r="M2606" s="2"/>
      <c r="N2606" s="2"/>
      <c r="O2606" s="2"/>
      <c r="P2606" s="2"/>
      <c r="Q2606" s="2"/>
      <c r="R2606" s="2"/>
      <c r="S2606" s="2"/>
    </row>
    <row r="2607" spans="10:19" x14ac:dyDescent="0.2">
      <c r="J2607" s="2"/>
      <c r="K2607" s="2"/>
      <c r="L2607" s="2"/>
      <c r="M2607" s="2"/>
      <c r="N2607" s="2"/>
      <c r="O2607" s="2"/>
      <c r="P2607" s="2"/>
      <c r="Q2607" s="2"/>
      <c r="R2607" s="2"/>
      <c r="S2607" s="2"/>
    </row>
    <row r="2608" spans="10:19" x14ac:dyDescent="0.2">
      <c r="J2608" s="2"/>
      <c r="K2608" s="2"/>
      <c r="L2608" s="2"/>
      <c r="M2608" s="2"/>
      <c r="N2608" s="2"/>
      <c r="O2608" s="2"/>
      <c r="P2608" s="2"/>
      <c r="Q2608" s="2"/>
      <c r="R2608" s="2"/>
      <c r="S2608" s="2"/>
    </row>
    <row r="2609" spans="10:19" x14ac:dyDescent="0.2">
      <c r="J2609" s="2"/>
      <c r="K2609" s="2"/>
      <c r="L2609" s="2"/>
      <c r="M2609" s="2"/>
      <c r="N2609" s="2"/>
      <c r="O2609" s="2"/>
      <c r="P2609" s="2"/>
      <c r="Q2609" s="2"/>
      <c r="R2609" s="2"/>
      <c r="S2609" s="2"/>
    </row>
    <row r="2610" spans="10:19" x14ac:dyDescent="0.2">
      <c r="J2610" s="2"/>
      <c r="K2610" s="2"/>
      <c r="L2610" s="2"/>
      <c r="M2610" s="2"/>
      <c r="N2610" s="2"/>
      <c r="O2610" s="2"/>
      <c r="P2610" s="2"/>
      <c r="Q2610" s="2"/>
      <c r="R2610" s="2"/>
      <c r="S2610" s="2"/>
    </row>
    <row r="2611" spans="10:19" x14ac:dyDescent="0.2">
      <c r="J2611" s="2"/>
      <c r="K2611" s="2"/>
      <c r="L2611" s="2"/>
      <c r="M2611" s="2"/>
      <c r="N2611" s="2"/>
      <c r="O2611" s="2"/>
      <c r="P2611" s="2"/>
      <c r="Q2611" s="2"/>
      <c r="R2611" s="2"/>
      <c r="S2611" s="2"/>
    </row>
    <row r="2612" spans="10:19" x14ac:dyDescent="0.2">
      <c r="J2612" s="2"/>
      <c r="K2612" s="2"/>
      <c r="L2612" s="2"/>
      <c r="M2612" s="2"/>
      <c r="N2612" s="2"/>
      <c r="O2612" s="2"/>
      <c r="P2612" s="2"/>
      <c r="Q2612" s="2"/>
      <c r="R2612" s="2"/>
      <c r="S2612" s="2"/>
    </row>
    <row r="2613" spans="10:19" x14ac:dyDescent="0.2">
      <c r="J2613" s="2"/>
      <c r="K2613" s="2"/>
      <c r="L2613" s="2"/>
      <c r="M2613" s="2"/>
      <c r="N2613" s="2"/>
      <c r="O2613" s="2"/>
      <c r="P2613" s="2"/>
      <c r="Q2613" s="2"/>
      <c r="R2613" s="2"/>
      <c r="S2613" s="2"/>
    </row>
    <row r="2614" spans="10:19" x14ac:dyDescent="0.2">
      <c r="J2614" s="2"/>
      <c r="K2614" s="2"/>
      <c r="L2614" s="2"/>
      <c r="M2614" s="2"/>
      <c r="N2614" s="2"/>
      <c r="O2614" s="2"/>
      <c r="P2614" s="2"/>
      <c r="Q2614" s="2"/>
      <c r="R2614" s="2"/>
      <c r="S2614" s="2"/>
    </row>
    <row r="2615" spans="10:19" x14ac:dyDescent="0.2">
      <c r="J2615" s="2"/>
      <c r="K2615" s="2"/>
      <c r="L2615" s="2"/>
      <c r="M2615" s="2"/>
      <c r="N2615" s="2"/>
      <c r="O2615" s="2"/>
      <c r="P2615" s="2"/>
      <c r="Q2615" s="2"/>
      <c r="R2615" s="2"/>
      <c r="S2615" s="2"/>
    </row>
    <row r="2616" spans="10:19" x14ac:dyDescent="0.2">
      <c r="J2616" s="2"/>
      <c r="K2616" s="2"/>
      <c r="L2616" s="2"/>
      <c r="M2616" s="2"/>
      <c r="N2616" s="2"/>
      <c r="O2616" s="2"/>
      <c r="P2616" s="2"/>
      <c r="Q2616" s="2"/>
      <c r="R2616" s="2"/>
      <c r="S2616" s="2"/>
    </row>
    <row r="2617" spans="10:19" x14ac:dyDescent="0.2">
      <c r="J2617" s="2"/>
      <c r="K2617" s="2"/>
      <c r="L2617" s="2"/>
      <c r="M2617" s="2"/>
      <c r="N2617" s="2"/>
      <c r="O2617" s="2"/>
      <c r="P2617" s="2"/>
      <c r="Q2617" s="2"/>
      <c r="R2617" s="2"/>
      <c r="S2617" s="2"/>
    </row>
    <row r="2618" spans="10:19" x14ac:dyDescent="0.2">
      <c r="J2618" s="2"/>
      <c r="K2618" s="2"/>
      <c r="L2618" s="2"/>
      <c r="M2618" s="2"/>
      <c r="N2618" s="2"/>
      <c r="O2618" s="2"/>
      <c r="P2618" s="2"/>
      <c r="Q2618" s="2"/>
      <c r="R2618" s="2"/>
      <c r="S2618" s="2"/>
    </row>
    <row r="2619" spans="10:19" x14ac:dyDescent="0.2">
      <c r="J2619" s="2"/>
      <c r="K2619" s="2"/>
      <c r="L2619" s="2"/>
      <c r="M2619" s="2"/>
      <c r="N2619" s="2"/>
      <c r="O2619" s="2"/>
      <c r="P2619" s="2"/>
      <c r="Q2619" s="2"/>
      <c r="R2619" s="2"/>
      <c r="S2619" s="2"/>
    </row>
    <row r="2620" spans="10:19" x14ac:dyDescent="0.2">
      <c r="J2620" s="2"/>
      <c r="K2620" s="2"/>
      <c r="L2620" s="2"/>
      <c r="M2620" s="2"/>
      <c r="N2620" s="2"/>
      <c r="O2620" s="2"/>
      <c r="P2620" s="2"/>
      <c r="Q2620" s="2"/>
      <c r="R2620" s="2"/>
      <c r="S2620" s="2"/>
    </row>
    <row r="2621" spans="10:19" x14ac:dyDescent="0.2">
      <c r="J2621" s="2"/>
      <c r="K2621" s="2"/>
      <c r="L2621" s="2"/>
      <c r="M2621" s="2"/>
      <c r="N2621" s="2"/>
      <c r="O2621" s="2"/>
      <c r="P2621" s="2"/>
      <c r="Q2621" s="2"/>
      <c r="R2621" s="2"/>
      <c r="S2621" s="2"/>
    </row>
    <row r="2622" spans="10:19" x14ac:dyDescent="0.2">
      <c r="J2622" s="2"/>
      <c r="K2622" s="2"/>
      <c r="L2622" s="2"/>
      <c r="M2622" s="2"/>
      <c r="N2622" s="2"/>
      <c r="O2622" s="2"/>
      <c r="P2622" s="2"/>
      <c r="Q2622" s="2"/>
      <c r="R2622" s="2"/>
      <c r="S2622" s="2"/>
    </row>
    <row r="2623" spans="10:19" x14ac:dyDescent="0.2">
      <c r="J2623" s="2"/>
      <c r="K2623" s="2"/>
      <c r="L2623" s="2"/>
      <c r="M2623" s="2"/>
      <c r="N2623" s="2"/>
      <c r="O2623" s="2"/>
      <c r="P2623" s="2"/>
      <c r="Q2623" s="2"/>
      <c r="R2623" s="2"/>
      <c r="S2623" s="2"/>
    </row>
    <row r="2624" spans="10:19" x14ac:dyDescent="0.2">
      <c r="J2624" s="2"/>
      <c r="K2624" s="2"/>
      <c r="L2624" s="2"/>
      <c r="M2624" s="2"/>
      <c r="N2624" s="2"/>
      <c r="O2624" s="2"/>
      <c r="P2624" s="2"/>
      <c r="Q2624" s="2"/>
      <c r="R2624" s="2"/>
      <c r="S2624" s="2"/>
    </row>
    <row r="2625" spans="10:19" x14ac:dyDescent="0.2">
      <c r="J2625" s="2"/>
      <c r="K2625" s="2"/>
      <c r="L2625" s="2"/>
      <c r="M2625" s="2"/>
      <c r="N2625" s="2"/>
      <c r="O2625" s="2"/>
      <c r="P2625" s="2"/>
      <c r="Q2625" s="2"/>
      <c r="R2625" s="2"/>
      <c r="S2625" s="2"/>
    </row>
    <row r="2626" spans="10:19" x14ac:dyDescent="0.2">
      <c r="J2626" s="2"/>
      <c r="K2626" s="2"/>
      <c r="L2626" s="2"/>
      <c r="M2626" s="2"/>
      <c r="N2626" s="2"/>
      <c r="O2626" s="2"/>
      <c r="P2626" s="2"/>
      <c r="Q2626" s="2"/>
      <c r="R2626" s="2"/>
      <c r="S2626" s="2"/>
    </row>
    <row r="2627" spans="10:19" x14ac:dyDescent="0.2">
      <c r="J2627" s="2"/>
      <c r="K2627" s="2"/>
      <c r="L2627" s="2"/>
      <c r="M2627" s="2"/>
      <c r="N2627" s="2"/>
      <c r="O2627" s="2"/>
      <c r="P2627" s="2"/>
      <c r="Q2627" s="2"/>
      <c r="R2627" s="2"/>
      <c r="S2627" s="2"/>
    </row>
    <row r="2628" spans="10:19" x14ac:dyDescent="0.2">
      <c r="J2628" s="2"/>
      <c r="K2628" s="2"/>
      <c r="L2628" s="2"/>
      <c r="M2628" s="2"/>
      <c r="N2628" s="2"/>
      <c r="O2628" s="2"/>
      <c r="P2628" s="2"/>
      <c r="Q2628" s="2"/>
      <c r="R2628" s="2"/>
      <c r="S2628" s="2"/>
    </row>
    <row r="2629" spans="10:19" x14ac:dyDescent="0.2">
      <c r="J2629" s="2"/>
      <c r="K2629" s="2"/>
      <c r="L2629" s="2"/>
      <c r="M2629" s="2"/>
      <c r="N2629" s="2"/>
      <c r="O2629" s="2"/>
      <c r="P2629" s="2"/>
      <c r="Q2629" s="2"/>
      <c r="R2629" s="2"/>
      <c r="S2629" s="2"/>
    </row>
    <row r="2630" spans="10:19" x14ac:dyDescent="0.2">
      <c r="J2630" s="2"/>
      <c r="K2630" s="2"/>
      <c r="L2630" s="2"/>
      <c r="M2630" s="2"/>
      <c r="N2630" s="2"/>
      <c r="O2630" s="2"/>
      <c r="P2630" s="2"/>
      <c r="Q2630" s="2"/>
      <c r="R2630" s="2"/>
      <c r="S2630" s="2"/>
    </row>
    <row r="2631" spans="10:19" x14ac:dyDescent="0.2">
      <c r="J2631" s="2"/>
      <c r="K2631" s="2"/>
      <c r="L2631" s="2"/>
      <c r="M2631" s="2"/>
      <c r="N2631" s="2"/>
      <c r="O2631" s="2"/>
      <c r="P2631" s="2"/>
      <c r="Q2631" s="2"/>
      <c r="R2631" s="2"/>
      <c r="S2631" s="2"/>
    </row>
    <row r="2632" spans="10:19" x14ac:dyDescent="0.2">
      <c r="J2632" s="2"/>
      <c r="K2632" s="2"/>
      <c r="L2632" s="2"/>
      <c r="M2632" s="2"/>
      <c r="N2632" s="2"/>
      <c r="O2632" s="2"/>
      <c r="P2632" s="2"/>
      <c r="Q2632" s="2"/>
      <c r="R2632" s="2"/>
      <c r="S2632" s="2"/>
    </row>
    <row r="2633" spans="10:19" x14ac:dyDescent="0.2">
      <c r="J2633" s="2"/>
      <c r="K2633" s="2"/>
      <c r="L2633" s="2"/>
      <c r="M2633" s="2"/>
      <c r="N2633" s="2"/>
      <c r="O2633" s="2"/>
      <c r="P2633" s="2"/>
      <c r="Q2633" s="2"/>
      <c r="R2633" s="2"/>
      <c r="S2633" s="2"/>
    </row>
    <row r="2634" spans="10:19" x14ac:dyDescent="0.2">
      <c r="J2634" s="2"/>
      <c r="K2634" s="2"/>
      <c r="L2634" s="2"/>
      <c r="M2634" s="2"/>
      <c r="N2634" s="2"/>
      <c r="O2634" s="2"/>
      <c r="P2634" s="2"/>
      <c r="Q2634" s="2"/>
      <c r="R2634" s="2"/>
      <c r="S2634" s="2"/>
    </row>
    <row r="2635" spans="10:19" x14ac:dyDescent="0.2">
      <c r="J2635" s="2"/>
      <c r="K2635" s="2"/>
      <c r="L2635" s="2"/>
      <c r="M2635" s="2"/>
      <c r="N2635" s="2"/>
      <c r="O2635" s="2"/>
      <c r="P2635" s="2"/>
      <c r="Q2635" s="2"/>
      <c r="R2635" s="2"/>
      <c r="S2635" s="2"/>
    </row>
    <row r="2636" spans="10:19" x14ac:dyDescent="0.2">
      <c r="J2636" s="2"/>
      <c r="K2636" s="2"/>
      <c r="L2636" s="2"/>
      <c r="M2636" s="2"/>
      <c r="N2636" s="2"/>
      <c r="O2636" s="2"/>
      <c r="P2636" s="2"/>
      <c r="Q2636" s="2"/>
      <c r="R2636" s="2"/>
      <c r="S2636" s="2"/>
    </row>
    <row r="2637" spans="10:19" x14ac:dyDescent="0.2">
      <c r="J2637" s="2"/>
      <c r="K2637" s="2"/>
      <c r="L2637" s="2"/>
      <c r="M2637" s="2"/>
      <c r="N2637" s="2"/>
      <c r="O2637" s="2"/>
      <c r="P2637" s="2"/>
      <c r="Q2637" s="2"/>
      <c r="R2637" s="2"/>
      <c r="S2637" s="2"/>
    </row>
    <row r="2638" spans="10:19" x14ac:dyDescent="0.2">
      <c r="J2638" s="2"/>
      <c r="K2638" s="2"/>
      <c r="L2638" s="2"/>
      <c r="M2638" s="2"/>
      <c r="N2638" s="2"/>
      <c r="O2638" s="2"/>
      <c r="P2638" s="2"/>
      <c r="Q2638" s="2"/>
      <c r="R2638" s="2"/>
      <c r="S2638" s="2"/>
    </row>
    <row r="2639" spans="10:19" x14ac:dyDescent="0.2">
      <c r="J2639" s="2"/>
      <c r="K2639" s="2"/>
      <c r="L2639" s="2"/>
      <c r="M2639" s="2"/>
      <c r="N2639" s="2"/>
      <c r="O2639" s="2"/>
      <c r="P2639" s="2"/>
      <c r="Q2639" s="2"/>
      <c r="R2639" s="2"/>
      <c r="S2639" s="2"/>
    </row>
    <row r="2640" spans="10:19" x14ac:dyDescent="0.2">
      <c r="J2640" s="2"/>
      <c r="K2640" s="2"/>
      <c r="L2640" s="2"/>
      <c r="M2640" s="2"/>
      <c r="N2640" s="2"/>
      <c r="O2640" s="2"/>
      <c r="P2640" s="2"/>
      <c r="Q2640" s="2"/>
      <c r="R2640" s="2"/>
      <c r="S2640" s="2"/>
    </row>
    <row r="2641" spans="10:19" x14ac:dyDescent="0.2">
      <c r="J2641" s="2"/>
      <c r="K2641" s="2"/>
      <c r="L2641" s="2"/>
      <c r="M2641" s="2"/>
      <c r="N2641" s="2"/>
      <c r="O2641" s="2"/>
      <c r="P2641" s="2"/>
      <c r="Q2641" s="2"/>
      <c r="R2641" s="2"/>
      <c r="S2641" s="2"/>
    </row>
    <row r="2642" spans="10:19" x14ac:dyDescent="0.2">
      <c r="J2642" s="2"/>
      <c r="K2642" s="2"/>
      <c r="L2642" s="2"/>
      <c r="M2642" s="2"/>
      <c r="N2642" s="2"/>
      <c r="O2642" s="2"/>
      <c r="P2642" s="2"/>
      <c r="Q2642" s="2"/>
      <c r="R2642" s="2"/>
      <c r="S2642" s="2"/>
    </row>
    <row r="2643" spans="10:19" x14ac:dyDescent="0.2">
      <c r="J2643" s="2"/>
      <c r="K2643" s="2"/>
      <c r="L2643" s="2"/>
      <c r="M2643" s="2"/>
      <c r="N2643" s="2"/>
      <c r="O2643" s="2"/>
      <c r="P2643" s="2"/>
      <c r="Q2643" s="2"/>
      <c r="R2643" s="2"/>
      <c r="S2643" s="2"/>
    </row>
    <row r="2644" spans="10:19" x14ac:dyDescent="0.2">
      <c r="J2644" s="2"/>
      <c r="K2644" s="2"/>
      <c r="L2644" s="2"/>
      <c r="M2644" s="2"/>
      <c r="N2644" s="2"/>
      <c r="O2644" s="2"/>
      <c r="P2644" s="2"/>
      <c r="Q2644" s="2"/>
      <c r="R2644" s="2"/>
      <c r="S2644" s="2"/>
    </row>
    <row r="2645" spans="10:19" x14ac:dyDescent="0.2">
      <c r="J2645" s="2"/>
      <c r="K2645" s="2"/>
      <c r="L2645" s="2"/>
      <c r="M2645" s="2"/>
      <c r="N2645" s="2"/>
      <c r="O2645" s="2"/>
      <c r="P2645" s="2"/>
      <c r="Q2645" s="2"/>
      <c r="R2645" s="2"/>
      <c r="S2645" s="2"/>
    </row>
    <row r="2646" spans="10:19" x14ac:dyDescent="0.2">
      <c r="J2646" s="2"/>
      <c r="K2646" s="2"/>
      <c r="L2646" s="2"/>
      <c r="M2646" s="2"/>
      <c r="N2646" s="2"/>
      <c r="O2646" s="2"/>
      <c r="P2646" s="2"/>
      <c r="Q2646" s="2"/>
      <c r="R2646" s="2"/>
      <c r="S2646" s="2"/>
    </row>
    <row r="2647" spans="10:19" x14ac:dyDescent="0.2">
      <c r="J2647" s="2"/>
      <c r="K2647" s="2"/>
      <c r="L2647" s="2"/>
      <c r="M2647" s="2"/>
      <c r="N2647" s="2"/>
      <c r="O2647" s="2"/>
      <c r="P2647" s="2"/>
      <c r="Q2647" s="2"/>
      <c r="R2647" s="2"/>
      <c r="S2647" s="2"/>
    </row>
    <row r="2648" spans="10:19" x14ac:dyDescent="0.2">
      <c r="J2648" s="2"/>
      <c r="K2648" s="2"/>
      <c r="L2648" s="2"/>
      <c r="M2648" s="2"/>
      <c r="N2648" s="2"/>
      <c r="O2648" s="2"/>
      <c r="P2648" s="2"/>
      <c r="Q2648" s="2"/>
      <c r="R2648" s="2"/>
      <c r="S2648" s="2"/>
    </row>
    <row r="2649" spans="10:19" x14ac:dyDescent="0.2">
      <c r="J2649" s="2"/>
      <c r="K2649" s="2"/>
      <c r="L2649" s="2"/>
      <c r="M2649" s="2"/>
      <c r="N2649" s="2"/>
      <c r="O2649" s="2"/>
      <c r="P2649" s="2"/>
      <c r="Q2649" s="2"/>
      <c r="R2649" s="2"/>
      <c r="S2649" s="2"/>
    </row>
    <row r="2650" spans="10:19" x14ac:dyDescent="0.2">
      <c r="J2650" s="2"/>
      <c r="K2650" s="2"/>
      <c r="L2650" s="2"/>
      <c r="M2650" s="2"/>
      <c r="N2650" s="2"/>
      <c r="O2650" s="2"/>
      <c r="P2650" s="2"/>
      <c r="Q2650" s="2"/>
      <c r="R2650" s="2"/>
      <c r="S2650" s="2"/>
    </row>
    <row r="2651" spans="10:19" x14ac:dyDescent="0.2">
      <c r="J2651" s="2"/>
      <c r="K2651" s="2"/>
      <c r="L2651" s="2"/>
      <c r="M2651" s="2"/>
      <c r="N2651" s="2"/>
      <c r="O2651" s="2"/>
      <c r="P2651" s="2"/>
      <c r="Q2651" s="2"/>
      <c r="R2651" s="2"/>
      <c r="S2651" s="2"/>
    </row>
    <row r="2652" spans="10:19" x14ac:dyDescent="0.2">
      <c r="J2652" s="2"/>
      <c r="K2652" s="2"/>
      <c r="L2652" s="2"/>
      <c r="M2652" s="2"/>
      <c r="N2652" s="2"/>
      <c r="O2652" s="2"/>
      <c r="P2652" s="2"/>
      <c r="Q2652" s="2"/>
      <c r="R2652" s="2"/>
      <c r="S2652" s="2"/>
    </row>
    <row r="2653" spans="10:19" x14ac:dyDescent="0.2">
      <c r="J2653" s="2"/>
      <c r="K2653" s="2"/>
      <c r="L2653" s="2"/>
      <c r="M2653" s="2"/>
      <c r="N2653" s="2"/>
      <c r="O2653" s="2"/>
      <c r="P2653" s="2"/>
      <c r="Q2653" s="2"/>
      <c r="R2653" s="2"/>
      <c r="S2653" s="2"/>
    </row>
    <row r="2654" spans="10:19" x14ac:dyDescent="0.2">
      <c r="J2654" s="2"/>
      <c r="K2654" s="2"/>
      <c r="L2654" s="2"/>
      <c r="M2654" s="2"/>
      <c r="N2654" s="2"/>
      <c r="O2654" s="2"/>
      <c r="P2654" s="2"/>
      <c r="Q2654" s="2"/>
      <c r="R2654" s="2"/>
      <c r="S2654" s="2"/>
    </row>
    <row r="2655" spans="10:19" x14ac:dyDescent="0.2">
      <c r="J2655" s="2"/>
      <c r="K2655" s="2"/>
      <c r="L2655" s="2"/>
      <c r="M2655" s="2"/>
      <c r="N2655" s="2"/>
      <c r="O2655" s="2"/>
      <c r="P2655" s="2"/>
      <c r="Q2655" s="2"/>
      <c r="R2655" s="2"/>
      <c r="S2655" s="2"/>
    </row>
    <row r="2656" spans="10:19" x14ac:dyDescent="0.2">
      <c r="J2656" s="2"/>
      <c r="K2656" s="2"/>
      <c r="L2656" s="2"/>
      <c r="M2656" s="2"/>
      <c r="N2656" s="2"/>
      <c r="O2656" s="2"/>
      <c r="P2656" s="2"/>
      <c r="Q2656" s="2"/>
      <c r="R2656" s="2"/>
      <c r="S2656" s="2"/>
    </row>
    <row r="2657" spans="10:19" x14ac:dyDescent="0.2">
      <c r="J2657" s="2"/>
      <c r="K2657" s="2"/>
      <c r="L2657" s="2"/>
      <c r="M2657" s="2"/>
      <c r="N2657" s="2"/>
      <c r="O2657" s="2"/>
      <c r="P2657" s="2"/>
      <c r="Q2657" s="2"/>
      <c r="R2657" s="2"/>
      <c r="S2657" s="2"/>
    </row>
    <row r="2658" spans="10:19" x14ac:dyDescent="0.2">
      <c r="J2658" s="2"/>
      <c r="K2658" s="2"/>
      <c r="L2658" s="2"/>
      <c r="M2658" s="2"/>
      <c r="N2658" s="2"/>
      <c r="O2658" s="2"/>
      <c r="P2658" s="2"/>
      <c r="Q2658" s="2"/>
      <c r="R2658" s="2"/>
      <c r="S2658" s="2"/>
    </row>
    <row r="2659" spans="10:19" x14ac:dyDescent="0.2">
      <c r="J2659" s="2"/>
      <c r="K2659" s="2"/>
      <c r="L2659" s="2"/>
      <c r="M2659" s="2"/>
      <c r="N2659" s="2"/>
      <c r="O2659" s="2"/>
      <c r="P2659" s="2"/>
      <c r="Q2659" s="2"/>
      <c r="R2659" s="2"/>
      <c r="S2659" s="2"/>
    </row>
    <row r="2660" spans="10:19" x14ac:dyDescent="0.2">
      <c r="J2660" s="2"/>
      <c r="K2660" s="2"/>
      <c r="L2660" s="2"/>
      <c r="M2660" s="2"/>
      <c r="N2660" s="2"/>
      <c r="O2660" s="2"/>
      <c r="P2660" s="2"/>
      <c r="Q2660" s="2"/>
      <c r="R2660" s="2"/>
      <c r="S2660" s="2"/>
    </row>
    <row r="2661" spans="10:19" x14ac:dyDescent="0.2">
      <c r="J2661" s="2"/>
      <c r="K2661" s="2"/>
      <c r="L2661" s="2"/>
      <c r="M2661" s="2"/>
      <c r="N2661" s="2"/>
      <c r="O2661" s="2"/>
      <c r="P2661" s="2"/>
      <c r="Q2661" s="2"/>
      <c r="R2661" s="2"/>
      <c r="S2661" s="2"/>
    </row>
    <row r="2662" spans="10:19" x14ac:dyDescent="0.2">
      <c r="J2662" s="2"/>
      <c r="K2662" s="2"/>
      <c r="L2662" s="2"/>
      <c r="M2662" s="2"/>
      <c r="N2662" s="2"/>
      <c r="O2662" s="2"/>
      <c r="P2662" s="2"/>
      <c r="Q2662" s="2"/>
      <c r="R2662" s="2"/>
      <c r="S2662" s="2"/>
    </row>
    <row r="2663" spans="10:19" x14ac:dyDescent="0.2">
      <c r="J2663" s="2"/>
      <c r="K2663" s="2"/>
      <c r="L2663" s="2"/>
      <c r="M2663" s="2"/>
      <c r="N2663" s="2"/>
      <c r="O2663" s="2"/>
      <c r="P2663" s="2"/>
      <c r="Q2663" s="2"/>
      <c r="R2663" s="2"/>
      <c r="S2663" s="2"/>
    </row>
    <row r="2664" spans="10:19" x14ac:dyDescent="0.2">
      <c r="J2664" s="2"/>
      <c r="K2664" s="2"/>
      <c r="L2664" s="2"/>
      <c r="M2664" s="2"/>
      <c r="N2664" s="2"/>
      <c r="O2664" s="2"/>
      <c r="P2664" s="2"/>
      <c r="Q2664" s="2"/>
      <c r="R2664" s="2"/>
      <c r="S2664" s="2"/>
    </row>
    <row r="2665" spans="10:19" x14ac:dyDescent="0.2">
      <c r="J2665" s="2"/>
      <c r="K2665" s="2"/>
      <c r="L2665" s="2"/>
      <c r="M2665" s="2"/>
      <c r="N2665" s="2"/>
      <c r="O2665" s="2"/>
      <c r="P2665" s="2"/>
      <c r="Q2665" s="2"/>
      <c r="R2665" s="2"/>
      <c r="S2665" s="2"/>
    </row>
    <row r="2666" spans="10:19" x14ac:dyDescent="0.2">
      <c r="J2666" s="2"/>
      <c r="K2666" s="2"/>
      <c r="L2666" s="2"/>
      <c r="M2666" s="2"/>
      <c r="N2666" s="2"/>
      <c r="O2666" s="2"/>
      <c r="P2666" s="2"/>
      <c r="Q2666" s="2"/>
      <c r="R2666" s="2"/>
      <c r="S2666" s="2"/>
    </row>
    <row r="2667" spans="10:19" x14ac:dyDescent="0.2">
      <c r="J2667" s="2"/>
      <c r="K2667" s="2"/>
      <c r="L2667" s="2"/>
      <c r="M2667" s="2"/>
      <c r="N2667" s="2"/>
      <c r="O2667" s="2"/>
      <c r="P2667" s="2"/>
      <c r="Q2667" s="2"/>
      <c r="R2667" s="2"/>
      <c r="S2667" s="2"/>
    </row>
    <row r="2668" spans="10:19" x14ac:dyDescent="0.2">
      <c r="J2668" s="2"/>
      <c r="K2668" s="2"/>
      <c r="L2668" s="2"/>
      <c r="M2668" s="2"/>
      <c r="N2668" s="2"/>
      <c r="O2668" s="2"/>
      <c r="P2668" s="2"/>
      <c r="Q2668" s="2"/>
      <c r="R2668" s="2"/>
      <c r="S2668" s="2"/>
    </row>
    <row r="2669" spans="10:19" x14ac:dyDescent="0.2">
      <c r="J2669" s="2"/>
      <c r="K2669" s="2"/>
      <c r="L2669" s="2"/>
      <c r="M2669" s="2"/>
      <c r="N2669" s="2"/>
      <c r="O2669" s="2"/>
      <c r="P2669" s="2"/>
      <c r="Q2669" s="2"/>
      <c r="R2669" s="2"/>
      <c r="S2669" s="2"/>
    </row>
    <row r="2670" spans="10:19" x14ac:dyDescent="0.2">
      <c r="J2670" s="2"/>
      <c r="K2670" s="2"/>
      <c r="L2670" s="2"/>
      <c r="M2670" s="2"/>
      <c r="N2670" s="2"/>
      <c r="O2670" s="2"/>
      <c r="P2670" s="2"/>
      <c r="Q2670" s="2"/>
      <c r="R2670" s="2"/>
      <c r="S2670" s="2"/>
    </row>
    <row r="2671" spans="10:19" x14ac:dyDescent="0.2">
      <c r="J2671" s="2"/>
      <c r="K2671" s="2"/>
      <c r="L2671" s="2"/>
      <c r="M2671" s="2"/>
      <c r="N2671" s="2"/>
      <c r="O2671" s="2"/>
      <c r="P2671" s="2"/>
      <c r="Q2671" s="2"/>
      <c r="R2671" s="2"/>
      <c r="S2671" s="2"/>
    </row>
    <row r="2672" spans="10:19" x14ac:dyDescent="0.2">
      <c r="J2672" s="2"/>
      <c r="K2672" s="2"/>
      <c r="L2672" s="2"/>
      <c r="M2672" s="2"/>
      <c r="N2672" s="2"/>
      <c r="O2672" s="2"/>
      <c r="P2672" s="2"/>
      <c r="Q2672" s="2"/>
      <c r="R2672" s="2"/>
      <c r="S2672" s="2"/>
    </row>
    <row r="2673" spans="10:19" x14ac:dyDescent="0.2">
      <c r="J2673" s="2"/>
      <c r="K2673" s="2"/>
      <c r="L2673" s="2"/>
      <c r="M2673" s="2"/>
      <c r="N2673" s="2"/>
      <c r="O2673" s="2"/>
      <c r="P2673" s="2"/>
      <c r="Q2673" s="2"/>
      <c r="R2673" s="2"/>
      <c r="S2673" s="2"/>
    </row>
    <row r="2674" spans="10:19" x14ac:dyDescent="0.2">
      <c r="J2674" s="2"/>
      <c r="K2674" s="2"/>
      <c r="L2674" s="2"/>
      <c r="M2674" s="2"/>
      <c r="N2674" s="2"/>
      <c r="O2674" s="2"/>
      <c r="P2674" s="2"/>
      <c r="Q2674" s="2"/>
      <c r="R2674" s="2"/>
      <c r="S2674" s="2"/>
    </row>
    <row r="2675" spans="10:19" x14ac:dyDescent="0.2">
      <c r="J2675" s="2"/>
      <c r="K2675" s="2"/>
      <c r="L2675" s="2"/>
      <c r="M2675" s="2"/>
      <c r="N2675" s="2"/>
      <c r="O2675" s="2"/>
      <c r="P2675" s="2"/>
      <c r="Q2675" s="2"/>
      <c r="R2675" s="2"/>
      <c r="S2675" s="2"/>
    </row>
    <row r="2676" spans="10:19" x14ac:dyDescent="0.2">
      <c r="J2676" s="2"/>
      <c r="K2676" s="2"/>
      <c r="L2676" s="2"/>
      <c r="M2676" s="2"/>
      <c r="N2676" s="2"/>
      <c r="O2676" s="2"/>
      <c r="P2676" s="2"/>
      <c r="Q2676" s="2"/>
      <c r="R2676" s="2"/>
      <c r="S2676" s="2"/>
    </row>
    <row r="2677" spans="10:19" x14ac:dyDescent="0.2">
      <c r="J2677" s="2"/>
      <c r="K2677" s="2"/>
      <c r="L2677" s="2"/>
      <c r="M2677" s="2"/>
      <c r="N2677" s="2"/>
      <c r="O2677" s="2"/>
      <c r="P2677" s="2"/>
      <c r="Q2677" s="2"/>
      <c r="R2677" s="2"/>
      <c r="S2677" s="2"/>
    </row>
    <row r="2678" spans="10:19" x14ac:dyDescent="0.2">
      <c r="J2678" s="2"/>
      <c r="K2678" s="2"/>
      <c r="L2678" s="2"/>
      <c r="M2678" s="2"/>
      <c r="N2678" s="2"/>
      <c r="O2678" s="2"/>
      <c r="P2678" s="2"/>
      <c r="Q2678" s="2"/>
      <c r="R2678" s="2"/>
      <c r="S2678" s="2"/>
    </row>
    <row r="2679" spans="10:19" x14ac:dyDescent="0.2">
      <c r="J2679" s="2"/>
      <c r="K2679" s="2"/>
      <c r="L2679" s="2"/>
      <c r="M2679" s="2"/>
      <c r="N2679" s="2"/>
      <c r="O2679" s="2"/>
      <c r="P2679" s="2"/>
      <c r="Q2679" s="2"/>
      <c r="R2679" s="2"/>
      <c r="S2679" s="2"/>
    </row>
    <row r="2680" spans="10:19" x14ac:dyDescent="0.2">
      <c r="J2680" s="2"/>
      <c r="K2680" s="2"/>
      <c r="L2680" s="2"/>
      <c r="M2680" s="2"/>
      <c r="N2680" s="2"/>
      <c r="O2680" s="2"/>
      <c r="P2680" s="2"/>
      <c r="Q2680" s="2"/>
      <c r="R2680" s="2"/>
      <c r="S2680" s="2"/>
    </row>
    <row r="2681" spans="10:19" x14ac:dyDescent="0.2">
      <c r="J2681" s="2"/>
      <c r="K2681" s="2"/>
      <c r="L2681" s="2"/>
      <c r="M2681" s="2"/>
      <c r="N2681" s="2"/>
      <c r="O2681" s="2"/>
      <c r="P2681" s="2"/>
      <c r="Q2681" s="2"/>
      <c r="R2681" s="2"/>
      <c r="S2681" s="2"/>
    </row>
    <row r="2682" spans="10:19" x14ac:dyDescent="0.2">
      <c r="J2682" s="2"/>
      <c r="K2682" s="2"/>
      <c r="L2682" s="2"/>
      <c r="M2682" s="2"/>
      <c r="N2682" s="2"/>
      <c r="O2682" s="2"/>
      <c r="P2682" s="2"/>
      <c r="Q2682" s="2"/>
      <c r="R2682" s="2"/>
      <c r="S2682" s="2"/>
    </row>
    <row r="2683" spans="10:19" x14ac:dyDescent="0.2">
      <c r="J2683" s="2"/>
      <c r="K2683" s="2"/>
      <c r="L2683" s="2"/>
      <c r="M2683" s="2"/>
      <c r="N2683" s="2"/>
      <c r="O2683" s="2"/>
      <c r="P2683" s="2"/>
      <c r="Q2683" s="2"/>
      <c r="R2683" s="2"/>
      <c r="S2683" s="2"/>
    </row>
    <row r="2684" spans="10:19" x14ac:dyDescent="0.2">
      <c r="J2684" s="2"/>
      <c r="K2684" s="2"/>
      <c r="L2684" s="2"/>
      <c r="M2684" s="2"/>
      <c r="N2684" s="2"/>
      <c r="O2684" s="2"/>
      <c r="P2684" s="2"/>
      <c r="Q2684" s="2"/>
      <c r="R2684" s="2"/>
      <c r="S2684" s="2"/>
    </row>
    <row r="2685" spans="10:19" x14ac:dyDescent="0.2">
      <c r="J2685" s="2"/>
      <c r="K2685" s="2"/>
      <c r="L2685" s="2"/>
      <c r="M2685" s="2"/>
      <c r="N2685" s="2"/>
      <c r="O2685" s="2"/>
      <c r="P2685" s="2"/>
      <c r="Q2685" s="2"/>
      <c r="R2685" s="2"/>
      <c r="S2685" s="2"/>
    </row>
    <row r="2686" spans="10:19" x14ac:dyDescent="0.2">
      <c r="J2686" s="2"/>
      <c r="K2686" s="2"/>
      <c r="L2686" s="2"/>
      <c r="M2686" s="2"/>
      <c r="N2686" s="2"/>
      <c r="O2686" s="2"/>
      <c r="P2686" s="2"/>
      <c r="Q2686" s="2"/>
      <c r="R2686" s="2"/>
      <c r="S2686" s="2"/>
    </row>
    <row r="2687" spans="10:19" x14ac:dyDescent="0.2">
      <c r="J2687" s="2"/>
      <c r="K2687" s="2"/>
      <c r="L2687" s="2"/>
      <c r="M2687" s="2"/>
      <c r="N2687" s="2"/>
      <c r="O2687" s="2"/>
      <c r="P2687" s="2"/>
      <c r="Q2687" s="2"/>
      <c r="R2687" s="2"/>
      <c r="S2687" s="2"/>
    </row>
    <row r="2688" spans="10:19" x14ac:dyDescent="0.2">
      <c r="J2688" s="2"/>
      <c r="K2688" s="2"/>
      <c r="L2688" s="2"/>
      <c r="M2688" s="2"/>
      <c r="N2688" s="2"/>
      <c r="O2688" s="2"/>
      <c r="P2688" s="2"/>
      <c r="Q2688" s="2"/>
      <c r="R2688" s="2"/>
      <c r="S2688" s="2"/>
    </row>
    <row r="2689" spans="10:19" x14ac:dyDescent="0.2">
      <c r="J2689" s="2"/>
      <c r="K2689" s="2"/>
      <c r="L2689" s="2"/>
      <c r="M2689" s="2"/>
      <c r="N2689" s="2"/>
      <c r="O2689" s="2"/>
      <c r="P2689" s="2"/>
      <c r="Q2689" s="2"/>
      <c r="R2689" s="2"/>
      <c r="S2689" s="2"/>
    </row>
    <row r="2690" spans="10:19" x14ac:dyDescent="0.2">
      <c r="J2690" s="2"/>
      <c r="K2690" s="2"/>
      <c r="L2690" s="2"/>
      <c r="M2690" s="2"/>
      <c r="N2690" s="2"/>
      <c r="O2690" s="2"/>
      <c r="P2690" s="2"/>
      <c r="Q2690" s="2"/>
      <c r="R2690" s="2"/>
      <c r="S2690" s="2"/>
    </row>
    <row r="2691" spans="10:19" x14ac:dyDescent="0.2">
      <c r="J2691" s="2"/>
      <c r="K2691" s="2"/>
      <c r="L2691" s="2"/>
      <c r="M2691" s="2"/>
      <c r="N2691" s="2"/>
      <c r="O2691" s="2"/>
      <c r="P2691" s="2"/>
      <c r="Q2691" s="2"/>
      <c r="R2691" s="2"/>
      <c r="S2691" s="2"/>
    </row>
    <row r="2692" spans="10:19" x14ac:dyDescent="0.2">
      <c r="J2692" s="2"/>
      <c r="K2692" s="2"/>
      <c r="L2692" s="2"/>
      <c r="M2692" s="2"/>
      <c r="N2692" s="2"/>
      <c r="O2692" s="2"/>
      <c r="P2692" s="2"/>
      <c r="Q2692" s="2"/>
      <c r="R2692" s="2"/>
      <c r="S2692" s="2"/>
    </row>
    <row r="2693" spans="10:19" x14ac:dyDescent="0.2">
      <c r="J2693" s="2"/>
      <c r="K2693" s="2"/>
      <c r="L2693" s="2"/>
      <c r="M2693" s="2"/>
      <c r="N2693" s="2"/>
      <c r="O2693" s="2"/>
      <c r="P2693" s="2"/>
      <c r="Q2693" s="2"/>
      <c r="R2693" s="2"/>
      <c r="S2693" s="2"/>
    </row>
    <row r="2694" spans="10:19" x14ac:dyDescent="0.2">
      <c r="J2694" s="2"/>
      <c r="K2694" s="2"/>
      <c r="L2694" s="2"/>
      <c r="M2694" s="2"/>
      <c r="N2694" s="2"/>
      <c r="O2694" s="2"/>
      <c r="P2694" s="2"/>
      <c r="Q2694" s="2"/>
      <c r="R2694" s="2"/>
      <c r="S2694" s="2"/>
    </row>
    <row r="2695" spans="10:19" x14ac:dyDescent="0.2">
      <c r="J2695" s="2"/>
      <c r="K2695" s="2"/>
      <c r="L2695" s="2"/>
      <c r="M2695" s="2"/>
      <c r="N2695" s="2"/>
      <c r="O2695" s="2"/>
      <c r="P2695" s="2"/>
      <c r="Q2695" s="2"/>
      <c r="R2695" s="2"/>
      <c r="S2695" s="2"/>
    </row>
    <row r="2696" spans="10:19" x14ac:dyDescent="0.2">
      <c r="J2696" s="2"/>
      <c r="K2696" s="2"/>
      <c r="L2696" s="2"/>
      <c r="M2696" s="2"/>
      <c r="N2696" s="2"/>
      <c r="O2696" s="2"/>
      <c r="P2696" s="2"/>
      <c r="Q2696" s="2"/>
      <c r="R2696" s="2"/>
      <c r="S2696" s="2"/>
    </row>
    <row r="2697" spans="10:19" x14ac:dyDescent="0.2">
      <c r="J2697" s="2"/>
      <c r="K2697" s="2"/>
      <c r="L2697" s="2"/>
      <c r="M2697" s="2"/>
      <c r="N2697" s="2"/>
      <c r="O2697" s="2"/>
      <c r="P2697" s="2"/>
      <c r="Q2697" s="2"/>
      <c r="R2697" s="2"/>
      <c r="S2697" s="2"/>
    </row>
    <row r="2698" spans="10:19" x14ac:dyDescent="0.2">
      <c r="J2698" s="2"/>
      <c r="K2698" s="2"/>
      <c r="L2698" s="2"/>
      <c r="M2698" s="2"/>
      <c r="N2698" s="2"/>
      <c r="O2698" s="2"/>
      <c r="P2698" s="2"/>
      <c r="Q2698" s="2"/>
      <c r="R2698" s="2"/>
      <c r="S2698" s="2"/>
    </row>
    <row r="2699" spans="10:19" x14ac:dyDescent="0.2">
      <c r="J2699" s="2"/>
      <c r="K2699" s="2"/>
      <c r="L2699" s="2"/>
      <c r="M2699" s="2"/>
      <c r="N2699" s="2"/>
      <c r="O2699" s="2"/>
      <c r="P2699" s="2"/>
      <c r="Q2699" s="2"/>
      <c r="R2699" s="2"/>
      <c r="S2699" s="2"/>
    </row>
    <row r="2700" spans="10:19" x14ac:dyDescent="0.2">
      <c r="J2700" s="2"/>
      <c r="K2700" s="2"/>
      <c r="L2700" s="2"/>
      <c r="M2700" s="2"/>
      <c r="N2700" s="2"/>
      <c r="O2700" s="2"/>
      <c r="P2700" s="2"/>
      <c r="Q2700" s="2"/>
      <c r="R2700" s="2"/>
      <c r="S2700" s="2"/>
    </row>
    <row r="2701" spans="10:19" x14ac:dyDescent="0.2">
      <c r="J2701" s="2"/>
      <c r="K2701" s="2"/>
      <c r="L2701" s="2"/>
      <c r="M2701" s="2"/>
      <c r="N2701" s="2"/>
      <c r="O2701" s="2"/>
      <c r="P2701" s="2"/>
      <c r="Q2701" s="2"/>
      <c r="R2701" s="2"/>
      <c r="S2701" s="2"/>
    </row>
    <row r="2702" spans="10:19" x14ac:dyDescent="0.2">
      <c r="J2702" s="2"/>
      <c r="K2702" s="2"/>
      <c r="L2702" s="2"/>
      <c r="M2702" s="2"/>
      <c r="N2702" s="2"/>
      <c r="O2702" s="2"/>
      <c r="P2702" s="2"/>
      <c r="Q2702" s="2"/>
      <c r="R2702" s="2"/>
      <c r="S2702" s="2"/>
    </row>
    <row r="2703" spans="10:19" x14ac:dyDescent="0.2">
      <c r="J2703" s="2"/>
      <c r="K2703" s="2"/>
      <c r="L2703" s="2"/>
      <c r="M2703" s="2"/>
      <c r="N2703" s="2"/>
      <c r="O2703" s="2"/>
      <c r="P2703" s="2"/>
      <c r="Q2703" s="2"/>
      <c r="R2703" s="2"/>
      <c r="S2703" s="2"/>
    </row>
    <row r="2704" spans="10:19" x14ac:dyDescent="0.2">
      <c r="J2704" s="2"/>
      <c r="K2704" s="2"/>
      <c r="L2704" s="2"/>
      <c r="M2704" s="2"/>
      <c r="N2704" s="2"/>
      <c r="O2704" s="2"/>
      <c r="P2704" s="2"/>
      <c r="Q2704" s="2"/>
      <c r="R2704" s="2"/>
      <c r="S2704" s="2"/>
    </row>
    <row r="2705" spans="10:19" x14ac:dyDescent="0.2">
      <c r="J2705" s="2"/>
      <c r="K2705" s="2"/>
      <c r="L2705" s="2"/>
      <c r="M2705" s="2"/>
      <c r="N2705" s="2"/>
      <c r="O2705" s="2"/>
      <c r="P2705" s="2"/>
      <c r="Q2705" s="2"/>
      <c r="R2705" s="2"/>
      <c r="S2705" s="2"/>
    </row>
    <row r="2706" spans="10:19" x14ac:dyDescent="0.2">
      <c r="J2706" s="2"/>
      <c r="K2706" s="2"/>
      <c r="L2706" s="2"/>
      <c r="M2706" s="2"/>
      <c r="N2706" s="2"/>
      <c r="O2706" s="2"/>
      <c r="P2706" s="2"/>
      <c r="Q2706" s="2"/>
      <c r="R2706" s="2"/>
      <c r="S2706" s="2"/>
    </row>
    <row r="2707" spans="10:19" x14ac:dyDescent="0.2">
      <c r="J2707" s="2"/>
      <c r="K2707" s="2"/>
      <c r="L2707" s="2"/>
      <c r="M2707" s="2"/>
      <c r="N2707" s="2"/>
      <c r="O2707" s="2"/>
      <c r="P2707" s="2"/>
      <c r="Q2707" s="2"/>
      <c r="R2707" s="2"/>
      <c r="S2707" s="2"/>
    </row>
    <row r="2708" spans="10:19" x14ac:dyDescent="0.2">
      <c r="J2708" s="2"/>
      <c r="K2708" s="2"/>
      <c r="L2708" s="2"/>
      <c r="M2708" s="2"/>
      <c r="N2708" s="2"/>
      <c r="O2708" s="2"/>
      <c r="P2708" s="2"/>
      <c r="Q2708" s="2"/>
      <c r="R2708" s="2"/>
      <c r="S2708" s="2"/>
    </row>
    <row r="2709" spans="10:19" x14ac:dyDescent="0.2">
      <c r="J2709" s="2"/>
      <c r="K2709" s="2"/>
      <c r="L2709" s="2"/>
      <c r="M2709" s="2"/>
      <c r="N2709" s="2"/>
      <c r="O2709" s="2"/>
      <c r="P2709" s="2"/>
      <c r="Q2709" s="2"/>
      <c r="R2709" s="2"/>
      <c r="S2709" s="2"/>
    </row>
    <row r="2710" spans="10:19" x14ac:dyDescent="0.2">
      <c r="J2710" s="2"/>
      <c r="K2710" s="2"/>
      <c r="L2710" s="2"/>
      <c r="M2710" s="2"/>
      <c r="N2710" s="2"/>
      <c r="O2710" s="2"/>
      <c r="P2710" s="2"/>
      <c r="Q2710" s="2"/>
      <c r="R2710" s="2"/>
      <c r="S2710" s="2"/>
    </row>
    <row r="2711" spans="10:19" x14ac:dyDescent="0.2">
      <c r="J2711" s="2"/>
      <c r="K2711" s="2"/>
      <c r="L2711" s="2"/>
      <c r="M2711" s="2"/>
      <c r="N2711" s="2"/>
      <c r="O2711" s="2"/>
      <c r="P2711" s="2"/>
      <c r="Q2711" s="2"/>
      <c r="R2711" s="2"/>
      <c r="S2711" s="2"/>
    </row>
    <row r="2712" spans="10:19" x14ac:dyDescent="0.2">
      <c r="J2712" s="2"/>
      <c r="K2712" s="2"/>
      <c r="L2712" s="2"/>
      <c r="M2712" s="2"/>
      <c r="N2712" s="2"/>
      <c r="O2712" s="2"/>
      <c r="P2712" s="2"/>
      <c r="Q2712" s="2"/>
      <c r="R2712" s="2"/>
      <c r="S2712" s="2"/>
    </row>
    <row r="2713" spans="10:19" x14ac:dyDescent="0.2">
      <c r="J2713" s="2"/>
      <c r="K2713" s="2"/>
      <c r="L2713" s="2"/>
      <c r="M2713" s="2"/>
      <c r="N2713" s="2"/>
      <c r="O2713" s="2"/>
      <c r="P2713" s="2"/>
      <c r="Q2713" s="2"/>
      <c r="R2713" s="2"/>
      <c r="S2713" s="2"/>
    </row>
    <row r="2714" spans="10:19" x14ac:dyDescent="0.2">
      <c r="J2714" s="2"/>
      <c r="K2714" s="2"/>
      <c r="L2714" s="2"/>
      <c r="M2714" s="2"/>
      <c r="N2714" s="2"/>
      <c r="O2714" s="2"/>
      <c r="P2714" s="2"/>
      <c r="Q2714" s="2"/>
      <c r="R2714" s="2"/>
      <c r="S2714" s="2"/>
    </row>
    <row r="2715" spans="10:19" x14ac:dyDescent="0.2">
      <c r="J2715" s="2"/>
      <c r="K2715" s="2"/>
      <c r="L2715" s="2"/>
      <c r="M2715" s="2"/>
      <c r="N2715" s="2"/>
      <c r="O2715" s="2"/>
      <c r="P2715" s="2"/>
      <c r="Q2715" s="2"/>
      <c r="R2715" s="2"/>
      <c r="S2715" s="2"/>
    </row>
    <row r="2716" spans="10:19" x14ac:dyDescent="0.2">
      <c r="J2716" s="2"/>
      <c r="K2716" s="2"/>
      <c r="L2716" s="2"/>
      <c r="M2716" s="2"/>
      <c r="N2716" s="2"/>
      <c r="O2716" s="2"/>
      <c r="P2716" s="2"/>
      <c r="Q2716" s="2"/>
      <c r="R2716" s="2"/>
      <c r="S2716" s="2"/>
    </row>
    <row r="2717" spans="10:19" x14ac:dyDescent="0.2">
      <c r="J2717" s="2"/>
      <c r="K2717" s="2"/>
      <c r="L2717" s="2"/>
      <c r="M2717" s="2"/>
      <c r="N2717" s="2"/>
      <c r="O2717" s="2"/>
      <c r="P2717" s="2"/>
      <c r="Q2717" s="2"/>
      <c r="R2717" s="2"/>
      <c r="S2717" s="2"/>
    </row>
    <row r="2718" spans="10:19" x14ac:dyDescent="0.2">
      <c r="J2718" s="2"/>
      <c r="K2718" s="2"/>
      <c r="L2718" s="2"/>
      <c r="M2718" s="2"/>
      <c r="N2718" s="2"/>
      <c r="O2718" s="2"/>
      <c r="P2718" s="2"/>
      <c r="Q2718" s="2"/>
      <c r="R2718" s="2"/>
      <c r="S2718" s="2"/>
    </row>
    <row r="2719" spans="10:19" x14ac:dyDescent="0.2">
      <c r="J2719" s="2"/>
      <c r="K2719" s="2"/>
      <c r="L2719" s="2"/>
      <c r="M2719" s="2"/>
      <c r="N2719" s="2"/>
      <c r="O2719" s="2"/>
      <c r="P2719" s="2"/>
      <c r="Q2719" s="2"/>
      <c r="R2719" s="2"/>
      <c r="S2719" s="2"/>
    </row>
    <row r="2720" spans="10:19" x14ac:dyDescent="0.2">
      <c r="J2720" s="2"/>
      <c r="K2720" s="2"/>
      <c r="L2720" s="2"/>
      <c r="M2720" s="2"/>
      <c r="N2720" s="2"/>
      <c r="O2720" s="2"/>
      <c r="P2720" s="2"/>
      <c r="Q2720" s="2"/>
      <c r="R2720" s="2"/>
      <c r="S2720" s="2"/>
    </row>
    <row r="2721" spans="10:19" x14ac:dyDescent="0.2">
      <c r="J2721" s="2"/>
      <c r="K2721" s="2"/>
      <c r="L2721" s="2"/>
      <c r="M2721" s="2"/>
      <c r="N2721" s="2"/>
      <c r="O2721" s="2"/>
      <c r="P2721" s="2"/>
      <c r="Q2721" s="2"/>
      <c r="R2721" s="2"/>
      <c r="S2721" s="2"/>
    </row>
    <row r="2722" spans="10:19" x14ac:dyDescent="0.2">
      <c r="J2722" s="2"/>
      <c r="K2722" s="2"/>
      <c r="L2722" s="2"/>
      <c r="M2722" s="2"/>
      <c r="N2722" s="2"/>
      <c r="O2722" s="2"/>
      <c r="P2722" s="2"/>
      <c r="Q2722" s="2"/>
      <c r="R2722" s="2"/>
      <c r="S2722" s="2"/>
    </row>
    <row r="2723" spans="10:19" x14ac:dyDescent="0.2">
      <c r="J2723" s="2"/>
      <c r="K2723" s="2"/>
      <c r="L2723" s="2"/>
      <c r="M2723" s="2"/>
      <c r="N2723" s="2"/>
      <c r="O2723" s="2"/>
      <c r="P2723" s="2"/>
      <c r="Q2723" s="2"/>
      <c r="R2723" s="2"/>
      <c r="S2723" s="2"/>
    </row>
    <row r="2724" spans="10:19" x14ac:dyDescent="0.2">
      <c r="J2724" s="2"/>
      <c r="K2724" s="2"/>
      <c r="L2724" s="2"/>
      <c r="M2724" s="2"/>
      <c r="N2724" s="2"/>
      <c r="O2724" s="2"/>
      <c r="P2724" s="2"/>
      <c r="Q2724" s="2"/>
      <c r="R2724" s="2"/>
      <c r="S2724" s="2"/>
    </row>
    <row r="2725" spans="10:19" x14ac:dyDescent="0.2">
      <c r="J2725" s="2"/>
      <c r="K2725" s="2"/>
      <c r="L2725" s="2"/>
      <c r="M2725" s="2"/>
      <c r="N2725" s="2"/>
      <c r="O2725" s="2"/>
      <c r="P2725" s="2"/>
      <c r="Q2725" s="2"/>
      <c r="R2725" s="2"/>
      <c r="S2725" s="2"/>
    </row>
    <row r="2726" spans="10:19" x14ac:dyDescent="0.2">
      <c r="J2726" s="2"/>
      <c r="K2726" s="2"/>
      <c r="L2726" s="2"/>
      <c r="M2726" s="2"/>
      <c r="N2726" s="2"/>
      <c r="O2726" s="2"/>
      <c r="P2726" s="2"/>
      <c r="Q2726" s="2"/>
      <c r="R2726" s="2"/>
      <c r="S2726" s="2"/>
    </row>
    <row r="2727" spans="10:19" x14ac:dyDescent="0.2">
      <c r="J2727" s="2"/>
      <c r="K2727" s="2"/>
      <c r="L2727" s="2"/>
      <c r="M2727" s="2"/>
      <c r="N2727" s="2"/>
      <c r="O2727" s="2"/>
      <c r="P2727" s="2"/>
      <c r="Q2727" s="2"/>
      <c r="R2727" s="2"/>
      <c r="S2727" s="2"/>
    </row>
    <row r="2728" spans="10:19" x14ac:dyDescent="0.2">
      <c r="J2728" s="2"/>
      <c r="K2728" s="2"/>
      <c r="L2728" s="2"/>
      <c r="M2728" s="2"/>
      <c r="N2728" s="2"/>
      <c r="O2728" s="2"/>
      <c r="P2728" s="2"/>
      <c r="Q2728" s="2"/>
      <c r="R2728" s="2"/>
      <c r="S2728" s="2"/>
    </row>
    <row r="2729" spans="10:19" x14ac:dyDescent="0.2">
      <c r="J2729" s="2"/>
      <c r="K2729" s="2"/>
      <c r="L2729" s="2"/>
      <c r="M2729" s="2"/>
      <c r="N2729" s="2"/>
      <c r="O2729" s="2"/>
      <c r="P2729" s="2"/>
      <c r="Q2729" s="2"/>
      <c r="R2729" s="2"/>
      <c r="S2729" s="2"/>
    </row>
    <row r="2730" spans="10:19" x14ac:dyDescent="0.2">
      <c r="J2730" s="2"/>
      <c r="K2730" s="2"/>
      <c r="L2730" s="2"/>
      <c r="M2730" s="2"/>
      <c r="N2730" s="2"/>
      <c r="O2730" s="2"/>
      <c r="P2730" s="2"/>
      <c r="Q2730" s="2"/>
      <c r="R2730" s="2"/>
      <c r="S2730" s="2"/>
    </row>
    <row r="2731" spans="10:19" x14ac:dyDescent="0.2">
      <c r="J2731" s="2"/>
      <c r="K2731" s="2"/>
      <c r="L2731" s="2"/>
      <c r="M2731" s="2"/>
      <c r="N2731" s="2"/>
      <c r="O2731" s="2"/>
      <c r="P2731" s="2"/>
      <c r="Q2731" s="2"/>
      <c r="R2731" s="2"/>
      <c r="S2731" s="2"/>
    </row>
    <row r="2732" spans="10:19" x14ac:dyDescent="0.2">
      <c r="J2732" s="2"/>
      <c r="K2732" s="2"/>
      <c r="L2732" s="2"/>
      <c r="M2732" s="2"/>
      <c r="N2732" s="2"/>
      <c r="O2732" s="2"/>
      <c r="P2732" s="2"/>
      <c r="Q2732" s="2"/>
      <c r="R2732" s="2"/>
      <c r="S2732" s="2"/>
    </row>
    <row r="2733" spans="10:19" x14ac:dyDescent="0.2">
      <c r="J2733" s="2"/>
      <c r="K2733" s="2"/>
      <c r="L2733" s="2"/>
      <c r="M2733" s="2"/>
      <c r="N2733" s="2"/>
      <c r="O2733" s="2"/>
      <c r="P2733" s="2"/>
      <c r="Q2733" s="2"/>
      <c r="R2733" s="2"/>
      <c r="S2733" s="2"/>
    </row>
    <row r="2734" spans="10:19" x14ac:dyDescent="0.2">
      <c r="J2734" s="2"/>
      <c r="K2734" s="2"/>
      <c r="L2734" s="2"/>
      <c r="M2734" s="2"/>
      <c r="N2734" s="2"/>
      <c r="O2734" s="2"/>
      <c r="P2734" s="2"/>
      <c r="Q2734" s="2"/>
      <c r="R2734" s="2"/>
      <c r="S2734" s="2"/>
    </row>
    <row r="2735" spans="10:19" x14ac:dyDescent="0.2">
      <c r="J2735" s="2"/>
      <c r="K2735" s="2"/>
      <c r="L2735" s="2"/>
      <c r="M2735" s="2"/>
      <c r="N2735" s="2"/>
      <c r="O2735" s="2"/>
      <c r="P2735" s="2"/>
      <c r="Q2735" s="2"/>
      <c r="R2735" s="2"/>
      <c r="S2735" s="2"/>
    </row>
    <row r="2736" spans="10:19" x14ac:dyDescent="0.2">
      <c r="J2736" s="2"/>
      <c r="K2736" s="2"/>
      <c r="L2736" s="2"/>
      <c r="M2736" s="2"/>
      <c r="N2736" s="2"/>
      <c r="O2736" s="2"/>
      <c r="P2736" s="2"/>
      <c r="Q2736" s="2"/>
      <c r="R2736" s="2"/>
      <c r="S2736" s="2"/>
    </row>
    <row r="2737" spans="10:19" x14ac:dyDescent="0.2">
      <c r="J2737" s="2"/>
      <c r="K2737" s="2"/>
      <c r="L2737" s="2"/>
      <c r="M2737" s="2"/>
      <c r="N2737" s="2"/>
      <c r="O2737" s="2"/>
      <c r="P2737" s="2"/>
      <c r="Q2737" s="2"/>
      <c r="R2737" s="2"/>
      <c r="S2737" s="2"/>
    </row>
    <row r="2738" spans="10:19" x14ac:dyDescent="0.2">
      <c r="J2738" s="2"/>
      <c r="K2738" s="2"/>
      <c r="L2738" s="2"/>
      <c r="M2738" s="2"/>
      <c r="N2738" s="2"/>
      <c r="O2738" s="2"/>
      <c r="P2738" s="2"/>
      <c r="Q2738" s="2"/>
      <c r="R2738" s="2"/>
      <c r="S2738" s="2"/>
    </row>
    <row r="2739" spans="10:19" x14ac:dyDescent="0.2">
      <c r="J2739" s="2"/>
      <c r="K2739" s="2"/>
      <c r="L2739" s="2"/>
      <c r="M2739" s="2"/>
      <c r="N2739" s="2"/>
      <c r="O2739" s="2"/>
      <c r="P2739" s="2"/>
      <c r="Q2739" s="2"/>
      <c r="R2739" s="2"/>
      <c r="S2739" s="2"/>
    </row>
    <row r="2740" spans="10:19" x14ac:dyDescent="0.2">
      <c r="J2740" s="2"/>
      <c r="K2740" s="2"/>
      <c r="L2740" s="2"/>
      <c r="M2740" s="2"/>
      <c r="N2740" s="2"/>
      <c r="O2740" s="2"/>
      <c r="P2740" s="2"/>
      <c r="Q2740" s="2"/>
      <c r="R2740" s="2"/>
      <c r="S2740" s="2"/>
    </row>
    <row r="2741" spans="10:19" x14ac:dyDescent="0.2">
      <c r="J2741" s="2"/>
      <c r="K2741" s="2"/>
      <c r="L2741" s="2"/>
      <c r="M2741" s="2"/>
      <c r="N2741" s="2"/>
      <c r="O2741" s="2"/>
      <c r="P2741" s="2"/>
      <c r="Q2741" s="2"/>
      <c r="R2741" s="2"/>
      <c r="S2741" s="2"/>
    </row>
    <row r="2742" spans="10:19" x14ac:dyDescent="0.2">
      <c r="J2742" s="2"/>
      <c r="K2742" s="2"/>
      <c r="L2742" s="2"/>
      <c r="M2742" s="2"/>
      <c r="N2742" s="2"/>
      <c r="O2742" s="2"/>
      <c r="P2742" s="2"/>
      <c r="Q2742" s="2"/>
      <c r="R2742" s="2"/>
      <c r="S2742" s="2"/>
    </row>
    <row r="2743" spans="10:19" x14ac:dyDescent="0.2">
      <c r="J2743" s="2"/>
      <c r="K2743" s="2"/>
      <c r="L2743" s="2"/>
      <c r="M2743" s="2"/>
      <c r="N2743" s="2"/>
      <c r="O2743" s="2"/>
      <c r="P2743" s="2"/>
      <c r="Q2743" s="2"/>
      <c r="R2743" s="2"/>
      <c r="S2743" s="2"/>
    </row>
    <row r="2744" spans="10:19" x14ac:dyDescent="0.2">
      <c r="J2744" s="2"/>
      <c r="K2744" s="2"/>
      <c r="L2744" s="2"/>
      <c r="M2744" s="2"/>
      <c r="N2744" s="2"/>
      <c r="O2744" s="2"/>
      <c r="P2744" s="2"/>
      <c r="Q2744" s="2"/>
      <c r="R2744" s="2"/>
      <c r="S2744" s="2"/>
    </row>
    <row r="2745" spans="10:19" x14ac:dyDescent="0.2">
      <c r="J2745" s="2"/>
      <c r="K2745" s="2"/>
      <c r="L2745" s="2"/>
      <c r="M2745" s="2"/>
      <c r="N2745" s="2"/>
      <c r="O2745" s="2"/>
      <c r="P2745" s="2"/>
      <c r="Q2745" s="2"/>
      <c r="R2745" s="2"/>
      <c r="S2745" s="2"/>
    </row>
    <row r="2746" spans="10:19" x14ac:dyDescent="0.2">
      <c r="J2746" s="2"/>
      <c r="K2746" s="2"/>
      <c r="L2746" s="2"/>
      <c r="M2746" s="2"/>
      <c r="N2746" s="2"/>
      <c r="O2746" s="2"/>
      <c r="P2746" s="2"/>
      <c r="Q2746" s="2"/>
      <c r="R2746" s="2"/>
      <c r="S2746" s="2"/>
    </row>
    <row r="2747" spans="10:19" x14ac:dyDescent="0.2">
      <c r="J2747" s="2"/>
      <c r="K2747" s="2"/>
      <c r="L2747" s="2"/>
      <c r="M2747" s="2"/>
      <c r="N2747" s="2"/>
      <c r="O2747" s="2"/>
      <c r="P2747" s="2"/>
      <c r="Q2747" s="2"/>
      <c r="R2747" s="2"/>
      <c r="S2747" s="2"/>
    </row>
    <row r="2748" spans="10:19" x14ac:dyDescent="0.2">
      <c r="J2748" s="2"/>
      <c r="K2748" s="2"/>
      <c r="L2748" s="2"/>
      <c r="M2748" s="2"/>
      <c r="N2748" s="2"/>
      <c r="O2748" s="2"/>
      <c r="P2748" s="2"/>
      <c r="Q2748" s="2"/>
      <c r="R2748" s="2"/>
      <c r="S2748" s="2"/>
    </row>
    <row r="2749" spans="10:19" x14ac:dyDescent="0.2">
      <c r="J2749" s="2"/>
      <c r="K2749" s="2"/>
      <c r="L2749" s="2"/>
      <c r="M2749" s="2"/>
      <c r="N2749" s="2"/>
      <c r="O2749" s="2"/>
      <c r="P2749" s="2"/>
      <c r="Q2749" s="2"/>
      <c r="R2749" s="2"/>
      <c r="S2749" s="2"/>
    </row>
    <row r="2750" spans="10:19" x14ac:dyDescent="0.2">
      <c r="J2750" s="2"/>
      <c r="K2750" s="2"/>
      <c r="L2750" s="2"/>
      <c r="M2750" s="2"/>
      <c r="N2750" s="2"/>
      <c r="O2750" s="2"/>
      <c r="P2750" s="2"/>
      <c r="Q2750" s="2"/>
      <c r="R2750" s="2"/>
      <c r="S2750" s="2"/>
    </row>
    <row r="2751" spans="10:19" x14ac:dyDescent="0.2">
      <c r="J2751" s="2"/>
      <c r="K2751" s="2"/>
      <c r="L2751" s="2"/>
      <c r="M2751" s="2"/>
      <c r="N2751" s="2"/>
      <c r="O2751" s="2"/>
      <c r="P2751" s="2"/>
      <c r="Q2751" s="2"/>
      <c r="R2751" s="2"/>
      <c r="S2751" s="2"/>
    </row>
    <row r="2752" spans="10:19" x14ac:dyDescent="0.2">
      <c r="J2752" s="2"/>
      <c r="K2752" s="2"/>
      <c r="L2752" s="2"/>
      <c r="M2752" s="2"/>
      <c r="N2752" s="2"/>
      <c r="O2752" s="2"/>
      <c r="P2752" s="2"/>
      <c r="Q2752" s="2"/>
      <c r="R2752" s="2"/>
      <c r="S2752" s="2"/>
    </row>
    <row r="2753" spans="10:19" x14ac:dyDescent="0.2">
      <c r="J2753" s="2"/>
      <c r="K2753" s="2"/>
      <c r="L2753" s="2"/>
      <c r="M2753" s="2"/>
      <c r="N2753" s="2"/>
      <c r="O2753" s="2"/>
      <c r="P2753" s="2"/>
      <c r="Q2753" s="2"/>
      <c r="R2753" s="2"/>
      <c r="S2753" s="2"/>
    </row>
    <row r="2754" spans="10:19" x14ac:dyDescent="0.2">
      <c r="J2754" s="2"/>
      <c r="K2754" s="2"/>
      <c r="L2754" s="2"/>
      <c r="M2754" s="2"/>
      <c r="N2754" s="2"/>
      <c r="O2754" s="2"/>
      <c r="P2754" s="2"/>
      <c r="Q2754" s="2"/>
      <c r="R2754" s="2"/>
      <c r="S2754" s="2"/>
    </row>
    <row r="2755" spans="10:19" x14ac:dyDescent="0.2">
      <c r="J2755" s="2"/>
      <c r="K2755" s="2"/>
      <c r="L2755" s="2"/>
      <c r="M2755" s="2"/>
      <c r="N2755" s="2"/>
      <c r="O2755" s="2"/>
      <c r="P2755" s="2"/>
      <c r="Q2755" s="2"/>
      <c r="R2755" s="2"/>
      <c r="S2755" s="2"/>
    </row>
    <row r="2756" spans="10:19" x14ac:dyDescent="0.2">
      <c r="J2756" s="2"/>
      <c r="K2756" s="2"/>
      <c r="L2756" s="2"/>
      <c r="M2756" s="2"/>
      <c r="N2756" s="2"/>
      <c r="O2756" s="2"/>
      <c r="P2756" s="2"/>
      <c r="Q2756" s="2"/>
      <c r="R2756" s="2"/>
      <c r="S2756" s="2"/>
    </row>
    <row r="2757" spans="10:19" x14ac:dyDescent="0.2">
      <c r="J2757" s="2"/>
      <c r="K2757" s="2"/>
      <c r="L2757" s="2"/>
      <c r="M2757" s="2"/>
      <c r="N2757" s="2"/>
      <c r="O2757" s="2"/>
      <c r="P2757" s="2"/>
      <c r="Q2757" s="2"/>
      <c r="R2757" s="2"/>
      <c r="S2757" s="2"/>
    </row>
    <row r="2758" spans="10:19" x14ac:dyDescent="0.2">
      <c r="J2758" s="2"/>
      <c r="K2758" s="2"/>
      <c r="L2758" s="2"/>
      <c r="M2758" s="2"/>
      <c r="N2758" s="2"/>
      <c r="O2758" s="2"/>
      <c r="P2758" s="2"/>
      <c r="Q2758" s="2"/>
      <c r="R2758" s="2"/>
      <c r="S2758" s="2"/>
    </row>
    <row r="2759" spans="10:19" x14ac:dyDescent="0.2">
      <c r="J2759" s="2"/>
      <c r="K2759" s="2"/>
      <c r="L2759" s="2"/>
      <c r="M2759" s="2"/>
      <c r="N2759" s="2"/>
      <c r="O2759" s="2"/>
      <c r="P2759" s="2"/>
      <c r="Q2759" s="2"/>
      <c r="R2759" s="2"/>
      <c r="S2759" s="2"/>
    </row>
    <row r="2760" spans="10:19" x14ac:dyDescent="0.2">
      <c r="J2760" s="2"/>
      <c r="K2760" s="2"/>
      <c r="L2760" s="2"/>
      <c r="M2760" s="2"/>
      <c r="N2760" s="2"/>
      <c r="O2760" s="2"/>
      <c r="P2760" s="2"/>
      <c r="Q2760" s="2"/>
      <c r="R2760" s="2"/>
      <c r="S2760" s="2"/>
    </row>
    <row r="2761" spans="10:19" x14ac:dyDescent="0.2">
      <c r="J2761" s="2"/>
      <c r="K2761" s="2"/>
      <c r="L2761" s="2"/>
      <c r="M2761" s="2"/>
      <c r="N2761" s="2"/>
      <c r="O2761" s="2"/>
      <c r="P2761" s="2"/>
      <c r="Q2761" s="2"/>
      <c r="R2761" s="2"/>
      <c r="S2761" s="2"/>
    </row>
    <row r="2762" spans="10:19" x14ac:dyDescent="0.2">
      <c r="J2762" s="2"/>
      <c r="K2762" s="2"/>
      <c r="L2762" s="2"/>
      <c r="M2762" s="2"/>
      <c r="N2762" s="2"/>
      <c r="O2762" s="2"/>
      <c r="P2762" s="2"/>
      <c r="Q2762" s="2"/>
      <c r="R2762" s="2"/>
      <c r="S2762" s="2"/>
    </row>
    <row r="2763" spans="10:19" x14ac:dyDescent="0.2">
      <c r="J2763" s="2"/>
      <c r="K2763" s="2"/>
      <c r="L2763" s="2"/>
      <c r="M2763" s="2"/>
      <c r="N2763" s="2"/>
      <c r="O2763" s="2"/>
      <c r="P2763" s="2"/>
      <c r="Q2763" s="2"/>
      <c r="R2763" s="2"/>
      <c r="S2763" s="2"/>
    </row>
    <row r="2764" spans="10:19" x14ac:dyDescent="0.2">
      <c r="J2764" s="2"/>
      <c r="K2764" s="2"/>
      <c r="L2764" s="2"/>
      <c r="M2764" s="2"/>
      <c r="N2764" s="2"/>
      <c r="O2764" s="2"/>
      <c r="P2764" s="2"/>
      <c r="Q2764" s="2"/>
      <c r="R2764" s="2"/>
      <c r="S2764" s="2"/>
    </row>
    <row r="2765" spans="10:19" x14ac:dyDescent="0.2">
      <c r="J2765" s="2"/>
      <c r="K2765" s="2"/>
      <c r="L2765" s="2"/>
      <c r="M2765" s="2"/>
      <c r="N2765" s="2"/>
      <c r="O2765" s="2"/>
      <c r="P2765" s="2"/>
      <c r="Q2765" s="2"/>
      <c r="R2765" s="2"/>
      <c r="S2765" s="2"/>
    </row>
    <row r="2766" spans="10:19" x14ac:dyDescent="0.2">
      <c r="J2766" s="2"/>
      <c r="K2766" s="2"/>
      <c r="L2766" s="2"/>
      <c r="M2766" s="2"/>
      <c r="N2766" s="2"/>
      <c r="O2766" s="2"/>
      <c r="P2766" s="2"/>
      <c r="Q2766" s="2"/>
      <c r="R2766" s="2"/>
      <c r="S2766" s="2"/>
    </row>
    <row r="2767" spans="10:19" x14ac:dyDescent="0.2">
      <c r="J2767" s="2"/>
      <c r="K2767" s="2"/>
      <c r="L2767" s="2"/>
      <c r="M2767" s="2"/>
      <c r="N2767" s="2"/>
      <c r="O2767" s="2"/>
      <c r="P2767" s="2"/>
      <c r="Q2767" s="2"/>
      <c r="R2767" s="2"/>
      <c r="S2767" s="2"/>
    </row>
    <row r="2768" spans="10:19" x14ac:dyDescent="0.2">
      <c r="J2768" s="2"/>
      <c r="K2768" s="2"/>
      <c r="L2768" s="2"/>
      <c r="M2768" s="2"/>
      <c r="N2768" s="2"/>
      <c r="O2768" s="2"/>
      <c r="P2768" s="2"/>
      <c r="Q2768" s="2"/>
      <c r="R2768" s="2"/>
      <c r="S2768" s="2"/>
    </row>
    <row r="2769" spans="10:19" x14ac:dyDescent="0.2">
      <c r="J2769" s="2"/>
      <c r="K2769" s="2"/>
      <c r="L2769" s="2"/>
      <c r="M2769" s="2"/>
      <c r="N2769" s="2"/>
      <c r="O2769" s="2"/>
      <c r="P2769" s="2"/>
      <c r="Q2769" s="2"/>
      <c r="R2769" s="2"/>
      <c r="S2769" s="2"/>
    </row>
    <row r="2770" spans="10:19" x14ac:dyDescent="0.2">
      <c r="J2770" s="2"/>
      <c r="K2770" s="2"/>
      <c r="L2770" s="2"/>
      <c r="M2770" s="2"/>
      <c r="N2770" s="2"/>
      <c r="O2770" s="2"/>
      <c r="P2770" s="2"/>
      <c r="Q2770" s="2"/>
      <c r="R2770" s="2"/>
      <c r="S2770" s="2"/>
    </row>
    <row r="2771" spans="10:19" x14ac:dyDescent="0.2">
      <c r="J2771" s="2"/>
      <c r="K2771" s="2"/>
      <c r="L2771" s="2"/>
      <c r="M2771" s="2"/>
      <c r="N2771" s="2"/>
      <c r="O2771" s="2"/>
      <c r="P2771" s="2"/>
      <c r="Q2771" s="2"/>
      <c r="R2771" s="2"/>
      <c r="S2771" s="2"/>
    </row>
    <row r="2772" spans="10:19" x14ac:dyDescent="0.2">
      <c r="J2772" s="2"/>
      <c r="K2772" s="2"/>
      <c r="L2772" s="2"/>
      <c r="M2772" s="2"/>
      <c r="N2772" s="2"/>
      <c r="O2772" s="2"/>
      <c r="P2772" s="2"/>
      <c r="Q2772" s="2"/>
      <c r="R2772" s="2"/>
      <c r="S2772" s="2"/>
    </row>
    <row r="2773" spans="10:19" x14ac:dyDescent="0.2">
      <c r="J2773" s="2"/>
      <c r="K2773" s="2"/>
      <c r="L2773" s="2"/>
      <c r="M2773" s="2"/>
      <c r="N2773" s="2"/>
      <c r="O2773" s="2"/>
      <c r="P2773" s="2"/>
      <c r="Q2773" s="2"/>
      <c r="R2773" s="2"/>
      <c r="S2773" s="2"/>
    </row>
    <row r="2774" spans="10:19" x14ac:dyDescent="0.2">
      <c r="J2774" s="2"/>
      <c r="K2774" s="2"/>
      <c r="L2774" s="2"/>
      <c r="M2774" s="2"/>
      <c r="N2774" s="2"/>
      <c r="O2774" s="2"/>
      <c r="P2774" s="2"/>
      <c r="Q2774" s="2"/>
      <c r="R2774" s="2"/>
      <c r="S2774" s="2"/>
    </row>
    <row r="2775" spans="10:19" x14ac:dyDescent="0.2">
      <c r="J2775" s="2"/>
      <c r="K2775" s="2"/>
      <c r="L2775" s="2"/>
      <c r="M2775" s="2"/>
      <c r="N2775" s="2"/>
      <c r="O2775" s="2"/>
      <c r="P2775" s="2"/>
      <c r="Q2775" s="2"/>
      <c r="R2775" s="2"/>
      <c r="S2775" s="2"/>
    </row>
    <row r="2776" spans="10:19" x14ac:dyDescent="0.2">
      <c r="J2776" s="2"/>
      <c r="K2776" s="2"/>
      <c r="L2776" s="2"/>
      <c r="M2776" s="2"/>
      <c r="N2776" s="2"/>
      <c r="O2776" s="2"/>
      <c r="P2776" s="2"/>
      <c r="Q2776" s="2"/>
      <c r="R2776" s="2"/>
      <c r="S2776" s="2"/>
    </row>
    <row r="2777" spans="10:19" x14ac:dyDescent="0.2">
      <c r="J2777" s="2"/>
      <c r="K2777" s="2"/>
      <c r="L2777" s="2"/>
      <c r="M2777" s="2"/>
      <c r="N2777" s="2"/>
      <c r="O2777" s="2"/>
      <c r="P2777" s="2"/>
      <c r="Q2777" s="2"/>
      <c r="R2777" s="2"/>
      <c r="S2777" s="2"/>
    </row>
    <row r="2778" spans="10:19" x14ac:dyDescent="0.2">
      <c r="J2778" s="2"/>
      <c r="K2778" s="2"/>
      <c r="L2778" s="2"/>
      <c r="M2778" s="2"/>
      <c r="N2778" s="2"/>
      <c r="O2778" s="2"/>
      <c r="P2778" s="2"/>
      <c r="Q2778" s="2"/>
      <c r="R2778" s="2"/>
      <c r="S2778" s="2"/>
    </row>
    <row r="2779" spans="10:19" x14ac:dyDescent="0.2">
      <c r="J2779" s="2"/>
      <c r="K2779" s="2"/>
      <c r="L2779" s="2"/>
      <c r="M2779" s="2"/>
      <c r="N2779" s="2"/>
      <c r="O2779" s="2"/>
      <c r="P2779" s="2"/>
      <c r="Q2779" s="2"/>
      <c r="R2779" s="2"/>
      <c r="S2779" s="2"/>
    </row>
    <row r="2780" spans="10:19" x14ac:dyDescent="0.2">
      <c r="J2780" s="2"/>
      <c r="K2780" s="2"/>
      <c r="L2780" s="2"/>
      <c r="M2780" s="2"/>
      <c r="N2780" s="2"/>
      <c r="O2780" s="2"/>
      <c r="P2780" s="2"/>
      <c r="Q2780" s="2"/>
      <c r="R2780" s="2"/>
      <c r="S2780" s="2"/>
    </row>
    <row r="2781" spans="10:19" x14ac:dyDescent="0.2">
      <c r="J2781" s="2"/>
      <c r="K2781" s="2"/>
      <c r="L2781" s="2"/>
      <c r="M2781" s="2"/>
      <c r="N2781" s="2"/>
      <c r="O2781" s="2"/>
      <c r="P2781" s="2"/>
      <c r="Q2781" s="2"/>
      <c r="R2781" s="2"/>
      <c r="S2781" s="2"/>
    </row>
    <row r="2782" spans="10:19" x14ac:dyDescent="0.2">
      <c r="J2782" s="2"/>
      <c r="K2782" s="2"/>
      <c r="L2782" s="2"/>
      <c r="M2782" s="2"/>
      <c r="N2782" s="2"/>
      <c r="O2782" s="2"/>
      <c r="P2782" s="2"/>
      <c r="Q2782" s="2"/>
      <c r="R2782" s="2"/>
      <c r="S2782" s="2"/>
    </row>
    <row r="2783" spans="10:19" x14ac:dyDescent="0.2">
      <c r="J2783" s="2"/>
      <c r="K2783" s="2"/>
      <c r="L2783" s="2"/>
      <c r="M2783" s="2"/>
      <c r="N2783" s="2"/>
      <c r="O2783" s="2"/>
      <c r="P2783" s="2"/>
      <c r="Q2783" s="2"/>
      <c r="R2783" s="2"/>
      <c r="S2783" s="2"/>
    </row>
    <row r="2784" spans="10:19" x14ac:dyDescent="0.2">
      <c r="J2784" s="2"/>
      <c r="K2784" s="2"/>
      <c r="L2784" s="2"/>
      <c r="M2784" s="2"/>
      <c r="N2784" s="2"/>
      <c r="O2784" s="2"/>
      <c r="P2784" s="2"/>
      <c r="Q2784" s="2"/>
      <c r="R2784" s="2"/>
      <c r="S2784" s="2"/>
    </row>
    <row r="2785" spans="10:19" x14ac:dyDescent="0.2">
      <c r="J2785" s="2"/>
      <c r="K2785" s="2"/>
      <c r="L2785" s="2"/>
      <c r="M2785" s="2"/>
      <c r="N2785" s="2"/>
      <c r="O2785" s="2"/>
      <c r="P2785" s="2"/>
      <c r="Q2785" s="2"/>
      <c r="R2785" s="2"/>
      <c r="S2785" s="2"/>
    </row>
    <row r="2786" spans="10:19" x14ac:dyDescent="0.2">
      <c r="J2786" s="2"/>
      <c r="K2786" s="2"/>
      <c r="L2786" s="2"/>
      <c r="M2786" s="2"/>
      <c r="N2786" s="2"/>
      <c r="O2786" s="2"/>
      <c r="P2786" s="2"/>
      <c r="Q2786" s="2"/>
      <c r="R2786" s="2"/>
      <c r="S2786" s="2"/>
    </row>
    <row r="2787" spans="10:19" x14ac:dyDescent="0.2">
      <c r="J2787" s="2"/>
      <c r="K2787" s="2"/>
      <c r="L2787" s="2"/>
      <c r="M2787" s="2"/>
      <c r="N2787" s="2"/>
      <c r="O2787" s="2"/>
      <c r="P2787" s="2"/>
      <c r="Q2787" s="2"/>
      <c r="R2787" s="2"/>
      <c r="S2787" s="2"/>
    </row>
    <row r="2788" spans="10:19" x14ac:dyDescent="0.2">
      <c r="J2788" s="2"/>
      <c r="K2788" s="2"/>
      <c r="L2788" s="2"/>
      <c r="M2788" s="2"/>
      <c r="N2788" s="2"/>
      <c r="O2788" s="2"/>
      <c r="P2788" s="2"/>
      <c r="Q2788" s="2"/>
      <c r="R2788" s="2"/>
      <c r="S2788" s="2"/>
    </row>
    <row r="2789" spans="10:19" x14ac:dyDescent="0.2">
      <c r="J2789" s="2"/>
      <c r="K2789" s="2"/>
      <c r="L2789" s="2"/>
      <c r="M2789" s="2"/>
      <c r="N2789" s="2"/>
      <c r="O2789" s="2"/>
      <c r="P2789" s="2"/>
      <c r="Q2789" s="2"/>
      <c r="R2789" s="2"/>
      <c r="S2789" s="2"/>
    </row>
    <row r="2790" spans="10:19" x14ac:dyDescent="0.2">
      <c r="J2790" s="2"/>
      <c r="K2790" s="2"/>
      <c r="L2790" s="2"/>
      <c r="M2790" s="2"/>
      <c r="N2790" s="2"/>
      <c r="O2790" s="2"/>
      <c r="P2790" s="2"/>
      <c r="Q2790" s="2"/>
      <c r="R2790" s="2"/>
      <c r="S2790" s="2"/>
    </row>
    <row r="2791" spans="10:19" x14ac:dyDescent="0.2">
      <c r="J2791" s="2"/>
      <c r="K2791" s="2"/>
      <c r="L2791" s="2"/>
      <c r="M2791" s="2"/>
      <c r="N2791" s="2"/>
      <c r="O2791" s="2"/>
      <c r="P2791" s="2"/>
      <c r="Q2791" s="2"/>
      <c r="R2791" s="2"/>
      <c r="S2791" s="2"/>
    </row>
    <row r="2792" spans="10:19" x14ac:dyDescent="0.2">
      <c r="J2792" s="2"/>
      <c r="K2792" s="2"/>
      <c r="L2792" s="2"/>
      <c r="M2792" s="2"/>
      <c r="N2792" s="2"/>
      <c r="O2792" s="2"/>
      <c r="P2792" s="2"/>
      <c r="Q2792" s="2"/>
      <c r="R2792" s="2"/>
      <c r="S2792" s="2"/>
    </row>
    <row r="2793" spans="10:19" x14ac:dyDescent="0.2">
      <c r="J2793" s="2"/>
      <c r="K2793" s="2"/>
      <c r="L2793" s="2"/>
      <c r="M2793" s="2"/>
      <c r="N2793" s="2"/>
      <c r="O2793" s="2"/>
      <c r="P2793" s="2"/>
      <c r="Q2793" s="2"/>
      <c r="R2793" s="2"/>
      <c r="S2793" s="2"/>
    </row>
    <row r="2794" spans="10:19" x14ac:dyDescent="0.2">
      <c r="J2794" s="2"/>
      <c r="K2794" s="2"/>
      <c r="L2794" s="2"/>
      <c r="M2794" s="2"/>
      <c r="N2794" s="2"/>
      <c r="O2794" s="2"/>
      <c r="P2794" s="2"/>
      <c r="Q2794" s="2"/>
      <c r="R2794" s="2"/>
      <c r="S2794" s="2"/>
    </row>
    <row r="2795" spans="10:19" x14ac:dyDescent="0.2">
      <c r="J2795" s="2"/>
      <c r="K2795" s="2"/>
      <c r="L2795" s="2"/>
      <c r="M2795" s="2"/>
      <c r="N2795" s="2"/>
      <c r="O2795" s="2"/>
      <c r="P2795" s="2"/>
      <c r="Q2795" s="2"/>
      <c r="R2795" s="2"/>
      <c r="S2795" s="2"/>
    </row>
    <row r="2796" spans="10:19" x14ac:dyDescent="0.2">
      <c r="J2796" s="2"/>
      <c r="K2796" s="2"/>
      <c r="L2796" s="2"/>
      <c r="M2796" s="2"/>
      <c r="N2796" s="2"/>
      <c r="O2796" s="2"/>
      <c r="P2796" s="2"/>
      <c r="Q2796" s="2"/>
      <c r="R2796" s="2"/>
      <c r="S2796" s="2"/>
    </row>
    <row r="2797" spans="10:19" x14ac:dyDescent="0.2">
      <c r="J2797" s="2"/>
      <c r="K2797" s="2"/>
      <c r="L2797" s="2"/>
      <c r="M2797" s="2"/>
      <c r="N2797" s="2"/>
      <c r="O2797" s="2"/>
      <c r="P2797" s="2"/>
      <c r="Q2797" s="2"/>
      <c r="R2797" s="2"/>
      <c r="S2797" s="2"/>
    </row>
    <row r="2798" spans="10:19" x14ac:dyDescent="0.2">
      <c r="J2798" s="2"/>
      <c r="K2798" s="2"/>
      <c r="L2798" s="2"/>
      <c r="M2798" s="2"/>
      <c r="N2798" s="2"/>
      <c r="O2798" s="2"/>
      <c r="P2798" s="2"/>
      <c r="Q2798" s="2"/>
      <c r="R2798" s="2"/>
      <c r="S2798" s="2"/>
    </row>
    <row r="2799" spans="10:19" x14ac:dyDescent="0.2">
      <c r="J2799" s="2"/>
      <c r="K2799" s="2"/>
      <c r="L2799" s="2"/>
      <c r="M2799" s="2"/>
      <c r="N2799" s="2"/>
      <c r="O2799" s="2"/>
      <c r="P2799" s="2"/>
      <c r="Q2799" s="2"/>
      <c r="R2799" s="2"/>
      <c r="S2799" s="2"/>
    </row>
    <row r="2800" spans="10:19" x14ac:dyDescent="0.2">
      <c r="J2800" s="2"/>
      <c r="K2800" s="2"/>
      <c r="L2800" s="2"/>
      <c r="M2800" s="2"/>
      <c r="N2800" s="2"/>
      <c r="O2800" s="2"/>
      <c r="P2800" s="2"/>
      <c r="Q2800" s="2"/>
      <c r="R2800" s="2"/>
      <c r="S2800" s="2"/>
    </row>
    <row r="2801" spans="10:19" x14ac:dyDescent="0.2">
      <c r="J2801" s="2"/>
      <c r="K2801" s="2"/>
      <c r="L2801" s="2"/>
      <c r="M2801" s="2"/>
      <c r="N2801" s="2"/>
      <c r="O2801" s="2"/>
      <c r="P2801" s="2"/>
      <c r="Q2801" s="2"/>
      <c r="R2801" s="2"/>
      <c r="S2801" s="2"/>
    </row>
    <row r="2802" spans="10:19" x14ac:dyDescent="0.2">
      <c r="J2802" s="2"/>
      <c r="K2802" s="2"/>
      <c r="L2802" s="2"/>
      <c r="M2802" s="2"/>
      <c r="N2802" s="2"/>
      <c r="O2802" s="2"/>
      <c r="P2802" s="2"/>
      <c r="Q2802" s="2"/>
      <c r="R2802" s="2"/>
      <c r="S2802" s="2"/>
    </row>
    <row r="2803" spans="10:19" x14ac:dyDescent="0.2">
      <c r="J2803" s="2"/>
      <c r="K2803" s="2"/>
      <c r="L2803" s="2"/>
      <c r="M2803" s="2"/>
      <c r="N2803" s="2"/>
      <c r="O2803" s="2"/>
      <c r="P2803" s="2"/>
      <c r="Q2803" s="2"/>
      <c r="R2803" s="2"/>
      <c r="S2803" s="2"/>
    </row>
    <row r="2804" spans="10:19" x14ac:dyDescent="0.2">
      <c r="J2804" s="2"/>
      <c r="K2804" s="2"/>
      <c r="L2804" s="2"/>
      <c r="M2804" s="2"/>
      <c r="N2804" s="2"/>
      <c r="O2804" s="2"/>
      <c r="P2804" s="2"/>
      <c r="Q2804" s="2"/>
      <c r="R2804" s="2"/>
      <c r="S2804" s="2"/>
    </row>
    <row r="2805" spans="10:19" x14ac:dyDescent="0.2">
      <c r="J2805" s="2"/>
      <c r="K2805" s="2"/>
      <c r="L2805" s="2"/>
      <c r="M2805" s="2"/>
      <c r="N2805" s="2"/>
      <c r="O2805" s="2"/>
      <c r="P2805" s="2"/>
      <c r="Q2805" s="2"/>
      <c r="R2805" s="2"/>
      <c r="S2805" s="2"/>
    </row>
    <row r="2806" spans="10:19" x14ac:dyDescent="0.2">
      <c r="J2806" s="2"/>
      <c r="K2806" s="2"/>
      <c r="L2806" s="2"/>
      <c r="M2806" s="2"/>
      <c r="N2806" s="2"/>
      <c r="O2806" s="2"/>
      <c r="P2806" s="2"/>
      <c r="Q2806" s="2"/>
      <c r="R2806" s="2"/>
      <c r="S2806" s="2"/>
    </row>
    <row r="2807" spans="10:19" x14ac:dyDescent="0.2">
      <c r="J2807" s="2"/>
      <c r="K2807" s="2"/>
      <c r="L2807" s="2"/>
      <c r="M2807" s="2"/>
      <c r="N2807" s="2"/>
      <c r="O2807" s="2"/>
      <c r="P2807" s="2"/>
      <c r="Q2807" s="2"/>
      <c r="R2807" s="2"/>
      <c r="S2807" s="2"/>
    </row>
    <row r="2808" spans="10:19" x14ac:dyDescent="0.2">
      <c r="J2808" s="2"/>
      <c r="K2808" s="2"/>
      <c r="L2808" s="2"/>
      <c r="M2808" s="2"/>
      <c r="N2808" s="2"/>
      <c r="O2808" s="2"/>
      <c r="P2808" s="2"/>
      <c r="Q2808" s="2"/>
      <c r="R2808" s="2"/>
      <c r="S2808" s="2"/>
    </row>
    <row r="2809" spans="10:19" x14ac:dyDescent="0.2">
      <c r="J2809" s="2"/>
      <c r="K2809" s="2"/>
      <c r="L2809" s="2"/>
      <c r="M2809" s="2"/>
      <c r="N2809" s="2"/>
      <c r="O2809" s="2"/>
      <c r="P2809" s="2"/>
      <c r="Q2809" s="2"/>
      <c r="R2809" s="2"/>
      <c r="S2809" s="2"/>
    </row>
    <row r="2810" spans="10:19" x14ac:dyDescent="0.2">
      <c r="J2810" s="2"/>
      <c r="K2810" s="2"/>
      <c r="L2810" s="2"/>
      <c r="M2810" s="2"/>
      <c r="N2810" s="2"/>
      <c r="O2810" s="2"/>
      <c r="P2810" s="2"/>
      <c r="Q2810" s="2"/>
      <c r="R2810" s="2"/>
      <c r="S2810" s="2"/>
    </row>
    <row r="2811" spans="10:19" x14ac:dyDescent="0.2">
      <c r="J2811" s="2"/>
      <c r="K2811" s="2"/>
      <c r="L2811" s="2"/>
      <c r="M2811" s="2"/>
      <c r="N2811" s="2"/>
      <c r="O2811" s="2"/>
      <c r="P2811" s="2"/>
      <c r="Q2811" s="2"/>
      <c r="R2811" s="2"/>
      <c r="S2811" s="2"/>
    </row>
    <row r="2812" spans="10:19" x14ac:dyDescent="0.2">
      <c r="J2812" s="2"/>
      <c r="K2812" s="2"/>
      <c r="L2812" s="2"/>
      <c r="M2812" s="2"/>
      <c r="N2812" s="2"/>
      <c r="O2812" s="2"/>
      <c r="P2812" s="2"/>
      <c r="Q2812" s="2"/>
      <c r="R2812" s="2"/>
      <c r="S2812" s="2"/>
    </row>
    <row r="2813" spans="10:19" x14ac:dyDescent="0.2">
      <c r="J2813" s="2"/>
      <c r="K2813" s="2"/>
      <c r="L2813" s="2"/>
      <c r="M2813" s="2"/>
      <c r="N2813" s="2"/>
      <c r="O2813" s="2"/>
      <c r="P2813" s="2"/>
      <c r="Q2813" s="2"/>
      <c r="R2813" s="2"/>
      <c r="S2813" s="2"/>
    </row>
    <row r="2814" spans="10:19" x14ac:dyDescent="0.2">
      <c r="J2814" s="2"/>
      <c r="K2814" s="2"/>
      <c r="L2814" s="2"/>
      <c r="M2814" s="2"/>
      <c r="N2814" s="2"/>
      <c r="O2814" s="2"/>
      <c r="P2814" s="2"/>
      <c r="Q2814" s="2"/>
      <c r="R2814" s="2"/>
      <c r="S2814" s="2"/>
    </row>
    <row r="2815" spans="10:19" x14ac:dyDescent="0.2">
      <c r="J2815" s="2"/>
      <c r="K2815" s="2"/>
      <c r="L2815" s="2"/>
      <c r="M2815" s="2"/>
      <c r="N2815" s="2"/>
      <c r="O2815" s="2"/>
      <c r="P2815" s="2"/>
      <c r="Q2815" s="2"/>
      <c r="R2815" s="2"/>
      <c r="S2815" s="2"/>
    </row>
    <row r="2816" spans="10:19" x14ac:dyDescent="0.2">
      <c r="J2816" s="2"/>
      <c r="K2816" s="2"/>
      <c r="L2816" s="2"/>
      <c r="M2816" s="2"/>
      <c r="N2816" s="2"/>
      <c r="O2816" s="2"/>
      <c r="P2816" s="2"/>
      <c r="Q2816" s="2"/>
      <c r="R2816" s="2"/>
      <c r="S2816" s="2"/>
    </row>
    <row r="2817" spans="10:19" x14ac:dyDescent="0.2">
      <c r="J2817" s="2"/>
      <c r="K2817" s="2"/>
      <c r="L2817" s="2"/>
      <c r="M2817" s="2"/>
      <c r="N2817" s="2"/>
      <c r="O2817" s="2"/>
      <c r="P2817" s="2"/>
      <c r="Q2817" s="2"/>
      <c r="R2817" s="2"/>
      <c r="S2817" s="2"/>
    </row>
    <row r="2818" spans="10:19" x14ac:dyDescent="0.2">
      <c r="J2818" s="2"/>
      <c r="K2818" s="2"/>
      <c r="L2818" s="2"/>
      <c r="M2818" s="2"/>
      <c r="N2818" s="2"/>
      <c r="O2818" s="2"/>
      <c r="P2818" s="2"/>
      <c r="Q2818" s="2"/>
      <c r="R2818" s="2"/>
      <c r="S2818" s="2"/>
    </row>
    <row r="2819" spans="10:19" x14ac:dyDescent="0.2">
      <c r="J2819" s="2"/>
      <c r="K2819" s="2"/>
      <c r="L2819" s="2"/>
      <c r="M2819" s="2"/>
      <c r="N2819" s="2"/>
      <c r="O2819" s="2"/>
      <c r="P2819" s="2"/>
      <c r="Q2819" s="2"/>
      <c r="R2819" s="2"/>
      <c r="S2819" s="2"/>
    </row>
    <row r="2820" spans="10:19" x14ac:dyDescent="0.2">
      <c r="J2820" s="2"/>
      <c r="K2820" s="2"/>
      <c r="L2820" s="2"/>
      <c r="M2820" s="2"/>
      <c r="N2820" s="2"/>
      <c r="O2820" s="2"/>
      <c r="P2820" s="2"/>
      <c r="Q2820" s="2"/>
      <c r="R2820" s="2"/>
      <c r="S2820" s="2"/>
    </row>
    <row r="2821" spans="10:19" x14ac:dyDescent="0.2">
      <c r="J2821" s="2"/>
      <c r="K2821" s="2"/>
      <c r="L2821" s="2"/>
      <c r="M2821" s="2"/>
      <c r="N2821" s="2"/>
      <c r="O2821" s="2"/>
      <c r="P2821" s="2"/>
      <c r="Q2821" s="2"/>
      <c r="R2821" s="2"/>
      <c r="S2821" s="2"/>
    </row>
    <row r="2822" spans="10:19" x14ac:dyDescent="0.2">
      <c r="J2822" s="2"/>
      <c r="K2822" s="2"/>
      <c r="L2822" s="2"/>
      <c r="M2822" s="2"/>
      <c r="N2822" s="2"/>
      <c r="O2822" s="2"/>
      <c r="P2822" s="2"/>
      <c r="Q2822" s="2"/>
      <c r="R2822" s="2"/>
      <c r="S2822" s="2"/>
    </row>
    <row r="2823" spans="10:19" x14ac:dyDescent="0.2">
      <c r="J2823" s="2"/>
      <c r="K2823" s="2"/>
      <c r="L2823" s="2"/>
      <c r="M2823" s="2"/>
      <c r="N2823" s="2"/>
      <c r="O2823" s="2"/>
      <c r="P2823" s="2"/>
      <c r="Q2823" s="2"/>
      <c r="R2823" s="2"/>
      <c r="S2823" s="2"/>
    </row>
    <row r="2824" spans="10:19" x14ac:dyDescent="0.2">
      <c r="J2824" s="2"/>
      <c r="K2824" s="2"/>
      <c r="L2824" s="2"/>
      <c r="M2824" s="2"/>
      <c r="N2824" s="2"/>
      <c r="O2824" s="2"/>
      <c r="P2824" s="2"/>
      <c r="Q2824" s="2"/>
      <c r="R2824" s="2"/>
      <c r="S2824" s="2"/>
    </row>
    <row r="2825" spans="10:19" x14ac:dyDescent="0.2">
      <c r="J2825" s="2"/>
      <c r="K2825" s="2"/>
      <c r="L2825" s="2"/>
      <c r="M2825" s="2"/>
      <c r="N2825" s="2"/>
      <c r="O2825" s="2"/>
      <c r="P2825" s="2"/>
      <c r="Q2825" s="2"/>
      <c r="R2825" s="2"/>
      <c r="S2825" s="2"/>
    </row>
    <row r="2826" spans="10:19" x14ac:dyDescent="0.2">
      <c r="J2826" s="2"/>
      <c r="K2826" s="2"/>
      <c r="L2826" s="2"/>
      <c r="M2826" s="2"/>
      <c r="N2826" s="2"/>
      <c r="O2826" s="2"/>
      <c r="P2826" s="2"/>
      <c r="Q2826" s="2"/>
      <c r="R2826" s="2"/>
      <c r="S2826" s="2"/>
    </row>
    <row r="2827" spans="10:19" x14ac:dyDescent="0.2">
      <c r="J2827" s="2"/>
      <c r="K2827" s="2"/>
      <c r="L2827" s="2"/>
      <c r="M2827" s="2"/>
      <c r="N2827" s="2"/>
      <c r="O2827" s="2"/>
      <c r="P2827" s="2"/>
      <c r="Q2827" s="2"/>
      <c r="R2827" s="2"/>
      <c r="S2827" s="2"/>
    </row>
    <row r="2828" spans="10:19" x14ac:dyDescent="0.2">
      <c r="J2828" s="2"/>
      <c r="K2828" s="2"/>
      <c r="L2828" s="2"/>
      <c r="M2828" s="2"/>
      <c r="N2828" s="2"/>
      <c r="O2828" s="2"/>
      <c r="P2828" s="2"/>
      <c r="Q2828" s="2"/>
      <c r="R2828" s="2"/>
      <c r="S2828" s="2"/>
    </row>
    <row r="2829" spans="10:19" x14ac:dyDescent="0.2">
      <c r="J2829" s="2"/>
      <c r="K2829" s="2"/>
      <c r="L2829" s="2"/>
      <c r="M2829" s="2"/>
      <c r="N2829" s="2"/>
      <c r="O2829" s="2"/>
      <c r="P2829" s="2"/>
      <c r="Q2829" s="2"/>
      <c r="R2829" s="2"/>
      <c r="S2829" s="2"/>
    </row>
    <row r="2830" spans="10:19" x14ac:dyDescent="0.2">
      <c r="J2830" s="2"/>
      <c r="K2830" s="2"/>
      <c r="L2830" s="2"/>
      <c r="M2830" s="2"/>
      <c r="N2830" s="2"/>
      <c r="O2830" s="2"/>
      <c r="P2830" s="2"/>
      <c r="Q2830" s="2"/>
      <c r="R2830" s="2"/>
      <c r="S2830" s="2"/>
    </row>
    <row r="2831" spans="10:19" x14ac:dyDescent="0.2">
      <c r="J2831" s="2"/>
      <c r="K2831" s="2"/>
      <c r="L2831" s="2"/>
      <c r="M2831" s="2"/>
      <c r="N2831" s="2"/>
      <c r="O2831" s="2"/>
      <c r="P2831" s="2"/>
      <c r="Q2831" s="2"/>
      <c r="R2831" s="2"/>
      <c r="S2831" s="2"/>
    </row>
    <row r="2832" spans="10:19" x14ac:dyDescent="0.2">
      <c r="J2832" s="2"/>
      <c r="K2832" s="2"/>
      <c r="L2832" s="2"/>
      <c r="M2832" s="2"/>
      <c r="N2832" s="2"/>
      <c r="O2832" s="2"/>
      <c r="P2832" s="2"/>
      <c r="Q2832" s="2"/>
      <c r="R2832" s="2"/>
      <c r="S2832" s="2"/>
    </row>
    <row r="2833" spans="10:19" x14ac:dyDescent="0.2">
      <c r="J2833" s="2"/>
      <c r="K2833" s="2"/>
      <c r="L2833" s="2"/>
      <c r="M2833" s="2"/>
      <c r="N2833" s="2"/>
      <c r="O2833" s="2"/>
      <c r="P2833" s="2"/>
      <c r="Q2833" s="2"/>
      <c r="R2833" s="2"/>
      <c r="S2833" s="2"/>
    </row>
    <row r="2834" spans="10:19" x14ac:dyDescent="0.2">
      <c r="J2834" s="2"/>
      <c r="K2834" s="2"/>
      <c r="L2834" s="2"/>
      <c r="M2834" s="2"/>
      <c r="N2834" s="2"/>
      <c r="O2834" s="2"/>
      <c r="P2834" s="2"/>
      <c r="Q2834" s="2"/>
      <c r="R2834" s="2"/>
      <c r="S2834" s="2"/>
    </row>
    <row r="2835" spans="10:19" x14ac:dyDescent="0.2">
      <c r="J2835" s="2"/>
      <c r="K2835" s="2"/>
      <c r="L2835" s="2"/>
      <c r="M2835" s="2"/>
      <c r="N2835" s="2"/>
      <c r="O2835" s="2"/>
      <c r="P2835" s="2"/>
      <c r="Q2835" s="2"/>
      <c r="R2835" s="2"/>
      <c r="S2835" s="2"/>
    </row>
    <row r="2836" spans="10:19" x14ac:dyDescent="0.2">
      <c r="J2836" s="2"/>
      <c r="K2836" s="2"/>
      <c r="L2836" s="2"/>
      <c r="M2836" s="2"/>
      <c r="N2836" s="2"/>
      <c r="O2836" s="2"/>
      <c r="P2836" s="2"/>
      <c r="Q2836" s="2"/>
      <c r="R2836" s="2"/>
      <c r="S2836" s="2"/>
    </row>
    <row r="2837" spans="10:19" x14ac:dyDescent="0.2">
      <c r="J2837" s="2"/>
      <c r="K2837" s="2"/>
      <c r="L2837" s="2"/>
      <c r="M2837" s="2"/>
      <c r="N2837" s="2"/>
      <c r="O2837" s="2"/>
      <c r="P2837" s="2"/>
      <c r="Q2837" s="2"/>
      <c r="R2837" s="2"/>
      <c r="S2837" s="2"/>
    </row>
    <row r="2838" spans="10:19" x14ac:dyDescent="0.2">
      <c r="J2838" s="2"/>
      <c r="K2838" s="2"/>
      <c r="L2838" s="2"/>
      <c r="M2838" s="2"/>
      <c r="N2838" s="2"/>
      <c r="O2838" s="2"/>
      <c r="P2838" s="2"/>
      <c r="Q2838" s="2"/>
      <c r="R2838" s="2"/>
      <c r="S2838" s="2"/>
    </row>
    <row r="2839" spans="10:19" x14ac:dyDescent="0.2">
      <c r="J2839" s="2"/>
      <c r="K2839" s="2"/>
      <c r="L2839" s="2"/>
      <c r="M2839" s="2"/>
      <c r="N2839" s="2"/>
      <c r="O2839" s="2"/>
      <c r="P2839" s="2"/>
      <c r="Q2839" s="2"/>
      <c r="R2839" s="2"/>
      <c r="S2839" s="2"/>
    </row>
    <row r="2840" spans="10:19" x14ac:dyDescent="0.2">
      <c r="J2840" s="2"/>
      <c r="K2840" s="2"/>
      <c r="L2840" s="2"/>
      <c r="M2840" s="2"/>
      <c r="N2840" s="2"/>
      <c r="O2840" s="2"/>
      <c r="P2840" s="2"/>
      <c r="Q2840" s="2"/>
      <c r="R2840" s="2"/>
      <c r="S2840" s="2"/>
    </row>
    <row r="2841" spans="10:19" x14ac:dyDescent="0.2">
      <c r="J2841" s="2"/>
      <c r="K2841" s="2"/>
      <c r="L2841" s="2"/>
      <c r="M2841" s="2"/>
      <c r="N2841" s="2"/>
      <c r="O2841" s="2"/>
      <c r="P2841" s="2"/>
      <c r="Q2841" s="2"/>
      <c r="R2841" s="2"/>
      <c r="S2841" s="2"/>
    </row>
    <row r="2842" spans="10:19" x14ac:dyDescent="0.2">
      <c r="J2842" s="2"/>
      <c r="K2842" s="2"/>
      <c r="L2842" s="2"/>
      <c r="M2842" s="2"/>
      <c r="N2842" s="2"/>
      <c r="O2842" s="2"/>
      <c r="P2842" s="2"/>
      <c r="Q2842" s="2"/>
      <c r="R2842" s="2"/>
      <c r="S2842" s="2"/>
    </row>
    <row r="2843" spans="10:19" x14ac:dyDescent="0.2">
      <c r="J2843" s="2"/>
      <c r="K2843" s="2"/>
      <c r="L2843" s="2"/>
      <c r="M2843" s="2"/>
      <c r="N2843" s="2"/>
      <c r="O2843" s="2"/>
      <c r="P2843" s="2"/>
      <c r="Q2843" s="2"/>
      <c r="R2843" s="2"/>
      <c r="S2843" s="2"/>
    </row>
    <row r="2844" spans="10:19" x14ac:dyDescent="0.2">
      <c r="J2844" s="2"/>
      <c r="K2844" s="2"/>
      <c r="L2844" s="2"/>
      <c r="M2844" s="2"/>
      <c r="N2844" s="2"/>
      <c r="O2844" s="2"/>
      <c r="P2844" s="2"/>
      <c r="Q2844" s="2"/>
      <c r="R2844" s="2"/>
      <c r="S2844" s="2"/>
    </row>
    <row r="2845" spans="10:19" x14ac:dyDescent="0.2">
      <c r="J2845" s="2"/>
      <c r="K2845" s="2"/>
      <c r="L2845" s="2"/>
      <c r="M2845" s="2"/>
      <c r="N2845" s="2"/>
      <c r="O2845" s="2"/>
      <c r="P2845" s="2"/>
      <c r="Q2845" s="2"/>
      <c r="R2845" s="2"/>
      <c r="S2845" s="2"/>
    </row>
    <row r="2846" spans="10:19" x14ac:dyDescent="0.2">
      <c r="J2846" s="2"/>
      <c r="K2846" s="2"/>
      <c r="L2846" s="2"/>
      <c r="M2846" s="2"/>
      <c r="N2846" s="2"/>
      <c r="O2846" s="2"/>
      <c r="P2846" s="2"/>
      <c r="Q2846" s="2"/>
      <c r="R2846" s="2"/>
      <c r="S2846" s="2"/>
    </row>
    <row r="2847" spans="10:19" x14ac:dyDescent="0.2">
      <c r="J2847" s="2"/>
      <c r="K2847" s="2"/>
      <c r="L2847" s="2"/>
      <c r="M2847" s="2"/>
      <c r="N2847" s="2"/>
      <c r="O2847" s="2"/>
      <c r="P2847" s="2"/>
      <c r="Q2847" s="2"/>
      <c r="R2847" s="2"/>
      <c r="S2847" s="2"/>
    </row>
    <row r="2848" spans="10:19" x14ac:dyDescent="0.2">
      <c r="J2848" s="2"/>
      <c r="K2848" s="2"/>
      <c r="L2848" s="2"/>
      <c r="M2848" s="2"/>
      <c r="N2848" s="2"/>
      <c r="O2848" s="2"/>
      <c r="P2848" s="2"/>
      <c r="Q2848" s="2"/>
      <c r="R2848" s="2"/>
      <c r="S2848" s="2"/>
    </row>
    <row r="2849" spans="10:19" x14ac:dyDescent="0.2">
      <c r="J2849" s="2"/>
      <c r="K2849" s="2"/>
      <c r="L2849" s="2"/>
      <c r="M2849" s="2"/>
      <c r="N2849" s="2"/>
      <c r="O2849" s="2"/>
      <c r="P2849" s="2"/>
      <c r="Q2849" s="2"/>
      <c r="R2849" s="2"/>
      <c r="S2849" s="2"/>
    </row>
    <row r="2850" spans="10:19" x14ac:dyDescent="0.2">
      <c r="J2850" s="2"/>
      <c r="K2850" s="2"/>
      <c r="L2850" s="2"/>
      <c r="M2850" s="2"/>
      <c r="N2850" s="2"/>
      <c r="O2850" s="2"/>
      <c r="P2850" s="2"/>
      <c r="Q2850" s="2"/>
      <c r="R2850" s="2"/>
      <c r="S2850" s="2"/>
    </row>
    <row r="2851" spans="10:19" x14ac:dyDescent="0.2">
      <c r="J2851" s="2"/>
      <c r="K2851" s="2"/>
      <c r="L2851" s="2"/>
      <c r="M2851" s="2"/>
      <c r="N2851" s="2"/>
      <c r="O2851" s="2"/>
      <c r="P2851" s="2"/>
      <c r="Q2851" s="2"/>
      <c r="R2851" s="2"/>
      <c r="S2851" s="2"/>
    </row>
    <row r="2852" spans="10:19" x14ac:dyDescent="0.2">
      <c r="J2852" s="2"/>
      <c r="K2852" s="2"/>
      <c r="L2852" s="2"/>
      <c r="M2852" s="2"/>
      <c r="N2852" s="2"/>
      <c r="O2852" s="2"/>
      <c r="P2852" s="2"/>
      <c r="Q2852" s="2"/>
      <c r="R2852" s="2"/>
      <c r="S2852" s="2"/>
    </row>
    <row r="2853" spans="10:19" x14ac:dyDescent="0.2">
      <c r="J2853" s="2"/>
      <c r="K2853" s="2"/>
      <c r="L2853" s="2"/>
      <c r="M2853" s="2"/>
      <c r="N2853" s="2"/>
      <c r="O2853" s="2"/>
      <c r="P2853" s="2"/>
      <c r="Q2853" s="2"/>
      <c r="R2853" s="2"/>
      <c r="S2853" s="2"/>
    </row>
    <row r="2854" spans="10:19" x14ac:dyDescent="0.2">
      <c r="J2854" s="2"/>
      <c r="K2854" s="2"/>
      <c r="L2854" s="2"/>
      <c r="M2854" s="2"/>
      <c r="N2854" s="2"/>
      <c r="O2854" s="2"/>
      <c r="P2854" s="2"/>
      <c r="Q2854" s="2"/>
      <c r="R2854" s="2"/>
      <c r="S2854" s="2"/>
    </row>
    <row r="2855" spans="10:19" x14ac:dyDescent="0.2">
      <c r="J2855" s="2"/>
      <c r="K2855" s="2"/>
      <c r="L2855" s="2"/>
      <c r="M2855" s="2"/>
      <c r="N2855" s="2"/>
      <c r="O2855" s="2"/>
      <c r="P2855" s="2"/>
      <c r="Q2855" s="2"/>
      <c r="R2855" s="2"/>
      <c r="S2855" s="2"/>
    </row>
    <row r="2856" spans="10:19" x14ac:dyDescent="0.2">
      <c r="J2856" s="2"/>
      <c r="K2856" s="2"/>
      <c r="L2856" s="2"/>
      <c r="M2856" s="2"/>
      <c r="N2856" s="2"/>
      <c r="O2856" s="2"/>
      <c r="P2856" s="2"/>
      <c r="Q2856" s="2"/>
      <c r="R2856" s="2"/>
      <c r="S2856" s="2"/>
    </row>
    <row r="2857" spans="10:19" x14ac:dyDescent="0.2">
      <c r="J2857" s="2"/>
      <c r="K2857" s="2"/>
      <c r="L2857" s="2"/>
      <c r="M2857" s="2"/>
      <c r="N2857" s="2"/>
      <c r="O2857" s="2"/>
      <c r="P2857" s="2"/>
      <c r="Q2857" s="2"/>
      <c r="R2857" s="2"/>
      <c r="S2857" s="2"/>
    </row>
    <row r="2858" spans="10:19" x14ac:dyDescent="0.2">
      <c r="J2858" s="2"/>
      <c r="K2858" s="2"/>
      <c r="L2858" s="2"/>
      <c r="M2858" s="2"/>
      <c r="N2858" s="2"/>
      <c r="O2858" s="2"/>
      <c r="P2858" s="2"/>
      <c r="Q2858" s="2"/>
      <c r="R2858" s="2"/>
      <c r="S2858" s="2"/>
    </row>
    <row r="2859" spans="10:19" x14ac:dyDescent="0.2">
      <c r="J2859" s="2"/>
      <c r="K2859" s="2"/>
      <c r="L2859" s="2"/>
      <c r="M2859" s="2"/>
      <c r="N2859" s="2"/>
      <c r="O2859" s="2"/>
      <c r="P2859" s="2"/>
      <c r="Q2859" s="2"/>
      <c r="R2859" s="2"/>
      <c r="S2859" s="2"/>
    </row>
    <row r="2860" spans="10:19" x14ac:dyDescent="0.2">
      <c r="J2860" s="2"/>
      <c r="K2860" s="2"/>
      <c r="L2860" s="2"/>
      <c r="M2860" s="2"/>
      <c r="N2860" s="2"/>
      <c r="O2860" s="2"/>
      <c r="P2860" s="2"/>
      <c r="Q2860" s="2"/>
      <c r="R2860" s="2"/>
      <c r="S2860" s="2"/>
    </row>
    <row r="2861" spans="10:19" x14ac:dyDescent="0.2">
      <c r="J2861" s="2"/>
      <c r="K2861" s="2"/>
      <c r="L2861" s="2"/>
      <c r="M2861" s="2"/>
      <c r="N2861" s="2"/>
      <c r="O2861" s="2"/>
      <c r="P2861" s="2"/>
      <c r="Q2861" s="2"/>
      <c r="R2861" s="2"/>
      <c r="S2861" s="2"/>
    </row>
    <row r="2862" spans="10:19" x14ac:dyDescent="0.2">
      <c r="J2862" s="2"/>
      <c r="K2862" s="2"/>
      <c r="L2862" s="2"/>
      <c r="M2862" s="2"/>
      <c r="N2862" s="2"/>
      <c r="O2862" s="2"/>
      <c r="P2862" s="2"/>
      <c r="Q2862" s="2"/>
      <c r="R2862" s="2"/>
      <c r="S2862" s="2"/>
    </row>
    <row r="2863" spans="10:19" x14ac:dyDescent="0.2">
      <c r="J2863" s="2"/>
      <c r="K2863" s="2"/>
      <c r="L2863" s="2"/>
      <c r="M2863" s="2"/>
      <c r="N2863" s="2"/>
      <c r="O2863" s="2"/>
      <c r="P2863" s="2"/>
      <c r="Q2863" s="2"/>
      <c r="R2863" s="2"/>
      <c r="S2863" s="2"/>
    </row>
    <row r="2864" spans="10:19" x14ac:dyDescent="0.2">
      <c r="J2864" s="2"/>
      <c r="K2864" s="2"/>
      <c r="L2864" s="2"/>
      <c r="M2864" s="2"/>
      <c r="N2864" s="2"/>
      <c r="O2864" s="2"/>
      <c r="P2864" s="2"/>
      <c r="Q2864" s="2"/>
      <c r="R2864" s="2"/>
      <c r="S2864" s="2"/>
    </row>
    <row r="2865" spans="10:19" x14ac:dyDescent="0.2">
      <c r="J2865" s="2"/>
      <c r="K2865" s="2"/>
      <c r="L2865" s="2"/>
      <c r="M2865" s="2"/>
      <c r="N2865" s="2"/>
      <c r="O2865" s="2"/>
      <c r="P2865" s="2"/>
      <c r="Q2865" s="2"/>
      <c r="R2865" s="2"/>
      <c r="S2865" s="2"/>
    </row>
    <row r="2866" spans="10:19" x14ac:dyDescent="0.2">
      <c r="J2866" s="2"/>
      <c r="K2866" s="2"/>
      <c r="L2866" s="2"/>
      <c r="M2866" s="2"/>
      <c r="N2866" s="2"/>
      <c r="O2866" s="2"/>
      <c r="P2866" s="2"/>
      <c r="Q2866" s="2"/>
      <c r="R2866" s="2"/>
      <c r="S2866" s="2"/>
    </row>
    <row r="2867" spans="10:19" x14ac:dyDescent="0.2">
      <c r="J2867" s="2"/>
      <c r="K2867" s="2"/>
      <c r="L2867" s="2"/>
      <c r="M2867" s="2"/>
      <c r="N2867" s="2"/>
      <c r="O2867" s="2"/>
      <c r="P2867" s="2"/>
      <c r="Q2867" s="2"/>
      <c r="R2867" s="2"/>
      <c r="S2867" s="2"/>
    </row>
    <row r="2868" spans="10:19" x14ac:dyDescent="0.2">
      <c r="J2868" s="2"/>
      <c r="K2868" s="2"/>
      <c r="L2868" s="2"/>
      <c r="M2868" s="2"/>
      <c r="N2868" s="2"/>
      <c r="O2868" s="2"/>
      <c r="P2868" s="2"/>
      <c r="Q2868" s="2"/>
      <c r="R2868" s="2"/>
      <c r="S2868" s="2"/>
    </row>
    <row r="2869" spans="10:19" x14ac:dyDescent="0.2">
      <c r="J2869" s="2"/>
      <c r="K2869" s="2"/>
      <c r="L2869" s="2"/>
      <c r="M2869" s="2"/>
      <c r="N2869" s="2"/>
      <c r="O2869" s="2"/>
      <c r="P2869" s="2"/>
      <c r="Q2869" s="2"/>
      <c r="R2869" s="2"/>
      <c r="S2869" s="2"/>
    </row>
    <row r="2870" spans="10:19" x14ac:dyDescent="0.2">
      <c r="J2870" s="2"/>
      <c r="K2870" s="2"/>
      <c r="L2870" s="2"/>
      <c r="M2870" s="2"/>
      <c r="N2870" s="2"/>
      <c r="O2870" s="2"/>
      <c r="P2870" s="2"/>
      <c r="Q2870" s="2"/>
      <c r="R2870" s="2"/>
      <c r="S2870" s="2"/>
    </row>
    <row r="2871" spans="10:19" x14ac:dyDescent="0.2">
      <c r="J2871" s="2"/>
      <c r="K2871" s="2"/>
      <c r="L2871" s="2"/>
      <c r="M2871" s="2"/>
      <c r="N2871" s="2"/>
      <c r="O2871" s="2"/>
      <c r="P2871" s="2"/>
      <c r="Q2871" s="2"/>
      <c r="R2871" s="2"/>
      <c r="S2871" s="2"/>
    </row>
    <row r="2872" spans="10:19" x14ac:dyDescent="0.2">
      <c r="J2872" s="2"/>
      <c r="K2872" s="2"/>
      <c r="L2872" s="2"/>
      <c r="M2872" s="2"/>
      <c r="N2872" s="2"/>
      <c r="O2872" s="2"/>
      <c r="P2872" s="2"/>
      <c r="Q2872" s="2"/>
      <c r="R2872" s="2"/>
      <c r="S2872" s="2"/>
    </row>
    <row r="2873" spans="10:19" x14ac:dyDescent="0.2">
      <c r="J2873" s="2"/>
      <c r="K2873" s="2"/>
      <c r="L2873" s="2"/>
      <c r="M2873" s="2"/>
      <c r="N2873" s="2"/>
      <c r="O2873" s="2"/>
      <c r="P2873" s="2"/>
      <c r="Q2873" s="2"/>
      <c r="R2873" s="2"/>
      <c r="S2873" s="2"/>
    </row>
    <row r="2874" spans="10:19" x14ac:dyDescent="0.2">
      <c r="J2874" s="2"/>
      <c r="K2874" s="2"/>
      <c r="L2874" s="2"/>
      <c r="M2874" s="2"/>
      <c r="N2874" s="2"/>
      <c r="O2874" s="2"/>
      <c r="P2874" s="2"/>
      <c r="Q2874" s="2"/>
      <c r="R2874" s="2"/>
      <c r="S2874" s="2"/>
    </row>
    <row r="2875" spans="10:19" x14ac:dyDescent="0.2">
      <c r="J2875" s="2"/>
      <c r="K2875" s="2"/>
      <c r="L2875" s="2"/>
      <c r="M2875" s="2"/>
      <c r="N2875" s="2"/>
      <c r="O2875" s="2"/>
      <c r="P2875" s="2"/>
      <c r="Q2875" s="2"/>
      <c r="R2875" s="2"/>
      <c r="S2875" s="2"/>
    </row>
    <row r="2876" spans="10:19" x14ac:dyDescent="0.2">
      <c r="J2876" s="2"/>
      <c r="K2876" s="2"/>
      <c r="L2876" s="2"/>
      <c r="M2876" s="2"/>
      <c r="N2876" s="2"/>
      <c r="O2876" s="2"/>
      <c r="P2876" s="2"/>
      <c r="Q2876" s="2"/>
      <c r="R2876" s="2"/>
      <c r="S2876" s="2"/>
    </row>
    <row r="2877" spans="10:19" x14ac:dyDescent="0.2">
      <c r="J2877" s="2"/>
      <c r="K2877" s="2"/>
      <c r="L2877" s="2"/>
      <c r="M2877" s="2"/>
      <c r="N2877" s="2"/>
      <c r="O2877" s="2"/>
      <c r="P2877" s="2"/>
      <c r="Q2877" s="2"/>
      <c r="R2877" s="2"/>
      <c r="S2877" s="2"/>
    </row>
    <row r="2878" spans="10:19" x14ac:dyDescent="0.2">
      <c r="J2878" s="2"/>
      <c r="K2878" s="2"/>
      <c r="L2878" s="2"/>
      <c r="M2878" s="2"/>
      <c r="N2878" s="2"/>
      <c r="O2878" s="2"/>
      <c r="P2878" s="2"/>
      <c r="Q2878" s="2"/>
      <c r="R2878" s="2"/>
      <c r="S2878" s="2"/>
    </row>
    <row r="2879" spans="10:19" x14ac:dyDescent="0.2">
      <c r="J2879" s="2"/>
      <c r="K2879" s="2"/>
      <c r="L2879" s="2"/>
      <c r="M2879" s="2"/>
      <c r="N2879" s="2"/>
      <c r="O2879" s="2"/>
      <c r="P2879" s="2"/>
      <c r="Q2879" s="2"/>
      <c r="R2879" s="2"/>
      <c r="S2879" s="2"/>
    </row>
    <row r="2880" spans="10:19" x14ac:dyDescent="0.2">
      <c r="J2880" s="2"/>
      <c r="K2880" s="2"/>
      <c r="L2880" s="2"/>
      <c r="M2880" s="2"/>
      <c r="N2880" s="2"/>
      <c r="O2880" s="2"/>
      <c r="P2880" s="2"/>
      <c r="Q2880" s="2"/>
      <c r="R2880" s="2"/>
      <c r="S2880" s="2"/>
    </row>
    <row r="2881" spans="10:19" x14ac:dyDescent="0.2">
      <c r="J2881" s="2"/>
      <c r="K2881" s="2"/>
      <c r="L2881" s="2"/>
      <c r="M2881" s="2"/>
      <c r="N2881" s="2"/>
      <c r="O2881" s="2"/>
      <c r="P2881" s="2"/>
      <c r="Q2881" s="2"/>
      <c r="R2881" s="2"/>
      <c r="S2881" s="2"/>
    </row>
    <row r="2882" spans="10:19" x14ac:dyDescent="0.2">
      <c r="J2882" s="2"/>
      <c r="K2882" s="2"/>
      <c r="L2882" s="2"/>
      <c r="M2882" s="2"/>
      <c r="N2882" s="2"/>
      <c r="O2882" s="2"/>
      <c r="P2882" s="2"/>
      <c r="Q2882" s="2"/>
      <c r="R2882" s="2"/>
      <c r="S2882" s="2"/>
    </row>
    <row r="2883" spans="10:19" x14ac:dyDescent="0.2">
      <c r="J2883" s="2"/>
      <c r="K2883" s="2"/>
      <c r="L2883" s="2"/>
      <c r="M2883" s="2"/>
      <c r="N2883" s="2"/>
      <c r="O2883" s="2"/>
      <c r="P2883" s="2"/>
      <c r="Q2883" s="2"/>
      <c r="R2883" s="2"/>
      <c r="S2883" s="2"/>
    </row>
    <row r="2884" spans="10:19" x14ac:dyDescent="0.2">
      <c r="J2884" s="2"/>
      <c r="K2884" s="2"/>
      <c r="L2884" s="2"/>
      <c r="M2884" s="2"/>
      <c r="N2884" s="2"/>
      <c r="O2884" s="2"/>
      <c r="P2884" s="2"/>
      <c r="Q2884" s="2"/>
      <c r="R2884" s="2"/>
      <c r="S2884" s="2"/>
    </row>
    <row r="2885" spans="10:19" x14ac:dyDescent="0.2">
      <c r="J2885" s="2"/>
      <c r="K2885" s="2"/>
      <c r="L2885" s="2"/>
      <c r="M2885" s="2"/>
      <c r="N2885" s="2"/>
      <c r="O2885" s="2"/>
      <c r="P2885" s="2"/>
      <c r="Q2885" s="2"/>
      <c r="R2885" s="2"/>
      <c r="S2885" s="2"/>
    </row>
    <row r="2886" spans="10:19" x14ac:dyDescent="0.2">
      <c r="J2886" s="2"/>
      <c r="K2886" s="2"/>
      <c r="L2886" s="2"/>
      <c r="M2886" s="2"/>
      <c r="N2886" s="2"/>
      <c r="O2886" s="2"/>
      <c r="P2886" s="2"/>
      <c r="Q2886" s="2"/>
      <c r="R2886" s="2"/>
      <c r="S2886" s="2"/>
    </row>
    <row r="2887" spans="10:19" x14ac:dyDescent="0.2">
      <c r="J2887" s="2"/>
      <c r="K2887" s="2"/>
      <c r="L2887" s="2"/>
      <c r="M2887" s="2"/>
      <c r="N2887" s="2"/>
      <c r="O2887" s="2"/>
      <c r="P2887" s="2"/>
      <c r="Q2887" s="2"/>
      <c r="R2887" s="2"/>
      <c r="S2887" s="2"/>
    </row>
    <row r="2888" spans="10:19" x14ac:dyDescent="0.2">
      <c r="J2888" s="2"/>
      <c r="K2888" s="2"/>
      <c r="L2888" s="2"/>
      <c r="M2888" s="2"/>
      <c r="N2888" s="2"/>
      <c r="O2888" s="2"/>
      <c r="P2888" s="2"/>
      <c r="Q2888" s="2"/>
      <c r="R2888" s="2"/>
      <c r="S2888" s="2"/>
    </row>
    <row r="2889" spans="10:19" x14ac:dyDescent="0.2">
      <c r="J2889" s="2"/>
      <c r="K2889" s="2"/>
      <c r="L2889" s="2"/>
      <c r="M2889" s="2"/>
      <c r="N2889" s="2"/>
      <c r="O2889" s="2"/>
      <c r="P2889" s="2"/>
      <c r="Q2889" s="2"/>
      <c r="R2889" s="2"/>
      <c r="S2889" s="2"/>
    </row>
    <row r="2890" spans="10:19" x14ac:dyDescent="0.2">
      <c r="J2890" s="2"/>
      <c r="K2890" s="2"/>
      <c r="L2890" s="2"/>
      <c r="M2890" s="2"/>
      <c r="N2890" s="2"/>
      <c r="O2890" s="2"/>
      <c r="P2890" s="2"/>
      <c r="Q2890" s="2"/>
      <c r="R2890" s="2"/>
      <c r="S2890" s="2"/>
    </row>
    <row r="2891" spans="10:19" x14ac:dyDescent="0.2">
      <c r="J2891" s="2"/>
      <c r="K2891" s="2"/>
      <c r="L2891" s="2"/>
      <c r="M2891" s="2"/>
      <c r="N2891" s="2"/>
      <c r="O2891" s="2"/>
      <c r="P2891" s="2"/>
      <c r="Q2891" s="2"/>
      <c r="R2891" s="2"/>
      <c r="S2891" s="2"/>
    </row>
    <row r="2892" spans="10:19" x14ac:dyDescent="0.2">
      <c r="J2892" s="2"/>
      <c r="K2892" s="2"/>
      <c r="L2892" s="2"/>
      <c r="M2892" s="2"/>
      <c r="N2892" s="2"/>
      <c r="O2892" s="2"/>
      <c r="P2892" s="2"/>
      <c r="Q2892" s="2"/>
      <c r="R2892" s="2"/>
      <c r="S2892" s="2"/>
    </row>
    <row r="2893" spans="10:19" x14ac:dyDescent="0.2">
      <c r="J2893" s="2"/>
      <c r="K2893" s="2"/>
      <c r="L2893" s="2"/>
      <c r="M2893" s="2"/>
      <c r="N2893" s="2"/>
      <c r="O2893" s="2"/>
      <c r="P2893" s="2"/>
      <c r="Q2893" s="2"/>
      <c r="R2893" s="2"/>
      <c r="S2893" s="2"/>
    </row>
    <row r="2894" spans="10:19" x14ac:dyDescent="0.2">
      <c r="J2894" s="2"/>
      <c r="K2894" s="2"/>
      <c r="L2894" s="2"/>
      <c r="M2894" s="2"/>
      <c r="N2894" s="2"/>
      <c r="O2894" s="2"/>
      <c r="P2894" s="2"/>
      <c r="Q2894" s="2"/>
      <c r="R2894" s="2"/>
      <c r="S2894" s="2"/>
    </row>
    <row r="2895" spans="10:19" x14ac:dyDescent="0.2">
      <c r="J2895" s="2"/>
      <c r="K2895" s="2"/>
      <c r="L2895" s="2"/>
      <c r="M2895" s="2"/>
      <c r="N2895" s="2"/>
      <c r="O2895" s="2"/>
      <c r="P2895" s="2"/>
      <c r="Q2895" s="2"/>
      <c r="R2895" s="2"/>
      <c r="S2895" s="2"/>
    </row>
    <row r="2896" spans="10:19" x14ac:dyDescent="0.2">
      <c r="J2896" s="2"/>
      <c r="K2896" s="2"/>
      <c r="L2896" s="2"/>
      <c r="M2896" s="2"/>
      <c r="N2896" s="2"/>
      <c r="O2896" s="2"/>
      <c r="P2896" s="2"/>
      <c r="Q2896" s="2"/>
      <c r="R2896" s="2"/>
      <c r="S2896" s="2"/>
    </row>
    <row r="2897" spans="10:19" x14ac:dyDescent="0.2">
      <c r="J2897" s="2"/>
      <c r="K2897" s="2"/>
      <c r="L2897" s="2"/>
      <c r="M2897" s="2"/>
      <c r="N2897" s="2"/>
      <c r="O2897" s="2"/>
      <c r="P2897" s="2"/>
      <c r="Q2897" s="2"/>
      <c r="R2897" s="2"/>
      <c r="S2897" s="2"/>
    </row>
    <row r="2898" spans="10:19" x14ac:dyDescent="0.2">
      <c r="J2898" s="2"/>
      <c r="K2898" s="2"/>
      <c r="L2898" s="2"/>
      <c r="M2898" s="2"/>
      <c r="N2898" s="2"/>
      <c r="O2898" s="2"/>
      <c r="P2898" s="2"/>
      <c r="Q2898" s="2"/>
      <c r="R2898" s="2"/>
      <c r="S2898" s="2"/>
    </row>
    <row r="2899" spans="10:19" x14ac:dyDescent="0.2">
      <c r="J2899" s="2"/>
      <c r="K2899" s="2"/>
      <c r="L2899" s="2"/>
      <c r="M2899" s="2"/>
      <c r="N2899" s="2"/>
      <c r="O2899" s="2"/>
      <c r="P2899" s="2"/>
      <c r="Q2899" s="2"/>
      <c r="R2899" s="2"/>
      <c r="S2899" s="2"/>
    </row>
    <row r="2900" spans="10:19" x14ac:dyDescent="0.2">
      <c r="J2900" s="2"/>
      <c r="K2900" s="2"/>
      <c r="L2900" s="2"/>
      <c r="M2900" s="2"/>
      <c r="N2900" s="2"/>
      <c r="O2900" s="2"/>
      <c r="P2900" s="2"/>
      <c r="Q2900" s="2"/>
      <c r="R2900" s="2"/>
      <c r="S2900" s="2"/>
    </row>
    <row r="2901" spans="10:19" x14ac:dyDescent="0.2">
      <c r="J2901" s="2"/>
      <c r="K2901" s="2"/>
      <c r="L2901" s="2"/>
      <c r="M2901" s="2"/>
      <c r="N2901" s="2"/>
      <c r="O2901" s="2"/>
      <c r="P2901" s="2"/>
      <c r="Q2901" s="2"/>
      <c r="R2901" s="2"/>
      <c r="S2901" s="2"/>
    </row>
    <row r="2902" spans="10:19" x14ac:dyDescent="0.2">
      <c r="J2902" s="2"/>
      <c r="K2902" s="2"/>
      <c r="L2902" s="2"/>
      <c r="M2902" s="2"/>
      <c r="N2902" s="2"/>
      <c r="O2902" s="2"/>
      <c r="P2902" s="2"/>
      <c r="Q2902" s="2"/>
      <c r="R2902" s="2"/>
      <c r="S2902" s="2"/>
    </row>
    <row r="2903" spans="10:19" x14ac:dyDescent="0.2">
      <c r="J2903" s="2"/>
      <c r="K2903" s="2"/>
      <c r="L2903" s="2"/>
      <c r="M2903" s="2"/>
      <c r="N2903" s="2"/>
      <c r="O2903" s="2"/>
      <c r="P2903" s="2"/>
      <c r="Q2903" s="2"/>
      <c r="R2903" s="2"/>
      <c r="S2903" s="2"/>
    </row>
    <row r="2904" spans="10:19" x14ac:dyDescent="0.2">
      <c r="J2904" s="2"/>
      <c r="K2904" s="2"/>
      <c r="L2904" s="2"/>
      <c r="M2904" s="2"/>
      <c r="N2904" s="2"/>
      <c r="O2904" s="2"/>
      <c r="P2904" s="2"/>
      <c r="Q2904" s="2"/>
      <c r="R2904" s="2"/>
      <c r="S2904" s="2"/>
    </row>
    <row r="2905" spans="10:19" x14ac:dyDescent="0.2">
      <c r="J2905" s="2"/>
      <c r="K2905" s="2"/>
      <c r="L2905" s="2"/>
      <c r="M2905" s="2"/>
      <c r="N2905" s="2"/>
      <c r="O2905" s="2"/>
      <c r="P2905" s="2"/>
      <c r="Q2905" s="2"/>
      <c r="R2905" s="2"/>
      <c r="S2905" s="2"/>
    </row>
    <row r="2906" spans="10:19" x14ac:dyDescent="0.2">
      <c r="J2906" s="2"/>
      <c r="K2906" s="2"/>
      <c r="L2906" s="2"/>
      <c r="M2906" s="2"/>
      <c r="N2906" s="2"/>
      <c r="O2906" s="2"/>
      <c r="P2906" s="2"/>
      <c r="Q2906" s="2"/>
      <c r="R2906" s="2"/>
      <c r="S2906" s="2"/>
    </row>
    <row r="2907" spans="10:19" x14ac:dyDescent="0.2">
      <c r="J2907" s="2"/>
      <c r="K2907" s="2"/>
      <c r="L2907" s="2"/>
      <c r="M2907" s="2"/>
      <c r="N2907" s="2"/>
      <c r="O2907" s="2"/>
      <c r="P2907" s="2"/>
      <c r="Q2907" s="2"/>
      <c r="R2907" s="2"/>
      <c r="S2907" s="2"/>
    </row>
    <row r="2908" spans="10:19" x14ac:dyDescent="0.2">
      <c r="J2908" s="2"/>
      <c r="K2908" s="2"/>
      <c r="L2908" s="2"/>
      <c r="M2908" s="2"/>
      <c r="N2908" s="2"/>
      <c r="O2908" s="2"/>
      <c r="P2908" s="2"/>
      <c r="Q2908" s="2"/>
      <c r="R2908" s="2"/>
      <c r="S2908" s="2"/>
    </row>
    <row r="2909" spans="10:19" x14ac:dyDescent="0.2">
      <c r="J2909" s="2"/>
      <c r="K2909" s="2"/>
      <c r="L2909" s="2"/>
      <c r="M2909" s="2"/>
      <c r="N2909" s="2"/>
      <c r="O2909" s="2"/>
      <c r="P2909" s="2"/>
      <c r="Q2909" s="2"/>
      <c r="R2909" s="2"/>
      <c r="S2909" s="2"/>
    </row>
    <row r="2910" spans="10:19" x14ac:dyDescent="0.2">
      <c r="J2910" s="2"/>
      <c r="K2910" s="2"/>
      <c r="L2910" s="2"/>
      <c r="M2910" s="2"/>
      <c r="N2910" s="2"/>
      <c r="O2910" s="2"/>
      <c r="P2910" s="2"/>
      <c r="Q2910" s="2"/>
      <c r="R2910" s="2"/>
      <c r="S2910" s="2"/>
    </row>
    <row r="2911" spans="10:19" x14ac:dyDescent="0.2">
      <c r="J2911" s="2"/>
      <c r="K2911" s="2"/>
      <c r="L2911" s="2"/>
      <c r="M2911" s="2"/>
      <c r="N2911" s="2"/>
      <c r="O2911" s="2"/>
      <c r="P2911" s="2"/>
      <c r="Q2911" s="2"/>
      <c r="R2911" s="2"/>
      <c r="S2911" s="2"/>
    </row>
    <row r="2912" spans="10:19" x14ac:dyDescent="0.2">
      <c r="J2912" s="2"/>
      <c r="K2912" s="2"/>
      <c r="L2912" s="2"/>
      <c r="M2912" s="2"/>
      <c r="N2912" s="2"/>
      <c r="O2912" s="2"/>
      <c r="P2912" s="2"/>
      <c r="Q2912" s="2"/>
      <c r="R2912" s="2"/>
      <c r="S2912" s="2"/>
    </row>
    <row r="2913" spans="10:19" x14ac:dyDescent="0.2">
      <c r="J2913" s="2"/>
      <c r="K2913" s="2"/>
      <c r="L2913" s="2"/>
      <c r="M2913" s="2"/>
      <c r="N2913" s="2"/>
      <c r="O2913" s="2"/>
      <c r="P2913" s="2"/>
      <c r="Q2913" s="2"/>
      <c r="R2913" s="2"/>
      <c r="S2913" s="2"/>
    </row>
    <row r="2914" spans="10:19" x14ac:dyDescent="0.2">
      <c r="J2914" s="2"/>
      <c r="K2914" s="2"/>
      <c r="L2914" s="2"/>
      <c r="M2914" s="2"/>
      <c r="N2914" s="2"/>
      <c r="O2914" s="2"/>
      <c r="P2914" s="2"/>
      <c r="Q2914" s="2"/>
      <c r="R2914" s="2"/>
      <c r="S2914" s="2"/>
    </row>
    <row r="2915" spans="10:19" x14ac:dyDescent="0.2">
      <c r="J2915" s="2"/>
      <c r="K2915" s="2"/>
      <c r="L2915" s="2"/>
      <c r="M2915" s="2"/>
      <c r="N2915" s="2"/>
      <c r="O2915" s="2"/>
      <c r="P2915" s="2"/>
      <c r="Q2915" s="2"/>
      <c r="R2915" s="2"/>
      <c r="S2915" s="2"/>
    </row>
    <row r="2916" spans="10:19" x14ac:dyDescent="0.2">
      <c r="J2916" s="2"/>
      <c r="K2916" s="2"/>
      <c r="L2916" s="2"/>
      <c r="M2916" s="2"/>
      <c r="N2916" s="2"/>
      <c r="O2916" s="2"/>
      <c r="P2916" s="2"/>
      <c r="Q2916" s="2"/>
      <c r="R2916" s="2"/>
      <c r="S2916" s="2"/>
    </row>
    <row r="2917" spans="10:19" x14ac:dyDescent="0.2">
      <c r="J2917" s="2"/>
      <c r="K2917" s="2"/>
      <c r="L2917" s="2"/>
      <c r="M2917" s="2"/>
      <c r="N2917" s="2"/>
      <c r="O2917" s="2"/>
      <c r="P2917" s="2"/>
      <c r="Q2917" s="2"/>
      <c r="R2917" s="2"/>
      <c r="S2917" s="2"/>
    </row>
    <row r="2918" spans="10:19" x14ac:dyDescent="0.2">
      <c r="J2918" s="2"/>
      <c r="K2918" s="2"/>
      <c r="L2918" s="2"/>
      <c r="M2918" s="2"/>
      <c r="N2918" s="2"/>
      <c r="O2918" s="2"/>
      <c r="P2918" s="2"/>
      <c r="Q2918" s="2"/>
      <c r="R2918" s="2"/>
      <c r="S2918" s="2"/>
    </row>
    <row r="2919" spans="10:19" x14ac:dyDescent="0.2">
      <c r="J2919" s="2"/>
      <c r="K2919" s="2"/>
      <c r="L2919" s="2"/>
      <c r="M2919" s="2"/>
      <c r="N2919" s="2"/>
      <c r="O2919" s="2"/>
      <c r="P2919" s="2"/>
      <c r="Q2919" s="2"/>
      <c r="R2919" s="2"/>
      <c r="S2919" s="2"/>
    </row>
    <row r="2920" spans="10:19" x14ac:dyDescent="0.2">
      <c r="J2920" s="2"/>
      <c r="K2920" s="2"/>
      <c r="L2920" s="2"/>
      <c r="M2920" s="2"/>
      <c r="N2920" s="2"/>
      <c r="O2920" s="2"/>
      <c r="P2920" s="2"/>
      <c r="Q2920" s="2"/>
      <c r="R2920" s="2"/>
      <c r="S2920" s="2"/>
    </row>
    <row r="2921" spans="10:19" x14ac:dyDescent="0.2">
      <c r="J2921" s="2"/>
      <c r="K2921" s="2"/>
      <c r="L2921" s="2"/>
      <c r="M2921" s="2"/>
      <c r="N2921" s="2"/>
      <c r="O2921" s="2"/>
      <c r="P2921" s="2"/>
      <c r="Q2921" s="2"/>
      <c r="R2921" s="2"/>
      <c r="S2921" s="2"/>
    </row>
    <row r="2922" spans="10:19" x14ac:dyDescent="0.2">
      <c r="J2922" s="2"/>
      <c r="K2922" s="2"/>
      <c r="L2922" s="2"/>
      <c r="M2922" s="2"/>
      <c r="N2922" s="2"/>
      <c r="O2922" s="2"/>
      <c r="P2922" s="2"/>
      <c r="Q2922" s="2"/>
      <c r="R2922" s="2"/>
      <c r="S2922" s="2"/>
    </row>
    <row r="2923" spans="10:19" x14ac:dyDescent="0.2">
      <c r="J2923" s="2"/>
      <c r="K2923" s="2"/>
      <c r="L2923" s="2"/>
      <c r="M2923" s="2"/>
      <c r="N2923" s="2"/>
      <c r="O2923" s="2"/>
      <c r="P2923" s="2"/>
      <c r="Q2923" s="2"/>
      <c r="R2923" s="2"/>
      <c r="S2923" s="2"/>
    </row>
    <row r="2924" spans="10:19" x14ac:dyDescent="0.2">
      <c r="J2924" s="2"/>
      <c r="K2924" s="2"/>
      <c r="L2924" s="2"/>
      <c r="M2924" s="2"/>
      <c r="N2924" s="2"/>
      <c r="O2924" s="2"/>
      <c r="P2924" s="2"/>
      <c r="Q2924" s="2"/>
      <c r="R2924" s="2"/>
      <c r="S2924" s="2"/>
    </row>
    <row r="2925" spans="10:19" x14ac:dyDescent="0.2">
      <c r="J2925" s="2"/>
      <c r="K2925" s="2"/>
      <c r="L2925" s="2"/>
      <c r="M2925" s="2"/>
      <c r="N2925" s="2"/>
      <c r="O2925" s="2"/>
      <c r="P2925" s="2"/>
      <c r="Q2925" s="2"/>
      <c r="R2925" s="2"/>
      <c r="S2925" s="2"/>
    </row>
    <row r="2926" spans="10:19" x14ac:dyDescent="0.2">
      <c r="J2926" s="2"/>
      <c r="K2926" s="2"/>
      <c r="L2926" s="2"/>
      <c r="M2926" s="2"/>
      <c r="N2926" s="2"/>
      <c r="O2926" s="2"/>
      <c r="P2926" s="2"/>
      <c r="Q2926" s="2"/>
      <c r="R2926" s="2"/>
      <c r="S2926" s="2"/>
    </row>
    <row r="2927" spans="10:19" x14ac:dyDescent="0.2">
      <c r="J2927" s="2"/>
      <c r="K2927" s="2"/>
      <c r="L2927" s="2"/>
      <c r="M2927" s="2"/>
      <c r="N2927" s="2"/>
      <c r="O2927" s="2"/>
      <c r="P2927" s="2"/>
      <c r="Q2927" s="2"/>
      <c r="R2927" s="2"/>
      <c r="S2927" s="2"/>
    </row>
    <row r="2928" spans="10:19" x14ac:dyDescent="0.2">
      <c r="J2928" s="2"/>
      <c r="K2928" s="2"/>
      <c r="L2928" s="2"/>
      <c r="M2928" s="2"/>
      <c r="N2928" s="2"/>
      <c r="O2928" s="2"/>
      <c r="P2928" s="2"/>
      <c r="Q2928" s="2"/>
      <c r="R2928" s="2"/>
      <c r="S2928" s="2"/>
    </row>
    <row r="2929" spans="10:19" x14ac:dyDescent="0.2">
      <c r="J2929" s="2"/>
      <c r="K2929" s="2"/>
      <c r="L2929" s="2"/>
      <c r="M2929" s="2"/>
      <c r="N2929" s="2"/>
      <c r="O2929" s="2"/>
      <c r="P2929" s="2"/>
      <c r="Q2929" s="2"/>
      <c r="R2929" s="2"/>
      <c r="S2929" s="2"/>
    </row>
    <row r="2930" spans="10:19" x14ac:dyDescent="0.2">
      <c r="J2930" s="2"/>
      <c r="K2930" s="2"/>
      <c r="L2930" s="2"/>
      <c r="M2930" s="2"/>
      <c r="N2930" s="2"/>
      <c r="O2930" s="2"/>
      <c r="P2930" s="2"/>
      <c r="Q2930" s="2"/>
      <c r="R2930" s="2"/>
      <c r="S2930" s="2"/>
    </row>
    <row r="2931" spans="10:19" x14ac:dyDescent="0.2">
      <c r="J2931" s="2"/>
      <c r="K2931" s="2"/>
      <c r="L2931" s="2"/>
      <c r="M2931" s="2"/>
      <c r="N2931" s="2"/>
      <c r="O2931" s="2"/>
      <c r="P2931" s="2"/>
      <c r="Q2931" s="2"/>
      <c r="R2931" s="2"/>
      <c r="S2931" s="2"/>
    </row>
    <row r="2932" spans="10:19" x14ac:dyDescent="0.2">
      <c r="J2932" s="2"/>
      <c r="K2932" s="2"/>
      <c r="L2932" s="2"/>
      <c r="M2932" s="2"/>
      <c r="N2932" s="2"/>
      <c r="O2932" s="2"/>
      <c r="P2932" s="2"/>
      <c r="Q2932" s="2"/>
      <c r="R2932" s="2"/>
      <c r="S2932" s="2"/>
    </row>
    <row r="2933" spans="10:19" x14ac:dyDescent="0.2">
      <c r="J2933" s="2"/>
      <c r="K2933" s="2"/>
      <c r="L2933" s="2"/>
      <c r="M2933" s="2"/>
      <c r="N2933" s="2"/>
      <c r="O2933" s="2"/>
      <c r="P2933" s="2"/>
      <c r="Q2933" s="2"/>
      <c r="R2933" s="2"/>
      <c r="S2933" s="2"/>
    </row>
    <row r="2934" spans="10:19" x14ac:dyDescent="0.2">
      <c r="J2934" s="2"/>
      <c r="K2934" s="2"/>
      <c r="L2934" s="2"/>
      <c r="M2934" s="2"/>
      <c r="N2934" s="2"/>
      <c r="O2934" s="2"/>
      <c r="P2934" s="2"/>
      <c r="Q2934" s="2"/>
      <c r="R2934" s="2"/>
      <c r="S2934" s="2"/>
    </row>
    <row r="2935" spans="10:19" x14ac:dyDescent="0.2">
      <c r="J2935" s="2"/>
      <c r="K2935" s="2"/>
      <c r="L2935" s="2"/>
      <c r="M2935" s="2"/>
      <c r="N2935" s="2"/>
      <c r="O2935" s="2"/>
      <c r="P2935" s="2"/>
      <c r="Q2935" s="2"/>
      <c r="R2935" s="2"/>
      <c r="S2935" s="2"/>
    </row>
    <row r="2936" spans="10:19" x14ac:dyDescent="0.2">
      <c r="J2936" s="2"/>
      <c r="K2936" s="2"/>
      <c r="L2936" s="2"/>
      <c r="M2936" s="2"/>
      <c r="N2936" s="2"/>
      <c r="O2936" s="2"/>
      <c r="P2936" s="2"/>
      <c r="Q2936" s="2"/>
      <c r="R2936" s="2"/>
      <c r="S2936" s="2"/>
    </row>
    <row r="2937" spans="10:19" x14ac:dyDescent="0.2">
      <c r="J2937" s="2"/>
      <c r="K2937" s="2"/>
      <c r="L2937" s="2"/>
      <c r="M2937" s="2"/>
      <c r="N2937" s="2"/>
      <c r="O2937" s="2"/>
      <c r="P2937" s="2"/>
      <c r="Q2937" s="2"/>
      <c r="R2937" s="2"/>
      <c r="S2937" s="2"/>
    </row>
    <row r="2938" spans="10:19" x14ac:dyDescent="0.2">
      <c r="J2938" s="2"/>
      <c r="K2938" s="2"/>
      <c r="L2938" s="2"/>
      <c r="M2938" s="2"/>
      <c r="N2938" s="2"/>
      <c r="O2938" s="2"/>
      <c r="P2938" s="2"/>
      <c r="Q2938" s="2"/>
      <c r="R2938" s="2"/>
      <c r="S2938" s="2"/>
    </row>
    <row r="2939" spans="10:19" x14ac:dyDescent="0.2">
      <c r="J2939" s="2"/>
      <c r="K2939" s="2"/>
      <c r="L2939" s="2"/>
      <c r="M2939" s="2"/>
      <c r="N2939" s="2"/>
      <c r="O2939" s="2"/>
      <c r="P2939" s="2"/>
      <c r="Q2939" s="2"/>
      <c r="R2939" s="2"/>
      <c r="S2939" s="2"/>
    </row>
    <row r="2940" spans="10:19" x14ac:dyDescent="0.2">
      <c r="J2940" s="2"/>
      <c r="K2940" s="2"/>
      <c r="L2940" s="2"/>
      <c r="M2940" s="2"/>
      <c r="N2940" s="2"/>
      <c r="O2940" s="2"/>
      <c r="P2940" s="2"/>
      <c r="Q2940" s="2"/>
      <c r="R2940" s="2"/>
      <c r="S2940" s="2"/>
    </row>
    <row r="2941" spans="10:19" x14ac:dyDescent="0.2">
      <c r="J2941" s="2"/>
      <c r="K2941" s="2"/>
      <c r="L2941" s="2"/>
      <c r="M2941" s="2"/>
      <c r="N2941" s="2"/>
      <c r="O2941" s="2"/>
      <c r="P2941" s="2"/>
      <c r="Q2941" s="2"/>
      <c r="R2941" s="2"/>
      <c r="S2941" s="2"/>
    </row>
    <row r="2942" spans="10:19" x14ac:dyDescent="0.2">
      <c r="J2942" s="2"/>
      <c r="K2942" s="2"/>
      <c r="L2942" s="2"/>
      <c r="M2942" s="2"/>
      <c r="N2942" s="2"/>
      <c r="O2942" s="2"/>
      <c r="P2942" s="2"/>
      <c r="Q2942" s="2"/>
      <c r="R2942" s="2"/>
      <c r="S2942" s="2"/>
    </row>
    <row r="2943" spans="10:19" x14ac:dyDescent="0.2">
      <c r="J2943" s="2"/>
      <c r="K2943" s="2"/>
      <c r="L2943" s="2"/>
      <c r="M2943" s="2"/>
      <c r="N2943" s="2"/>
      <c r="O2943" s="2"/>
      <c r="P2943" s="2"/>
      <c r="Q2943" s="2"/>
      <c r="R2943" s="2"/>
      <c r="S2943" s="2"/>
    </row>
    <row r="2944" spans="10:19" x14ac:dyDescent="0.2">
      <c r="J2944" s="2"/>
      <c r="K2944" s="2"/>
      <c r="L2944" s="2"/>
      <c r="M2944" s="2"/>
      <c r="N2944" s="2"/>
      <c r="O2944" s="2"/>
      <c r="P2944" s="2"/>
      <c r="Q2944" s="2"/>
      <c r="R2944" s="2"/>
      <c r="S2944" s="2"/>
    </row>
    <row r="2945" spans="10:19" x14ac:dyDescent="0.2">
      <c r="J2945" s="2"/>
      <c r="K2945" s="2"/>
      <c r="L2945" s="2"/>
      <c r="M2945" s="2"/>
      <c r="N2945" s="2"/>
      <c r="O2945" s="2"/>
      <c r="P2945" s="2"/>
      <c r="Q2945" s="2"/>
      <c r="R2945" s="2"/>
      <c r="S2945" s="2"/>
    </row>
    <row r="2946" spans="10:19" x14ac:dyDescent="0.2">
      <c r="J2946" s="2"/>
      <c r="K2946" s="2"/>
      <c r="L2946" s="2"/>
      <c r="M2946" s="2"/>
      <c r="N2946" s="2"/>
      <c r="O2946" s="2"/>
      <c r="P2946" s="2"/>
      <c r="Q2946" s="2"/>
      <c r="R2946" s="2"/>
      <c r="S2946" s="2"/>
    </row>
    <row r="2947" spans="10:19" x14ac:dyDescent="0.2">
      <c r="J2947" s="2"/>
      <c r="K2947" s="2"/>
      <c r="L2947" s="2"/>
      <c r="M2947" s="2"/>
      <c r="N2947" s="2"/>
      <c r="O2947" s="2"/>
      <c r="P2947" s="2"/>
      <c r="Q2947" s="2"/>
      <c r="R2947" s="2"/>
      <c r="S2947" s="2"/>
    </row>
    <row r="2948" spans="10:19" x14ac:dyDescent="0.2">
      <c r="J2948" s="2"/>
      <c r="K2948" s="2"/>
      <c r="L2948" s="2"/>
      <c r="M2948" s="2"/>
      <c r="N2948" s="2"/>
      <c r="O2948" s="2"/>
      <c r="P2948" s="2"/>
      <c r="Q2948" s="2"/>
      <c r="R2948" s="2"/>
      <c r="S2948" s="2"/>
    </row>
    <row r="2949" spans="10:19" x14ac:dyDescent="0.2">
      <c r="J2949" s="2"/>
      <c r="K2949" s="2"/>
      <c r="L2949" s="2"/>
      <c r="M2949" s="2"/>
      <c r="N2949" s="2"/>
      <c r="O2949" s="2"/>
      <c r="P2949" s="2"/>
      <c r="Q2949" s="2"/>
      <c r="R2949" s="2"/>
      <c r="S2949" s="2"/>
    </row>
    <row r="2950" spans="10:19" x14ac:dyDescent="0.2">
      <c r="J2950" s="2"/>
      <c r="K2950" s="2"/>
      <c r="L2950" s="2"/>
      <c r="M2950" s="2"/>
      <c r="N2950" s="2"/>
      <c r="O2950" s="2"/>
      <c r="P2950" s="2"/>
      <c r="Q2950" s="2"/>
      <c r="R2950" s="2"/>
      <c r="S2950" s="2"/>
    </row>
    <row r="2951" spans="10:19" x14ac:dyDescent="0.2">
      <c r="J2951" s="2"/>
      <c r="K2951" s="2"/>
      <c r="L2951" s="2"/>
      <c r="M2951" s="2"/>
      <c r="N2951" s="2"/>
      <c r="O2951" s="2"/>
      <c r="P2951" s="2"/>
      <c r="Q2951" s="2"/>
      <c r="R2951" s="2"/>
      <c r="S2951" s="2"/>
    </row>
    <row r="2952" spans="10:19" x14ac:dyDescent="0.2">
      <c r="J2952" s="2"/>
      <c r="K2952" s="2"/>
      <c r="L2952" s="2"/>
      <c r="M2952" s="2"/>
      <c r="N2952" s="2"/>
      <c r="O2952" s="2"/>
      <c r="P2952" s="2"/>
      <c r="Q2952" s="2"/>
      <c r="R2952" s="2"/>
      <c r="S2952" s="2"/>
    </row>
    <row r="2953" spans="10:19" x14ac:dyDescent="0.2">
      <c r="J2953" s="2"/>
      <c r="K2953" s="2"/>
      <c r="L2953" s="2"/>
      <c r="M2953" s="2"/>
      <c r="N2953" s="2"/>
      <c r="O2953" s="2"/>
      <c r="P2953" s="2"/>
      <c r="Q2953" s="2"/>
      <c r="R2953" s="2"/>
      <c r="S2953" s="2"/>
    </row>
    <row r="2954" spans="10:19" x14ac:dyDescent="0.2">
      <c r="J2954" s="2"/>
      <c r="K2954" s="2"/>
      <c r="L2954" s="2"/>
      <c r="M2954" s="2"/>
      <c r="N2954" s="2"/>
      <c r="O2954" s="2"/>
      <c r="P2954" s="2"/>
      <c r="Q2954" s="2"/>
      <c r="R2954" s="2"/>
      <c r="S2954" s="2"/>
    </row>
    <row r="2955" spans="10:19" x14ac:dyDescent="0.2">
      <c r="J2955" s="2"/>
      <c r="K2955" s="2"/>
      <c r="L2955" s="2"/>
      <c r="M2955" s="2"/>
      <c r="N2955" s="2"/>
      <c r="O2955" s="2"/>
      <c r="P2955" s="2"/>
      <c r="Q2955" s="2"/>
      <c r="R2955" s="2"/>
      <c r="S2955" s="2"/>
    </row>
    <row r="2956" spans="10:19" x14ac:dyDescent="0.2">
      <c r="J2956" s="2"/>
      <c r="K2956" s="2"/>
      <c r="L2956" s="2"/>
      <c r="M2956" s="2"/>
      <c r="N2956" s="2"/>
      <c r="O2956" s="2"/>
      <c r="P2956" s="2"/>
      <c r="Q2956" s="2"/>
      <c r="R2956" s="2"/>
      <c r="S2956" s="2"/>
    </row>
    <row r="2957" spans="10:19" x14ac:dyDescent="0.2">
      <c r="J2957" s="2"/>
      <c r="K2957" s="2"/>
      <c r="L2957" s="2"/>
      <c r="M2957" s="2"/>
      <c r="N2957" s="2"/>
      <c r="O2957" s="2"/>
      <c r="P2957" s="2"/>
      <c r="Q2957" s="2"/>
      <c r="R2957" s="2"/>
      <c r="S2957" s="2"/>
    </row>
    <row r="2958" spans="10:19" x14ac:dyDescent="0.2">
      <c r="J2958" s="2"/>
      <c r="K2958" s="2"/>
      <c r="L2958" s="2"/>
      <c r="M2958" s="2"/>
      <c r="N2958" s="2"/>
      <c r="O2958" s="2"/>
      <c r="P2958" s="2"/>
      <c r="Q2958" s="2"/>
      <c r="R2958" s="2"/>
      <c r="S2958" s="2"/>
    </row>
    <row r="2959" spans="10:19" x14ac:dyDescent="0.2">
      <c r="J2959" s="2"/>
      <c r="K2959" s="2"/>
      <c r="L2959" s="2"/>
      <c r="M2959" s="2"/>
      <c r="N2959" s="2"/>
      <c r="O2959" s="2"/>
      <c r="P2959" s="2"/>
      <c r="Q2959" s="2"/>
      <c r="R2959" s="2"/>
      <c r="S2959" s="2"/>
    </row>
    <row r="2960" spans="10:19" x14ac:dyDescent="0.2">
      <c r="J2960" s="2"/>
      <c r="K2960" s="2"/>
      <c r="L2960" s="2"/>
      <c r="M2960" s="2"/>
      <c r="N2960" s="2"/>
      <c r="O2960" s="2"/>
      <c r="P2960" s="2"/>
      <c r="Q2960" s="2"/>
      <c r="R2960" s="2"/>
      <c r="S2960" s="2"/>
    </row>
    <row r="2961" spans="10:19" x14ac:dyDescent="0.2">
      <c r="J2961" s="2"/>
      <c r="K2961" s="2"/>
      <c r="L2961" s="2"/>
      <c r="M2961" s="2"/>
      <c r="N2961" s="2"/>
      <c r="O2961" s="2"/>
      <c r="P2961" s="2"/>
      <c r="Q2961" s="2"/>
      <c r="R2961" s="2"/>
      <c r="S2961" s="2"/>
    </row>
    <row r="2962" spans="10:19" x14ac:dyDescent="0.2">
      <c r="J2962" s="2"/>
      <c r="K2962" s="2"/>
      <c r="L2962" s="2"/>
      <c r="M2962" s="2"/>
      <c r="N2962" s="2"/>
      <c r="O2962" s="2"/>
      <c r="P2962" s="2"/>
      <c r="Q2962" s="2"/>
      <c r="R2962" s="2"/>
      <c r="S2962" s="2"/>
    </row>
    <row r="2963" spans="10:19" x14ac:dyDescent="0.2">
      <c r="J2963" s="2"/>
      <c r="K2963" s="2"/>
      <c r="L2963" s="2"/>
      <c r="M2963" s="2"/>
      <c r="N2963" s="2"/>
      <c r="O2963" s="2"/>
      <c r="P2963" s="2"/>
      <c r="Q2963" s="2"/>
      <c r="R2963" s="2"/>
      <c r="S2963" s="2"/>
    </row>
    <row r="2964" spans="10:19" x14ac:dyDescent="0.2">
      <c r="J2964" s="2"/>
      <c r="K2964" s="2"/>
      <c r="L2964" s="2"/>
      <c r="M2964" s="2"/>
      <c r="N2964" s="2"/>
      <c r="O2964" s="2"/>
      <c r="P2964" s="2"/>
      <c r="Q2964" s="2"/>
      <c r="R2964" s="2"/>
      <c r="S2964" s="2"/>
    </row>
    <row r="2965" spans="10:19" x14ac:dyDescent="0.2">
      <c r="J2965" s="2"/>
      <c r="K2965" s="2"/>
      <c r="L2965" s="2"/>
      <c r="M2965" s="2"/>
      <c r="N2965" s="2"/>
      <c r="O2965" s="2"/>
      <c r="P2965" s="2"/>
      <c r="Q2965" s="2"/>
      <c r="R2965" s="2"/>
      <c r="S2965" s="2"/>
    </row>
    <row r="2966" spans="10:19" x14ac:dyDescent="0.2">
      <c r="J2966" s="2"/>
      <c r="K2966" s="2"/>
      <c r="L2966" s="2"/>
      <c r="M2966" s="2"/>
      <c r="N2966" s="2"/>
      <c r="O2966" s="2"/>
      <c r="P2966" s="2"/>
      <c r="Q2966" s="2"/>
      <c r="R2966" s="2"/>
      <c r="S2966" s="2"/>
    </row>
    <row r="2967" spans="10:19" x14ac:dyDescent="0.2">
      <c r="J2967" s="2"/>
      <c r="K2967" s="2"/>
      <c r="L2967" s="2"/>
      <c r="M2967" s="2"/>
      <c r="N2967" s="2"/>
      <c r="O2967" s="2"/>
      <c r="P2967" s="2"/>
      <c r="Q2967" s="2"/>
      <c r="R2967" s="2"/>
      <c r="S2967" s="2"/>
    </row>
    <row r="2968" spans="10:19" x14ac:dyDescent="0.2">
      <c r="J2968" s="2"/>
      <c r="K2968" s="2"/>
      <c r="L2968" s="2"/>
      <c r="M2968" s="2"/>
      <c r="N2968" s="2"/>
      <c r="O2968" s="2"/>
      <c r="P2968" s="2"/>
      <c r="Q2968" s="2"/>
      <c r="R2968" s="2"/>
      <c r="S2968" s="2"/>
    </row>
    <row r="2969" spans="10:19" x14ac:dyDescent="0.2">
      <c r="J2969" s="2"/>
      <c r="K2969" s="2"/>
      <c r="L2969" s="2"/>
      <c r="M2969" s="2"/>
      <c r="N2969" s="2"/>
      <c r="O2969" s="2"/>
      <c r="P2969" s="2"/>
      <c r="Q2969" s="2"/>
      <c r="R2969" s="2"/>
      <c r="S2969" s="2"/>
    </row>
    <row r="2970" spans="10:19" x14ac:dyDescent="0.2">
      <c r="J2970" s="2"/>
      <c r="K2970" s="2"/>
      <c r="L2970" s="2"/>
      <c r="M2970" s="2"/>
      <c r="N2970" s="2"/>
      <c r="O2970" s="2"/>
      <c r="P2970" s="2"/>
      <c r="Q2970" s="2"/>
      <c r="R2970" s="2"/>
      <c r="S2970" s="2"/>
    </row>
    <row r="2971" spans="10:19" x14ac:dyDescent="0.2">
      <c r="J2971" s="2"/>
      <c r="K2971" s="2"/>
      <c r="L2971" s="2"/>
      <c r="M2971" s="2"/>
      <c r="N2971" s="2"/>
      <c r="O2971" s="2"/>
      <c r="P2971" s="2"/>
      <c r="Q2971" s="2"/>
      <c r="R2971" s="2"/>
      <c r="S2971" s="2"/>
    </row>
    <row r="2972" spans="10:19" x14ac:dyDescent="0.2">
      <c r="J2972" s="2"/>
      <c r="K2972" s="2"/>
      <c r="L2972" s="2"/>
      <c r="M2972" s="2"/>
      <c r="N2972" s="2"/>
      <c r="O2972" s="2"/>
      <c r="P2972" s="2"/>
      <c r="Q2972" s="2"/>
      <c r="R2972" s="2"/>
      <c r="S2972" s="2"/>
    </row>
    <row r="2973" spans="10:19" x14ac:dyDescent="0.2">
      <c r="J2973" s="2"/>
      <c r="K2973" s="2"/>
      <c r="L2973" s="2"/>
      <c r="M2973" s="2"/>
      <c r="N2973" s="2"/>
      <c r="O2973" s="2"/>
      <c r="P2973" s="2"/>
      <c r="Q2973" s="2"/>
      <c r="R2973" s="2"/>
      <c r="S2973" s="2"/>
    </row>
    <row r="2974" spans="10:19" x14ac:dyDescent="0.2">
      <c r="J2974" s="2"/>
      <c r="K2974" s="2"/>
      <c r="L2974" s="2"/>
      <c r="M2974" s="2"/>
      <c r="N2974" s="2"/>
      <c r="O2974" s="2"/>
      <c r="P2974" s="2"/>
      <c r="Q2974" s="2"/>
      <c r="R2974" s="2"/>
      <c r="S2974" s="2"/>
    </row>
    <row r="2975" spans="10:19" x14ac:dyDescent="0.2">
      <c r="J2975" s="2"/>
      <c r="K2975" s="2"/>
      <c r="L2975" s="2"/>
      <c r="M2975" s="2"/>
      <c r="N2975" s="2"/>
      <c r="O2975" s="2"/>
      <c r="P2975" s="2"/>
      <c r="Q2975" s="2"/>
      <c r="R2975" s="2"/>
      <c r="S2975" s="2"/>
    </row>
    <row r="2976" spans="10:19" x14ac:dyDescent="0.2">
      <c r="J2976" s="2"/>
      <c r="K2976" s="2"/>
      <c r="L2976" s="2"/>
      <c r="M2976" s="2"/>
      <c r="N2976" s="2"/>
      <c r="O2976" s="2"/>
      <c r="P2976" s="2"/>
      <c r="Q2976" s="2"/>
      <c r="R2976" s="2"/>
      <c r="S2976" s="2"/>
    </row>
    <row r="2977" spans="10:19" x14ac:dyDescent="0.2">
      <c r="J2977" s="2"/>
      <c r="K2977" s="2"/>
      <c r="L2977" s="2"/>
      <c r="M2977" s="2"/>
      <c r="N2977" s="2"/>
      <c r="O2977" s="2"/>
      <c r="P2977" s="2"/>
      <c r="Q2977" s="2"/>
      <c r="R2977" s="2"/>
      <c r="S2977" s="2"/>
    </row>
    <row r="2978" spans="10:19" x14ac:dyDescent="0.2">
      <c r="J2978" s="2"/>
      <c r="K2978" s="2"/>
      <c r="L2978" s="2"/>
      <c r="M2978" s="2"/>
      <c r="N2978" s="2"/>
      <c r="O2978" s="2"/>
      <c r="P2978" s="2"/>
      <c r="Q2978" s="2"/>
      <c r="R2978" s="2"/>
      <c r="S2978" s="2"/>
    </row>
    <row r="2979" spans="10:19" x14ac:dyDescent="0.2">
      <c r="J2979" s="2"/>
      <c r="K2979" s="2"/>
      <c r="L2979" s="2"/>
      <c r="M2979" s="2"/>
      <c r="N2979" s="2"/>
      <c r="O2979" s="2"/>
      <c r="P2979" s="2"/>
      <c r="Q2979" s="2"/>
      <c r="R2979" s="2"/>
      <c r="S2979" s="2"/>
    </row>
    <row r="2980" spans="10:19" x14ac:dyDescent="0.2">
      <c r="J2980" s="2"/>
      <c r="K2980" s="2"/>
      <c r="L2980" s="2"/>
      <c r="M2980" s="2"/>
      <c r="N2980" s="2"/>
      <c r="O2980" s="2"/>
      <c r="P2980" s="2"/>
      <c r="Q2980" s="2"/>
      <c r="R2980" s="2"/>
      <c r="S2980" s="2"/>
    </row>
    <row r="2981" spans="10:19" x14ac:dyDescent="0.2">
      <c r="J2981" s="2"/>
      <c r="K2981" s="2"/>
      <c r="L2981" s="2"/>
      <c r="M2981" s="2"/>
      <c r="N2981" s="2"/>
      <c r="O2981" s="2"/>
      <c r="P2981" s="2"/>
      <c r="Q2981" s="2"/>
      <c r="R2981" s="2"/>
      <c r="S2981" s="2"/>
    </row>
    <row r="2982" spans="10:19" x14ac:dyDescent="0.2">
      <c r="J2982" s="2"/>
      <c r="K2982" s="2"/>
      <c r="L2982" s="2"/>
      <c r="M2982" s="2"/>
      <c r="N2982" s="2"/>
      <c r="O2982" s="2"/>
      <c r="P2982" s="2"/>
      <c r="Q2982" s="2"/>
      <c r="R2982" s="2"/>
      <c r="S2982" s="2"/>
    </row>
    <row r="2983" spans="10:19" x14ac:dyDescent="0.2">
      <c r="J2983" s="2"/>
      <c r="K2983" s="2"/>
      <c r="L2983" s="2"/>
      <c r="M2983" s="2"/>
      <c r="N2983" s="2"/>
      <c r="O2983" s="2"/>
      <c r="P2983" s="2"/>
      <c r="Q2983" s="2"/>
      <c r="R2983" s="2"/>
      <c r="S2983" s="2"/>
    </row>
    <row r="2984" spans="10:19" x14ac:dyDescent="0.2">
      <c r="J2984" s="2"/>
      <c r="K2984" s="2"/>
      <c r="L2984" s="2"/>
      <c r="M2984" s="2"/>
      <c r="N2984" s="2"/>
      <c r="O2984" s="2"/>
      <c r="P2984" s="2"/>
      <c r="Q2984" s="2"/>
      <c r="R2984" s="2"/>
      <c r="S2984" s="2"/>
    </row>
    <row r="2985" spans="10:19" x14ac:dyDescent="0.2">
      <c r="J2985" s="2"/>
      <c r="K2985" s="2"/>
      <c r="L2985" s="2"/>
      <c r="M2985" s="2"/>
      <c r="N2985" s="2"/>
      <c r="O2985" s="2"/>
      <c r="P2985" s="2"/>
      <c r="Q2985" s="2"/>
      <c r="R2985" s="2"/>
      <c r="S2985" s="2"/>
    </row>
    <row r="2986" spans="10:19" x14ac:dyDescent="0.2">
      <c r="J2986" s="2"/>
      <c r="K2986" s="2"/>
      <c r="L2986" s="2"/>
      <c r="M2986" s="2"/>
      <c r="N2986" s="2"/>
      <c r="O2986" s="2"/>
      <c r="P2986" s="2"/>
      <c r="Q2986" s="2"/>
      <c r="R2986" s="2"/>
      <c r="S2986" s="2"/>
    </row>
    <row r="2987" spans="10:19" x14ac:dyDescent="0.2">
      <c r="J2987" s="2"/>
      <c r="K2987" s="2"/>
      <c r="L2987" s="2"/>
      <c r="M2987" s="2"/>
      <c r="N2987" s="2"/>
      <c r="O2987" s="2"/>
      <c r="P2987" s="2"/>
      <c r="Q2987" s="2"/>
      <c r="R2987" s="2"/>
      <c r="S2987" s="2"/>
    </row>
    <row r="2988" spans="10:19" x14ac:dyDescent="0.2">
      <c r="J2988" s="2"/>
      <c r="K2988" s="2"/>
      <c r="L2988" s="2"/>
      <c r="M2988" s="2"/>
      <c r="N2988" s="2"/>
      <c r="O2988" s="2"/>
      <c r="P2988" s="2"/>
      <c r="Q2988" s="2"/>
      <c r="R2988" s="2"/>
      <c r="S2988" s="2"/>
    </row>
    <row r="2989" spans="10:19" x14ac:dyDescent="0.2">
      <c r="J2989" s="2"/>
      <c r="K2989" s="2"/>
      <c r="L2989" s="2"/>
      <c r="M2989" s="2"/>
      <c r="N2989" s="2"/>
      <c r="O2989" s="2"/>
      <c r="P2989" s="2"/>
      <c r="Q2989" s="2"/>
      <c r="R2989" s="2"/>
      <c r="S2989" s="2"/>
    </row>
    <row r="2990" spans="10:19" x14ac:dyDescent="0.2">
      <c r="J2990" s="2"/>
      <c r="K2990" s="2"/>
      <c r="L2990" s="2"/>
      <c r="M2990" s="2"/>
      <c r="N2990" s="2"/>
      <c r="O2990" s="2"/>
      <c r="P2990" s="2"/>
      <c r="Q2990" s="2"/>
      <c r="R2990" s="2"/>
      <c r="S2990" s="2"/>
    </row>
    <row r="2991" spans="10:19" x14ac:dyDescent="0.2">
      <c r="J2991" s="2"/>
      <c r="K2991" s="2"/>
      <c r="L2991" s="2"/>
      <c r="M2991" s="2"/>
      <c r="N2991" s="2"/>
      <c r="O2991" s="2"/>
      <c r="P2991" s="2"/>
      <c r="Q2991" s="2"/>
      <c r="R2991" s="2"/>
      <c r="S2991" s="2"/>
    </row>
    <row r="2992" spans="10:19" x14ac:dyDescent="0.2">
      <c r="J2992" s="2"/>
      <c r="K2992" s="2"/>
      <c r="L2992" s="2"/>
      <c r="M2992" s="2"/>
      <c r="N2992" s="2"/>
      <c r="O2992" s="2"/>
      <c r="P2992" s="2"/>
      <c r="Q2992" s="2"/>
      <c r="R2992" s="2"/>
      <c r="S2992" s="2"/>
    </row>
    <row r="2993" spans="10:19" x14ac:dyDescent="0.2">
      <c r="J2993" s="2"/>
      <c r="K2993" s="2"/>
      <c r="L2993" s="2"/>
      <c r="M2993" s="2"/>
      <c r="N2993" s="2"/>
      <c r="O2993" s="2"/>
      <c r="P2993" s="2"/>
      <c r="Q2993" s="2"/>
      <c r="R2993" s="2"/>
      <c r="S2993" s="2"/>
    </row>
    <row r="2994" spans="10:19" x14ac:dyDescent="0.2">
      <c r="J2994" s="2"/>
      <c r="K2994" s="2"/>
      <c r="L2994" s="2"/>
      <c r="M2994" s="2"/>
      <c r="N2994" s="2"/>
      <c r="O2994" s="2"/>
      <c r="P2994" s="2"/>
      <c r="Q2994" s="2"/>
      <c r="R2994" s="2"/>
      <c r="S2994" s="2"/>
    </row>
    <row r="2995" spans="10:19" x14ac:dyDescent="0.2">
      <c r="J2995" s="2"/>
      <c r="K2995" s="2"/>
      <c r="L2995" s="2"/>
      <c r="M2995" s="2"/>
      <c r="N2995" s="2"/>
      <c r="O2995" s="2"/>
      <c r="P2995" s="2"/>
      <c r="Q2995" s="2"/>
      <c r="R2995" s="2"/>
      <c r="S2995" s="2"/>
    </row>
    <row r="2996" spans="10:19" x14ac:dyDescent="0.2">
      <c r="J2996" s="2"/>
      <c r="K2996" s="2"/>
      <c r="L2996" s="2"/>
      <c r="M2996" s="2"/>
      <c r="N2996" s="2"/>
      <c r="O2996" s="2"/>
      <c r="P2996" s="2"/>
      <c r="Q2996" s="2"/>
      <c r="R2996" s="2"/>
      <c r="S2996" s="2"/>
    </row>
    <row r="2997" spans="10:19" x14ac:dyDescent="0.2">
      <c r="J2997" s="2"/>
      <c r="K2997" s="2"/>
      <c r="L2997" s="2"/>
      <c r="M2997" s="2"/>
      <c r="N2997" s="2"/>
      <c r="O2997" s="2"/>
      <c r="P2997" s="2"/>
      <c r="Q2997" s="2"/>
      <c r="R2997" s="2"/>
      <c r="S2997" s="2"/>
    </row>
    <row r="2998" spans="10:19" x14ac:dyDescent="0.2">
      <c r="J2998" s="2"/>
      <c r="K2998" s="2"/>
      <c r="L2998" s="2"/>
      <c r="M2998" s="2"/>
      <c r="N2998" s="2"/>
      <c r="O2998" s="2"/>
      <c r="P2998" s="2"/>
      <c r="Q2998" s="2"/>
      <c r="R2998" s="2"/>
      <c r="S2998" s="2"/>
    </row>
    <row r="2999" spans="10:19" x14ac:dyDescent="0.2">
      <c r="J2999" s="2"/>
      <c r="K2999" s="2"/>
      <c r="L2999" s="2"/>
      <c r="M2999" s="2"/>
      <c r="N2999" s="2"/>
      <c r="O2999" s="2"/>
      <c r="P2999" s="2"/>
      <c r="Q2999" s="2"/>
      <c r="R2999" s="2"/>
      <c r="S2999" s="2"/>
    </row>
    <row r="3000" spans="10:19" x14ac:dyDescent="0.2">
      <c r="J3000" s="2"/>
      <c r="K3000" s="2"/>
      <c r="L3000" s="2"/>
      <c r="M3000" s="2"/>
      <c r="N3000" s="2"/>
      <c r="O3000" s="2"/>
      <c r="P3000" s="2"/>
      <c r="Q3000" s="2"/>
      <c r="R3000" s="2"/>
      <c r="S3000" s="2"/>
    </row>
    <row r="3001" spans="10:19" x14ac:dyDescent="0.2">
      <c r="J3001" s="2"/>
      <c r="K3001" s="2"/>
      <c r="L3001" s="2"/>
      <c r="M3001" s="2"/>
      <c r="N3001" s="2"/>
      <c r="O3001" s="2"/>
      <c r="P3001" s="2"/>
      <c r="Q3001" s="2"/>
      <c r="R3001" s="2"/>
      <c r="S3001" s="2"/>
    </row>
    <row r="3002" spans="10:19" x14ac:dyDescent="0.2">
      <c r="J3002" s="2"/>
      <c r="K3002" s="2"/>
      <c r="L3002" s="2"/>
      <c r="M3002" s="2"/>
      <c r="N3002" s="2"/>
      <c r="O3002" s="2"/>
      <c r="P3002" s="2"/>
      <c r="Q3002" s="2"/>
      <c r="R3002" s="2"/>
      <c r="S30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T2002"/>
  <sheetViews>
    <sheetView workbookViewId="0"/>
  </sheetViews>
  <sheetFormatPr defaultColWidth="12.5703125" defaultRowHeight="15.75" customHeight="1" x14ac:dyDescent="0.2"/>
  <cols>
    <col min="40" max="40" width="15.42578125" customWidth="1"/>
    <col min="41" max="41" width="14.42578125" customWidth="1"/>
  </cols>
  <sheetData>
    <row r="1" spans="1:46" ht="76.5" customHeight="1" x14ac:dyDescent="0.2">
      <c r="A1" s="11" t="s">
        <v>1269</v>
      </c>
      <c r="B1" s="10"/>
      <c r="C1" s="4"/>
      <c r="D1" s="4"/>
      <c r="E1" s="12" t="s">
        <v>1270</v>
      </c>
      <c r="F1" s="10"/>
      <c r="G1" s="10"/>
      <c r="H1" s="4"/>
      <c r="I1" s="4"/>
      <c r="J1" s="12" t="s">
        <v>1271</v>
      </c>
      <c r="K1" s="10"/>
      <c r="L1" s="10"/>
      <c r="M1" s="4"/>
      <c r="N1" s="4"/>
      <c r="O1" s="12" t="s">
        <v>1272</v>
      </c>
      <c r="P1" s="10"/>
      <c r="Q1" s="10"/>
      <c r="R1" s="4"/>
      <c r="S1" s="4"/>
      <c r="T1" s="12" t="s">
        <v>1273</v>
      </c>
      <c r="U1" s="10"/>
      <c r="V1" s="5"/>
      <c r="W1" s="4"/>
      <c r="X1" s="4"/>
      <c r="Y1" s="13" t="s">
        <v>1274</v>
      </c>
      <c r="Z1" s="10"/>
      <c r="AA1" s="6"/>
      <c r="AB1" s="6"/>
      <c r="AC1" s="9" t="s">
        <v>1275</v>
      </c>
      <c r="AD1" s="10"/>
      <c r="AE1" s="6"/>
      <c r="AF1" s="6"/>
      <c r="AG1" s="9" t="s">
        <v>1276</v>
      </c>
      <c r="AH1" s="10"/>
      <c r="AI1" s="10"/>
      <c r="AJ1" s="10"/>
      <c r="AK1" s="10"/>
      <c r="AL1" s="6"/>
      <c r="AM1" s="6"/>
      <c r="AN1" s="9" t="s">
        <v>1277</v>
      </c>
      <c r="AO1" s="10"/>
      <c r="AP1" s="6"/>
      <c r="AQ1" s="6"/>
      <c r="AR1" s="9" t="s">
        <v>1278</v>
      </c>
      <c r="AS1" s="10"/>
      <c r="AT1" s="7"/>
    </row>
    <row r="3" spans="1:46" ht="12.75" x14ac:dyDescent="0.2">
      <c r="A3" s="1" t="str">
        <f ca="1">IFERROR(__xludf.DUMMYFUNCTION("QUERY('Customer Data'!A1:H2000, ""SELECT E,F"",1)"),"InvoiceDate")</f>
        <v>InvoiceDate</v>
      </c>
      <c r="B3" s="1" t="str">
        <f ca="1">IFERROR(__xludf.DUMMYFUNCTION("""COMPUTED_VALUE"""),"Price")</f>
        <v>Price</v>
      </c>
      <c r="E3" s="1" t="str">
        <f ca="1">IFERROR(__xludf.DUMMYFUNCTION("QUERY('Customer Data'!A1:H2000, ""SELECT C, D, F WHERE F &gt;= 1 AND F &lt;= 5"", 1)"),"Description")</f>
        <v>Description</v>
      </c>
      <c r="F3" s="1" t="str">
        <f ca="1">IFERROR(__xludf.DUMMYFUNCTION("""COMPUTED_VALUE"""),"Quantity")</f>
        <v>Quantity</v>
      </c>
      <c r="G3" s="1" t="str">
        <f ca="1">IFERROR(__xludf.DUMMYFUNCTION("""COMPUTED_VALUE"""),"Price")</f>
        <v>Price</v>
      </c>
      <c r="J3" s="1" t="str">
        <f ca="1">IFERROR(__xludf.DUMMYFUNCTION("QUERY('Customer Data'!A1:H2000, ""SELECT C, D, F WHERE F &gt;= 1 OR F &lt;= 5"", 1)"),"Description")</f>
        <v>Description</v>
      </c>
      <c r="K3" s="1" t="str">
        <f ca="1">IFERROR(__xludf.DUMMYFUNCTION("""COMPUTED_VALUE"""),"Quantity")</f>
        <v>Quantity</v>
      </c>
      <c r="L3" s="1" t="str">
        <f ca="1">IFERROR(__xludf.DUMMYFUNCTION("""COMPUTED_VALUE"""),"Price")</f>
        <v>Price</v>
      </c>
      <c r="O3" s="1" t="str">
        <f ca="1">IFERROR(__xludf.DUMMYFUNCTION("QUERY('Customer Data'!A1:H2000, ""SELECT B, C, F ORDER BY F DESC LIMIT 10"", 1)"),"StockCode")</f>
        <v>StockCode</v>
      </c>
      <c r="P3" s="1" t="str">
        <f ca="1">IFERROR(__xludf.DUMMYFUNCTION("""COMPUTED_VALUE"""),"Description")</f>
        <v>Description</v>
      </c>
      <c r="Q3" s="1" t="str">
        <f ca="1">IFERROR(__xludf.DUMMYFUNCTION("""COMPUTED_VALUE"""),"Price")</f>
        <v>Price</v>
      </c>
      <c r="T3" s="1" t="str">
        <f ca="1">IFERROR(__xludf.DUMMYFUNCTION("QUERY('Customer Data'!A1:H2000, ""SELECT A, D * F"",1)"),"Invoice")</f>
        <v>Invoice</v>
      </c>
      <c r="U3" s="1" t="str">
        <f ca="1">IFERROR(__xludf.DUMMYFUNCTION("""COMPUTED_VALUE"""),"product(QuantityPrice)")</f>
        <v>product(QuantityPrice)</v>
      </c>
      <c r="Y3" s="1" t="str">
        <f ca="1">IFERROR(__xludf.DUMMYFUNCTION("QUERY('Customer Data'!A1:H2000, ""SELECT A, D * F WHERE A= 489447"",1)"),"Invoice")</f>
        <v>Invoice</v>
      </c>
      <c r="Z3" s="1" t="str">
        <f ca="1">IFERROR(__xludf.DUMMYFUNCTION("""COMPUTED_VALUE"""),"product(QuantityPrice)")</f>
        <v>product(QuantityPrice)</v>
      </c>
      <c r="AC3" s="1" t="str">
        <f ca="1">IFERROR(__xludf.DUMMYFUNCTION(" QUERY('Customer Data'!A1:H2000,""SELECT AVG(D), MAX(F)"")"),"avg Quantity")</f>
        <v>avg Quantity</v>
      </c>
      <c r="AD3" s="1" t="str">
        <f ca="1">IFERROR(__xludf.DUMMYFUNCTION("""COMPUTED_VALUE"""),"max Price")</f>
        <v>max Price</v>
      </c>
      <c r="AG3" s="1" t="str">
        <f ca="1">IFERROR(__xludf.DUMMYFUNCTION(" QUERY('Customer Data'!A1:H2000,""SELECT COUNT(A), AVG(D), SUM(F), MAX(F), MIN(F)"")"),"count Invoice")</f>
        <v>count Invoice</v>
      </c>
      <c r="AH3" s="1" t="str">
        <f ca="1">IFERROR(__xludf.DUMMYFUNCTION("""COMPUTED_VALUE"""),"avg Quantity")</f>
        <v>avg Quantity</v>
      </c>
      <c r="AI3" s="1" t="str">
        <f ca="1">IFERROR(__xludf.DUMMYFUNCTION("""COMPUTED_VALUE"""),"sum Price")</f>
        <v>sum Price</v>
      </c>
      <c r="AJ3" s="1" t="str">
        <f ca="1">IFERROR(__xludf.DUMMYFUNCTION("""COMPUTED_VALUE"""),"max Price")</f>
        <v>max Price</v>
      </c>
      <c r="AK3" s="1" t="str">
        <f ca="1">IFERROR(__xludf.DUMMYFUNCTION("""COMPUTED_VALUE"""),"min Price")</f>
        <v>min Price</v>
      </c>
      <c r="AN3" s="1" t="str">
        <f ca="1">IFERROR(__xludf.DUMMYFUNCTION(" QUERY('Customer Data'!A1:H2000,""SELECT MAX(E), MIN(E)"")"),"max InvoiceDate")</f>
        <v>max InvoiceDate</v>
      </c>
      <c r="AO3" s="1" t="str">
        <f ca="1">IFERROR(__xludf.DUMMYFUNCTION("""COMPUTED_VALUE"""),"min InvoiceDate")</f>
        <v>min InvoiceDate</v>
      </c>
      <c r="AR3" s="1" t="str">
        <f ca="1">IFERROR(__xludf.DUMMYFUNCTION(" QUERY('Customer Data'!A1:H2000,""SELECT H, COUNT(H) GROUP BY (H)"")"),"Country")</f>
        <v>Country</v>
      </c>
      <c r="AS3" s="1" t="str">
        <f ca="1">IFERROR(__xludf.DUMMYFUNCTION("""COMPUTED_VALUE"""),"count Country")</f>
        <v>count Country</v>
      </c>
    </row>
    <row r="4" spans="1:46" ht="12.75" x14ac:dyDescent="0.2">
      <c r="A4" s="3">
        <f ca="1">IFERROR(__xludf.DUMMYFUNCTION("""COMPUTED_VALUE"""),40148.3229166666)</f>
        <v>40148.322916666599</v>
      </c>
      <c r="B4" s="1">
        <f ca="1">IFERROR(__xludf.DUMMYFUNCTION("""COMPUTED_VALUE"""),2.1)</f>
        <v>2.1</v>
      </c>
      <c r="E4" s="1" t="str">
        <f ca="1">IFERROR(__xludf.DUMMYFUNCTION("""COMPUTED_VALUE"""),"RECORD FRAME 7"" SINGLE SIZE ")</f>
        <v xml:space="preserve">RECORD FRAME 7" SINGLE SIZE </v>
      </c>
      <c r="F4" s="1">
        <f ca="1">IFERROR(__xludf.DUMMYFUNCTION("""COMPUTED_VALUE"""),48)</f>
        <v>48</v>
      </c>
      <c r="G4" s="1">
        <f ca="1">IFERROR(__xludf.DUMMYFUNCTION("""COMPUTED_VALUE"""),2.1)</f>
        <v>2.1</v>
      </c>
      <c r="J4" s="1" t="str">
        <f ca="1">IFERROR(__xludf.DUMMYFUNCTION("""COMPUTED_VALUE"""),"RECORD FRAME 7"" SINGLE SIZE ")</f>
        <v xml:space="preserve">RECORD FRAME 7" SINGLE SIZE </v>
      </c>
      <c r="K4" s="1">
        <f ca="1">IFERROR(__xludf.DUMMYFUNCTION("""COMPUTED_VALUE"""),48)</f>
        <v>48</v>
      </c>
      <c r="L4" s="1">
        <f ca="1">IFERROR(__xludf.DUMMYFUNCTION("""COMPUTED_VALUE"""),2.1)</f>
        <v>2.1</v>
      </c>
      <c r="O4" s="1"/>
      <c r="P4" s="1" t="str">
        <f ca="1">IFERROR(__xludf.DUMMYFUNCTION("""COMPUTED_VALUE"""),"POSTAGE")</f>
        <v>POSTAGE</v>
      </c>
      <c r="Q4" s="1">
        <f ca="1">IFERROR(__xludf.DUMMYFUNCTION("""COMPUTED_VALUE"""),141)</f>
        <v>141</v>
      </c>
      <c r="T4" s="1">
        <f ca="1">IFERROR(__xludf.DUMMYFUNCTION("""COMPUTED_VALUE"""),489434)</f>
        <v>489434</v>
      </c>
      <c r="U4" s="1">
        <f ca="1">IFERROR(__xludf.DUMMYFUNCTION("""COMPUTED_VALUE"""),100.8)</f>
        <v>100.8</v>
      </c>
      <c r="Y4" s="1">
        <f ca="1">IFERROR(__xludf.DUMMYFUNCTION("""COMPUTED_VALUE"""),489447)</f>
        <v>489447</v>
      </c>
      <c r="Z4" s="1">
        <f ca="1">IFERROR(__xludf.DUMMYFUNCTION("""COMPUTED_VALUE"""),130)</f>
        <v>130</v>
      </c>
      <c r="AC4" s="1">
        <f ca="1">IFERROR(__xludf.DUMMYFUNCTION("""COMPUTED_VALUE"""),9.0200100050025)</f>
        <v>9.0200100050025007</v>
      </c>
      <c r="AD4" s="1">
        <f ca="1">IFERROR(__xludf.DUMMYFUNCTION("""COMPUTED_VALUE"""),141)</f>
        <v>141</v>
      </c>
      <c r="AG4" s="1">
        <f ca="1">IFERROR(__xludf.DUMMYFUNCTION("""COMPUTED_VALUE"""),1915)</f>
        <v>1915</v>
      </c>
      <c r="AH4" s="1">
        <f ca="1">IFERROR(__xludf.DUMMYFUNCTION("""COMPUTED_VALUE"""),9.0200100050025)</f>
        <v>9.0200100050025007</v>
      </c>
      <c r="AI4" s="1">
        <f ca="1">IFERROR(__xludf.DUMMYFUNCTION("""COMPUTED_VALUE"""),6758.61999999994)</f>
        <v>6758.6199999999399</v>
      </c>
      <c r="AJ4" s="1">
        <f ca="1">IFERROR(__xludf.DUMMYFUNCTION("""COMPUTED_VALUE"""),141)</f>
        <v>141</v>
      </c>
      <c r="AK4" s="1">
        <f ca="1">IFERROR(__xludf.DUMMYFUNCTION("""COMPUTED_VALUE"""),0)</f>
        <v>0</v>
      </c>
      <c r="AN4" s="8">
        <f ca="1">IFERROR(__xludf.DUMMYFUNCTION("""COMPUTED_VALUE"""),40148.6027777777)</f>
        <v>40148.602777777698</v>
      </c>
      <c r="AO4" s="8">
        <f ca="1">IFERROR(__xludf.DUMMYFUNCTION("""COMPUTED_VALUE"""),40148.3229166666)</f>
        <v>40148.322916666599</v>
      </c>
      <c r="AR4" s="1" t="str">
        <f ca="1">IFERROR(__xludf.DUMMYFUNCTION("""COMPUTED_VALUE"""),"Australia")</f>
        <v>Australia</v>
      </c>
      <c r="AS4" s="1">
        <f ca="1">IFERROR(__xludf.DUMMYFUNCTION("""COMPUTED_VALUE"""),18)</f>
        <v>18</v>
      </c>
    </row>
    <row r="5" spans="1:46" ht="12.75" x14ac:dyDescent="0.2">
      <c r="A5" s="3">
        <f ca="1">IFERROR(__xludf.DUMMYFUNCTION("""COMPUTED_VALUE"""),40148.3229166666)</f>
        <v>40148.322916666599</v>
      </c>
      <c r="B5" s="1">
        <f ca="1">IFERROR(__xludf.DUMMYFUNCTION("""COMPUTED_VALUE"""),1.25)</f>
        <v>1.25</v>
      </c>
      <c r="E5" s="1" t="str">
        <f ca="1">IFERROR(__xludf.DUMMYFUNCTION("""COMPUTED_VALUE"""),"STRAWBERRY CERAMIC TRINKET BOX")</f>
        <v>STRAWBERRY CERAMIC TRINKET BOX</v>
      </c>
      <c r="F5" s="1">
        <f ca="1">IFERROR(__xludf.DUMMYFUNCTION("""COMPUTED_VALUE"""),24)</f>
        <v>24</v>
      </c>
      <c r="G5" s="1">
        <f ca="1">IFERROR(__xludf.DUMMYFUNCTION("""COMPUTED_VALUE"""),1.25)</f>
        <v>1.25</v>
      </c>
      <c r="J5" s="1" t="str">
        <f ca="1">IFERROR(__xludf.DUMMYFUNCTION("""COMPUTED_VALUE"""),"STRAWBERRY CERAMIC TRINKET BOX")</f>
        <v>STRAWBERRY CERAMIC TRINKET BOX</v>
      </c>
      <c r="K5" s="1">
        <f ca="1">IFERROR(__xludf.DUMMYFUNCTION("""COMPUTED_VALUE"""),24)</f>
        <v>24</v>
      </c>
      <c r="L5" s="1">
        <f ca="1">IFERROR(__xludf.DUMMYFUNCTION("""COMPUTED_VALUE"""),1.25)</f>
        <v>1.25</v>
      </c>
      <c r="O5" s="1"/>
      <c r="P5" s="1" t="str">
        <f ca="1">IFERROR(__xludf.DUMMYFUNCTION("""COMPUTED_VALUE"""),"POSTAGE")</f>
        <v>POSTAGE</v>
      </c>
      <c r="Q5" s="1">
        <f ca="1">IFERROR(__xludf.DUMMYFUNCTION("""COMPUTED_VALUE"""),130)</f>
        <v>130</v>
      </c>
      <c r="T5" s="1">
        <f ca="1">IFERROR(__xludf.DUMMYFUNCTION("""COMPUTED_VALUE"""),489434)</f>
        <v>489434</v>
      </c>
      <c r="U5" s="1">
        <f ca="1">IFERROR(__xludf.DUMMYFUNCTION("""COMPUTED_VALUE"""),30)</f>
        <v>30</v>
      </c>
      <c r="AR5" s="1" t="str">
        <f ca="1">IFERROR(__xludf.DUMMYFUNCTION("""COMPUTED_VALUE"""),"Belgium")</f>
        <v>Belgium</v>
      </c>
      <c r="AS5" s="1">
        <f ca="1">IFERROR(__xludf.DUMMYFUNCTION("""COMPUTED_VALUE"""),1)</f>
        <v>1</v>
      </c>
    </row>
    <row r="6" spans="1:46" ht="12.75" x14ac:dyDescent="0.2">
      <c r="A6" s="3">
        <f ca="1">IFERROR(__xludf.DUMMYFUNCTION("""COMPUTED_VALUE"""),40148.3229166666)</f>
        <v>40148.322916666599</v>
      </c>
      <c r="B6" s="1">
        <f ca="1">IFERROR(__xludf.DUMMYFUNCTION("""COMPUTED_VALUE"""),1.65)</f>
        <v>1.65</v>
      </c>
      <c r="E6" s="1" t="str">
        <f ca="1">IFERROR(__xludf.DUMMYFUNCTION("""COMPUTED_VALUE"""),"PINK DOUGHNUT TRINKET POT")</f>
        <v>PINK DOUGHNUT TRINKET POT</v>
      </c>
      <c r="F6" s="1">
        <f ca="1">IFERROR(__xludf.DUMMYFUNCTION("""COMPUTED_VALUE"""),24)</f>
        <v>24</v>
      </c>
      <c r="G6" s="1">
        <f ca="1">IFERROR(__xludf.DUMMYFUNCTION("""COMPUTED_VALUE"""),1.65)</f>
        <v>1.65</v>
      </c>
      <c r="J6" s="1" t="str">
        <f ca="1">IFERROR(__xludf.DUMMYFUNCTION("""COMPUTED_VALUE"""),"PINK DOUGHNUT TRINKET POT")</f>
        <v>PINK DOUGHNUT TRINKET POT</v>
      </c>
      <c r="K6" s="1">
        <f ca="1">IFERROR(__xludf.DUMMYFUNCTION("""COMPUTED_VALUE"""),24)</f>
        <v>24</v>
      </c>
      <c r="L6" s="1">
        <f ca="1">IFERROR(__xludf.DUMMYFUNCTION("""COMPUTED_VALUE"""),1.65)</f>
        <v>1.65</v>
      </c>
      <c r="O6" s="1">
        <f ca="1">IFERROR(__xludf.DUMMYFUNCTION("""COMPUTED_VALUE"""),84472)</f>
        <v>84472</v>
      </c>
      <c r="P6" s="1" t="str">
        <f ca="1">IFERROR(__xludf.DUMMYFUNCTION("""COMPUTED_VALUE"""),"PINK AND LILAC QUILTED THROW")</f>
        <v>PINK AND LILAC QUILTED THROW</v>
      </c>
      <c r="Q6" s="1">
        <f ca="1">IFERROR(__xludf.DUMMYFUNCTION("""COMPUTED_VALUE"""),45.95)</f>
        <v>45.95</v>
      </c>
      <c r="T6" s="1">
        <f ca="1">IFERROR(__xludf.DUMMYFUNCTION("""COMPUTED_VALUE"""),489434)</f>
        <v>489434</v>
      </c>
      <c r="U6" s="1">
        <f ca="1">IFERROR(__xludf.DUMMYFUNCTION("""COMPUTED_VALUE"""),39.5999999999999)</f>
        <v>39.599999999999902</v>
      </c>
      <c r="AR6" s="1" t="str">
        <f ca="1">IFERROR(__xludf.DUMMYFUNCTION("""COMPUTED_VALUE"""),"EIRE")</f>
        <v>EIRE</v>
      </c>
      <c r="AS6" s="1">
        <f ca="1">IFERROR(__xludf.DUMMYFUNCTION("""COMPUTED_VALUE"""),86)</f>
        <v>86</v>
      </c>
    </row>
    <row r="7" spans="1:46" ht="12.75" x14ac:dyDescent="0.2">
      <c r="A7" s="3">
        <f ca="1">IFERROR(__xludf.DUMMYFUNCTION("""COMPUTED_VALUE"""),40148.3229166666)</f>
        <v>40148.322916666599</v>
      </c>
      <c r="B7" s="1">
        <f ca="1">IFERROR(__xludf.DUMMYFUNCTION("""COMPUTED_VALUE"""),1.25)</f>
        <v>1.25</v>
      </c>
      <c r="E7" s="1" t="str">
        <f ca="1">IFERROR(__xludf.DUMMYFUNCTION("""COMPUTED_VALUE"""),"SAVE THE PLANET MUG")</f>
        <v>SAVE THE PLANET MUG</v>
      </c>
      <c r="F7" s="1">
        <f ca="1">IFERROR(__xludf.DUMMYFUNCTION("""COMPUTED_VALUE"""),24)</f>
        <v>24</v>
      </c>
      <c r="G7" s="1">
        <f ca="1">IFERROR(__xludf.DUMMYFUNCTION("""COMPUTED_VALUE"""),1.25)</f>
        <v>1.25</v>
      </c>
      <c r="J7" s="1" t="str">
        <f ca="1">IFERROR(__xludf.DUMMYFUNCTION("""COMPUTED_VALUE"""),"SAVE THE PLANET MUG")</f>
        <v>SAVE THE PLANET MUG</v>
      </c>
      <c r="K7" s="1">
        <f ca="1">IFERROR(__xludf.DUMMYFUNCTION("""COMPUTED_VALUE"""),24)</f>
        <v>24</v>
      </c>
      <c r="L7" s="1">
        <f ca="1">IFERROR(__xludf.DUMMYFUNCTION("""COMPUTED_VALUE"""),1.25)</f>
        <v>1.25</v>
      </c>
      <c r="O7" s="1">
        <f ca="1">IFERROR(__xludf.DUMMYFUNCTION("""COMPUTED_VALUE"""),21761)</f>
        <v>21761</v>
      </c>
      <c r="P7" s="1" t="str">
        <f ca="1">IFERROR(__xludf.DUMMYFUNCTION("""COMPUTED_VALUE"""),"WOOD AND GLASS MEDICINE CABINET")</f>
        <v>WOOD AND GLASS MEDICINE CABINET</v>
      </c>
      <c r="Q7" s="1">
        <f ca="1">IFERROR(__xludf.DUMMYFUNCTION("""COMPUTED_VALUE"""),29.95)</f>
        <v>29.95</v>
      </c>
      <c r="T7" s="1">
        <f ca="1">IFERROR(__xludf.DUMMYFUNCTION("""COMPUTED_VALUE"""),489434)</f>
        <v>489434</v>
      </c>
      <c r="U7" s="1">
        <f ca="1">IFERROR(__xludf.DUMMYFUNCTION("""COMPUTED_VALUE"""),30)</f>
        <v>30</v>
      </c>
      <c r="AR7" s="1" t="str">
        <f ca="1">IFERROR(__xludf.DUMMYFUNCTION("""COMPUTED_VALUE"""),"France")</f>
        <v>France</v>
      </c>
      <c r="AS7" s="1">
        <f ca="1">IFERROR(__xludf.DUMMYFUNCTION("""COMPUTED_VALUE"""),41)</f>
        <v>41</v>
      </c>
    </row>
    <row r="8" spans="1:46" ht="12.75" x14ac:dyDescent="0.2">
      <c r="A8" s="3">
        <f ca="1">IFERROR(__xludf.DUMMYFUNCTION("""COMPUTED_VALUE"""),40148.3229166666)</f>
        <v>40148.322916666599</v>
      </c>
      <c r="B8" s="1">
        <f ca="1">IFERROR(__xludf.DUMMYFUNCTION("""COMPUTED_VALUE"""),6.95)</f>
        <v>6.95</v>
      </c>
      <c r="E8" s="1" t="str">
        <f ca="1">IFERROR(__xludf.DUMMYFUNCTION("""COMPUTED_VALUE"""),"HEART MEASURING SPOONS LARGE")</f>
        <v>HEART MEASURING SPOONS LARGE</v>
      </c>
      <c r="F8" s="1">
        <f ca="1">IFERROR(__xludf.DUMMYFUNCTION("""COMPUTED_VALUE"""),24)</f>
        <v>24</v>
      </c>
      <c r="G8" s="1">
        <f ca="1">IFERROR(__xludf.DUMMYFUNCTION("""COMPUTED_VALUE"""),1.65)</f>
        <v>1.65</v>
      </c>
      <c r="J8" s="1" t="str">
        <f ca="1">IFERROR(__xludf.DUMMYFUNCTION("""COMPUTED_VALUE"""),"15CM CHRISTMAS GLASS BALL 20 LIGHTS")</f>
        <v>15CM CHRISTMAS GLASS BALL 20 LIGHTS</v>
      </c>
      <c r="K8" s="1">
        <f ca="1">IFERROR(__xludf.DUMMYFUNCTION("""COMPUTED_VALUE"""),12)</f>
        <v>12</v>
      </c>
      <c r="L8" s="1">
        <f ca="1">IFERROR(__xludf.DUMMYFUNCTION("""COMPUTED_VALUE"""),6.95)</f>
        <v>6.95</v>
      </c>
      <c r="O8" s="1">
        <f ca="1">IFERROR(__xludf.DUMMYFUNCTION("""COMPUTED_VALUE"""),21761)</f>
        <v>21761</v>
      </c>
      <c r="P8" s="1" t="str">
        <f ca="1">IFERROR(__xludf.DUMMYFUNCTION("""COMPUTED_VALUE"""),"WOOD AND GLASS MEDICINE CABINET")</f>
        <v>WOOD AND GLASS MEDICINE CABINET</v>
      </c>
      <c r="Q8" s="1">
        <f ca="1">IFERROR(__xludf.DUMMYFUNCTION("""COMPUTED_VALUE"""),29.95)</f>
        <v>29.95</v>
      </c>
      <c r="T8" s="1">
        <f ca="1">IFERROR(__xludf.DUMMYFUNCTION("""COMPUTED_VALUE"""),489434)</f>
        <v>489434</v>
      </c>
      <c r="U8" s="1">
        <f ca="1">IFERROR(__xludf.DUMMYFUNCTION("""COMPUTED_VALUE"""),83.4)</f>
        <v>83.4</v>
      </c>
      <c r="AR8" s="1" t="str">
        <f ca="1">IFERROR(__xludf.DUMMYFUNCTION("""COMPUTED_VALUE"""),"Germany")</f>
        <v>Germany</v>
      </c>
      <c r="AS8" s="1">
        <f ca="1">IFERROR(__xludf.DUMMYFUNCTION("""COMPUTED_VALUE"""),44)</f>
        <v>44</v>
      </c>
    </row>
    <row r="9" spans="1:46" ht="12.75" x14ac:dyDescent="0.2">
      <c r="A9" s="3">
        <f ca="1">IFERROR(__xludf.DUMMYFUNCTION("""COMPUTED_VALUE"""),40148.3229166666)</f>
        <v>40148.322916666599</v>
      </c>
      <c r="B9" s="1">
        <f ca="1">IFERROR(__xludf.DUMMYFUNCTION("""COMPUTED_VALUE"""),6.75)</f>
        <v>6.75</v>
      </c>
      <c r="E9" s="1" t="str">
        <f ca="1">IFERROR(__xludf.DUMMYFUNCTION("""COMPUTED_VALUE"""),"CAT BOWL")</f>
        <v>CAT BOWL</v>
      </c>
      <c r="F9" s="1">
        <f ca="1">IFERROR(__xludf.DUMMYFUNCTION("""COMPUTED_VALUE"""),12)</f>
        <v>12</v>
      </c>
      <c r="G9" s="1">
        <f ca="1">IFERROR(__xludf.DUMMYFUNCTION("""COMPUTED_VALUE"""),2.55)</f>
        <v>2.5499999999999998</v>
      </c>
      <c r="J9" s="1" t="str">
        <f ca="1">IFERROR(__xludf.DUMMYFUNCTION("""COMPUTED_VALUE"""),"PINK CHERRY LIGHTS")</f>
        <v>PINK CHERRY LIGHTS</v>
      </c>
      <c r="K9" s="1">
        <f ca="1">IFERROR(__xludf.DUMMYFUNCTION("""COMPUTED_VALUE"""),12)</f>
        <v>12</v>
      </c>
      <c r="L9" s="1">
        <f ca="1">IFERROR(__xludf.DUMMYFUNCTION("""COMPUTED_VALUE"""),6.75)</f>
        <v>6.75</v>
      </c>
      <c r="O9" s="1">
        <f ca="1">IFERROR(__xludf.DUMMYFUNCTION("""COMPUTED_VALUE"""),21767)</f>
        <v>21767</v>
      </c>
      <c r="P9" s="1" t="str">
        <f ca="1">IFERROR(__xludf.DUMMYFUNCTION("""COMPUTED_VALUE"""),"FRENCH STYLE WIRE DOOR CABINET")</f>
        <v>FRENCH STYLE WIRE DOOR CABINET</v>
      </c>
      <c r="Q9" s="1">
        <f ca="1">IFERROR(__xludf.DUMMYFUNCTION("""COMPUTED_VALUE"""),29.95)</f>
        <v>29.95</v>
      </c>
      <c r="T9" s="1">
        <f ca="1">IFERROR(__xludf.DUMMYFUNCTION("""COMPUTED_VALUE"""),489434)</f>
        <v>489434</v>
      </c>
      <c r="U9" s="1">
        <f ca="1">IFERROR(__xludf.DUMMYFUNCTION("""COMPUTED_VALUE"""),81)</f>
        <v>81</v>
      </c>
      <c r="AR9" s="1" t="str">
        <f ca="1">IFERROR(__xludf.DUMMYFUNCTION("""COMPUTED_VALUE"""),"USA")</f>
        <v>USA</v>
      </c>
      <c r="AS9" s="1">
        <f ca="1">IFERROR(__xludf.DUMMYFUNCTION("""COMPUTED_VALUE"""),1)</f>
        <v>1</v>
      </c>
    </row>
    <row r="10" spans="1:46" ht="12.75" x14ac:dyDescent="0.2">
      <c r="A10" s="3">
        <f ca="1">IFERROR(__xludf.DUMMYFUNCTION("""COMPUTED_VALUE"""),40148.3229166666)</f>
        <v>40148.322916666599</v>
      </c>
      <c r="B10" s="1">
        <f ca="1">IFERROR(__xludf.DUMMYFUNCTION("""COMPUTED_VALUE"""),6.75)</f>
        <v>6.75</v>
      </c>
      <c r="E10" s="1" t="str">
        <f ca="1">IFERROR(__xludf.DUMMYFUNCTION("""COMPUTED_VALUE"""),"DOG BOWL , CHASING BALL DESIGN")</f>
        <v>DOG BOWL , CHASING BALL DESIGN</v>
      </c>
      <c r="F10" s="1">
        <f ca="1">IFERROR(__xludf.DUMMYFUNCTION("""COMPUTED_VALUE"""),12)</f>
        <v>12</v>
      </c>
      <c r="G10" s="1">
        <f ca="1">IFERROR(__xludf.DUMMYFUNCTION("""COMPUTED_VALUE"""),3.75)</f>
        <v>3.75</v>
      </c>
      <c r="J10" s="1" t="str">
        <f ca="1">IFERROR(__xludf.DUMMYFUNCTION("""COMPUTED_VALUE"""),"WHITE CHERRY LIGHTS")</f>
        <v>WHITE CHERRY LIGHTS</v>
      </c>
      <c r="K10" s="1">
        <f ca="1">IFERROR(__xludf.DUMMYFUNCTION("""COMPUTED_VALUE"""),12)</f>
        <v>12</v>
      </c>
      <c r="L10" s="1">
        <f ca="1">IFERROR(__xludf.DUMMYFUNCTION("""COMPUTED_VALUE"""),6.75)</f>
        <v>6.75</v>
      </c>
      <c r="O10" s="1">
        <f ca="1">IFERROR(__xludf.DUMMYFUNCTION("""COMPUTED_VALUE"""),20825)</f>
        <v>20825</v>
      </c>
      <c r="P10" s="1" t="str">
        <f ca="1">IFERROR(__xludf.DUMMYFUNCTION("""COMPUTED_VALUE"""),"GOLD WINE GLASS")</f>
        <v>GOLD WINE GLASS</v>
      </c>
      <c r="Q10" s="1">
        <f ca="1">IFERROR(__xludf.DUMMYFUNCTION("""COMPUTED_VALUE"""),26.04)</f>
        <v>26.04</v>
      </c>
      <c r="T10" s="1">
        <f ca="1">IFERROR(__xludf.DUMMYFUNCTION("""COMPUTED_VALUE"""),489434)</f>
        <v>489434</v>
      </c>
      <c r="U10" s="1">
        <f ca="1">IFERROR(__xludf.DUMMYFUNCTION("""COMPUTED_VALUE"""),81)</f>
        <v>81</v>
      </c>
      <c r="AR10" s="1" t="str">
        <f ca="1">IFERROR(__xludf.DUMMYFUNCTION("""COMPUTED_VALUE"""),"United Kingdom")</f>
        <v>United Kingdom</v>
      </c>
      <c r="AS10" s="1">
        <f ca="1">IFERROR(__xludf.DUMMYFUNCTION("""COMPUTED_VALUE"""),1808)</f>
        <v>1808</v>
      </c>
    </row>
    <row r="11" spans="1:46" ht="12.75" x14ac:dyDescent="0.2">
      <c r="A11" s="3">
        <f ca="1">IFERROR(__xludf.DUMMYFUNCTION("""COMPUTED_VALUE"""),40148.3229166666)</f>
        <v>40148.322916666599</v>
      </c>
      <c r="B11" s="1">
        <f ca="1">IFERROR(__xludf.DUMMYFUNCTION("""COMPUTED_VALUE"""),5.95)</f>
        <v>5.95</v>
      </c>
      <c r="E11" s="1" t="str">
        <f ca="1">IFERROR(__xludf.DUMMYFUNCTION("""COMPUTED_VALUE"""),"LUNCHBOX WITH CUTLERY FAIRY CAKES")</f>
        <v>LUNCHBOX WITH CUTLERY FAIRY CAKES</v>
      </c>
      <c r="F11" s="1">
        <f ca="1">IFERROR(__xludf.DUMMYFUNCTION("""COMPUTED_VALUE"""),12)</f>
        <v>12</v>
      </c>
      <c r="G11" s="1">
        <f ca="1">IFERROR(__xludf.DUMMYFUNCTION("""COMPUTED_VALUE"""),2.55)</f>
        <v>2.5499999999999998</v>
      </c>
      <c r="J11" s="1" t="str">
        <f ca="1">IFERROR(__xludf.DUMMYFUNCTION("""COMPUTED_VALUE"""),"FANCY FONT HOME SWEET HOME DOORMAT")</f>
        <v>FANCY FONT HOME SWEET HOME DOORMAT</v>
      </c>
      <c r="K11" s="1">
        <f ca="1">IFERROR(__xludf.DUMMYFUNCTION("""COMPUTED_VALUE"""),10)</f>
        <v>10</v>
      </c>
      <c r="L11" s="1">
        <f ca="1">IFERROR(__xludf.DUMMYFUNCTION("""COMPUTED_VALUE"""),5.95)</f>
        <v>5.95</v>
      </c>
      <c r="O11" s="1">
        <f ca="1">IFERROR(__xludf.DUMMYFUNCTION("""COMPUTED_VALUE"""),21134)</f>
        <v>21134</v>
      </c>
      <c r="P11" s="1" t="str">
        <f ca="1">IFERROR(__xludf.DUMMYFUNCTION("""COMPUTED_VALUE"""),"VICTORIAN METAL POSTCARD CHRISTMAS")</f>
        <v>VICTORIAN METAL POSTCARD CHRISTMAS</v>
      </c>
      <c r="Q11" s="1">
        <f ca="1">IFERROR(__xludf.DUMMYFUNCTION("""COMPUTED_VALUE"""),26.04)</f>
        <v>26.04</v>
      </c>
      <c r="T11" s="1">
        <f ca="1">IFERROR(__xludf.DUMMYFUNCTION("""COMPUTED_VALUE"""),489434)</f>
        <v>489434</v>
      </c>
      <c r="U11" s="1">
        <f ca="1">IFERROR(__xludf.DUMMYFUNCTION("""COMPUTED_VALUE"""),59.5)</f>
        <v>59.5</v>
      </c>
    </row>
    <row r="12" spans="1:46" ht="12.75" x14ac:dyDescent="0.2">
      <c r="A12" s="3">
        <f ca="1">IFERROR(__xludf.DUMMYFUNCTION("""COMPUTED_VALUE"""),40148.3236111111)</f>
        <v>40148.323611111096</v>
      </c>
      <c r="B12" s="1">
        <f ca="1">IFERROR(__xludf.DUMMYFUNCTION("""COMPUTED_VALUE"""),1.65)</f>
        <v>1.65</v>
      </c>
      <c r="E12" s="1" t="str">
        <f ca="1">IFERROR(__xludf.DUMMYFUNCTION("""COMPUTED_VALUE"""),"SCOTTIE DOG HOT WATER BOTTLE")</f>
        <v>SCOTTIE DOG HOT WATER BOTTLE</v>
      </c>
      <c r="F12" s="1">
        <f ca="1">IFERROR(__xludf.DUMMYFUNCTION("""COMPUTED_VALUE"""),24)</f>
        <v>24</v>
      </c>
      <c r="G12" s="1">
        <f ca="1">IFERROR(__xludf.DUMMYFUNCTION("""COMPUTED_VALUE"""),4.25)</f>
        <v>4.25</v>
      </c>
      <c r="J12" s="1" t="str">
        <f ca="1">IFERROR(__xludf.DUMMYFUNCTION("""COMPUTED_VALUE"""),"HEART MEASURING SPOONS LARGE")</f>
        <v>HEART MEASURING SPOONS LARGE</v>
      </c>
      <c r="K12" s="1">
        <f ca="1">IFERROR(__xludf.DUMMYFUNCTION("""COMPUTED_VALUE"""),24)</f>
        <v>24</v>
      </c>
      <c r="L12" s="1">
        <f ca="1">IFERROR(__xludf.DUMMYFUNCTION("""COMPUTED_VALUE"""),1.65)</f>
        <v>1.65</v>
      </c>
      <c r="O12" s="1">
        <f ca="1">IFERROR(__xludf.DUMMYFUNCTION("""COMPUTED_VALUE"""),21335)</f>
        <v>21335</v>
      </c>
      <c r="P12" s="1" t="str">
        <f ca="1">IFERROR(__xludf.DUMMYFUNCTION("""COMPUTED_VALUE"""),"LIBRARY LAMP")</f>
        <v>LIBRARY LAMP</v>
      </c>
      <c r="Q12" s="1">
        <f ca="1">IFERROR(__xludf.DUMMYFUNCTION("""COMPUTED_VALUE"""),21.95)</f>
        <v>21.95</v>
      </c>
      <c r="T12" s="1">
        <f ca="1">IFERROR(__xludf.DUMMYFUNCTION("""COMPUTED_VALUE"""),489435)</f>
        <v>489435</v>
      </c>
      <c r="U12" s="1">
        <f ca="1">IFERROR(__xludf.DUMMYFUNCTION("""COMPUTED_VALUE"""),39.5999999999999)</f>
        <v>39.599999999999902</v>
      </c>
    </row>
    <row r="13" spans="1:46" ht="12.75" x14ac:dyDescent="0.2">
      <c r="A13" s="3">
        <f ca="1">IFERROR(__xludf.DUMMYFUNCTION("""COMPUTED_VALUE"""),40148.3236111111)</f>
        <v>40148.323611111096</v>
      </c>
      <c r="B13" s="1">
        <f ca="1">IFERROR(__xludf.DUMMYFUNCTION("""COMPUTED_VALUE"""),2.55)</f>
        <v>2.5499999999999998</v>
      </c>
      <c r="E13" s="1" t="str">
        <f ca="1">IFERROR(__xludf.DUMMYFUNCTION("""COMPUTED_VALUE"""),"ASSORTED COLOUR BIRD ORNAMENT")</f>
        <v>ASSORTED COLOUR BIRD ORNAMENT</v>
      </c>
      <c r="F13" s="1">
        <f ca="1">IFERROR(__xludf.DUMMYFUNCTION("""COMPUTED_VALUE"""),16)</f>
        <v>16</v>
      </c>
      <c r="G13" s="1">
        <f ca="1">IFERROR(__xludf.DUMMYFUNCTION("""COMPUTED_VALUE"""),1.69)</f>
        <v>1.69</v>
      </c>
      <c r="J13" s="1" t="str">
        <f ca="1">IFERROR(__xludf.DUMMYFUNCTION("""COMPUTED_VALUE"""),"CAT BOWL")</f>
        <v>CAT BOWL</v>
      </c>
      <c r="K13" s="1">
        <f ca="1">IFERROR(__xludf.DUMMYFUNCTION("""COMPUTED_VALUE"""),12)</f>
        <v>12</v>
      </c>
      <c r="L13" s="1">
        <f ca="1">IFERROR(__xludf.DUMMYFUNCTION("""COMPUTED_VALUE"""),2.55)</f>
        <v>2.5499999999999998</v>
      </c>
      <c r="O13" s="1">
        <f ca="1">IFERROR(__xludf.DUMMYFUNCTION("""COMPUTED_VALUE"""),21737)</f>
        <v>21737</v>
      </c>
      <c r="P13" s="1" t="str">
        <f ca="1">IFERROR(__xludf.DUMMYFUNCTION("""COMPUTED_VALUE"""),"SET 3 WICKER LOG BASKETS")</f>
        <v>SET 3 WICKER LOG BASKETS</v>
      </c>
      <c r="Q13" s="1">
        <f ca="1">IFERROR(__xludf.DUMMYFUNCTION("""COMPUTED_VALUE"""),19.95)</f>
        <v>19.95</v>
      </c>
      <c r="T13" s="1">
        <f ca="1">IFERROR(__xludf.DUMMYFUNCTION("""COMPUTED_VALUE"""),489435)</f>
        <v>489435</v>
      </c>
      <c r="U13" s="1">
        <f ca="1">IFERROR(__xludf.DUMMYFUNCTION("""COMPUTED_VALUE"""),30.5999999999999)</f>
        <v>30.599999999999898</v>
      </c>
    </row>
    <row r="14" spans="1:46" ht="12.75" x14ac:dyDescent="0.2">
      <c r="A14" s="3">
        <f ca="1">IFERROR(__xludf.DUMMYFUNCTION("""COMPUTED_VALUE"""),40148.3236111111)</f>
        <v>40148.323611111096</v>
      </c>
      <c r="B14" s="1">
        <f ca="1">IFERROR(__xludf.DUMMYFUNCTION("""COMPUTED_VALUE"""),3.75)</f>
        <v>3.75</v>
      </c>
      <c r="E14" s="1" t="str">
        <f ca="1">IFERROR(__xludf.DUMMYFUNCTION("""COMPUTED_VALUE"""),"FULL ENGLISH BREAKFAST PLATE")</f>
        <v>FULL ENGLISH BREAKFAST PLATE</v>
      </c>
      <c r="F14" s="1">
        <f ca="1">IFERROR(__xludf.DUMMYFUNCTION("""COMPUTED_VALUE"""),16)</f>
        <v>16</v>
      </c>
      <c r="G14" s="1">
        <f ca="1">IFERROR(__xludf.DUMMYFUNCTION("""COMPUTED_VALUE"""),3.39)</f>
        <v>3.39</v>
      </c>
      <c r="J14" s="1" t="str">
        <f ca="1">IFERROR(__xludf.DUMMYFUNCTION("""COMPUTED_VALUE"""),"DOG BOWL , CHASING BALL DESIGN")</f>
        <v>DOG BOWL , CHASING BALL DESIGN</v>
      </c>
      <c r="K14" s="1">
        <f ca="1">IFERROR(__xludf.DUMMYFUNCTION("""COMPUTED_VALUE"""),12)</f>
        <v>12</v>
      </c>
      <c r="L14" s="1">
        <f ca="1">IFERROR(__xludf.DUMMYFUNCTION("""COMPUTED_VALUE"""),3.75)</f>
        <v>3.75</v>
      </c>
      <c r="T14" s="1">
        <f ca="1">IFERROR(__xludf.DUMMYFUNCTION("""COMPUTED_VALUE"""),489435)</f>
        <v>489435</v>
      </c>
      <c r="U14" s="1">
        <f ca="1">IFERROR(__xludf.DUMMYFUNCTION("""COMPUTED_VALUE"""),45)</f>
        <v>45</v>
      </c>
    </row>
    <row r="15" spans="1:46" ht="12.75" x14ac:dyDescent="0.2">
      <c r="A15" s="3">
        <f ca="1">IFERROR(__xludf.DUMMYFUNCTION("""COMPUTED_VALUE"""),40148.3236111111)</f>
        <v>40148.323611111096</v>
      </c>
      <c r="B15" s="1">
        <f ca="1">IFERROR(__xludf.DUMMYFUNCTION("""COMPUTED_VALUE"""),2.55)</f>
        <v>2.5499999999999998</v>
      </c>
      <c r="E15" s="1" t="str">
        <f ca="1">IFERROR(__xludf.DUMMYFUNCTION("""COMPUTED_VALUE"""),"CHRISTMAS CRAFT WHITE FAIRY")</f>
        <v>CHRISTMAS CRAFT WHITE FAIRY</v>
      </c>
      <c r="F15" s="1">
        <f ca="1">IFERROR(__xludf.DUMMYFUNCTION("""COMPUTED_VALUE"""),12)</f>
        <v>12</v>
      </c>
      <c r="G15" s="1">
        <f ca="1">IFERROR(__xludf.DUMMYFUNCTION("""COMPUTED_VALUE"""),1.45)</f>
        <v>1.45</v>
      </c>
      <c r="J15" s="1" t="str">
        <f ca="1">IFERROR(__xludf.DUMMYFUNCTION("""COMPUTED_VALUE"""),"LUNCHBOX WITH CUTLERY FAIRY CAKES")</f>
        <v>LUNCHBOX WITH CUTLERY FAIRY CAKES</v>
      </c>
      <c r="K15" s="1">
        <f ca="1">IFERROR(__xludf.DUMMYFUNCTION("""COMPUTED_VALUE"""),12)</f>
        <v>12</v>
      </c>
      <c r="L15" s="1">
        <f ca="1">IFERROR(__xludf.DUMMYFUNCTION("""COMPUTED_VALUE"""),2.55)</f>
        <v>2.5499999999999998</v>
      </c>
      <c r="T15" s="1">
        <f ca="1">IFERROR(__xludf.DUMMYFUNCTION("""COMPUTED_VALUE"""),489435)</f>
        <v>489435</v>
      </c>
      <c r="U15" s="1">
        <f ca="1">IFERROR(__xludf.DUMMYFUNCTION("""COMPUTED_VALUE"""),30.5999999999999)</f>
        <v>30.599999999999898</v>
      </c>
    </row>
    <row r="16" spans="1:46" ht="12.75" x14ac:dyDescent="0.2">
      <c r="A16" s="3">
        <f ca="1">IFERROR(__xludf.DUMMYFUNCTION("""COMPUTED_VALUE"""),40148.3791666666)</f>
        <v>40148.3791666666</v>
      </c>
      <c r="B16" s="1">
        <f ca="1">IFERROR(__xludf.DUMMYFUNCTION("""COMPUTED_VALUE"""),4.25)</f>
        <v>4.25</v>
      </c>
      <c r="E16" s="1" t="str">
        <f ca="1">IFERROR(__xludf.DUMMYFUNCTION("""COMPUTED_VALUE"""),"HEART IVORY TRELLIS LARGE")</f>
        <v>HEART IVORY TRELLIS LARGE</v>
      </c>
      <c r="F16" s="1">
        <f ca="1">IFERROR(__xludf.DUMMYFUNCTION("""COMPUTED_VALUE"""),12)</f>
        <v>12</v>
      </c>
      <c r="G16" s="1">
        <f ca="1">IFERROR(__xludf.DUMMYFUNCTION("""COMPUTED_VALUE"""),1.65)</f>
        <v>1.65</v>
      </c>
      <c r="J16" s="1" t="str">
        <f ca="1">IFERROR(__xludf.DUMMYFUNCTION("""COMPUTED_VALUE"""),"SCOTTIE DOG HOT WATER BOTTLE")</f>
        <v>SCOTTIE DOG HOT WATER BOTTLE</v>
      </c>
      <c r="K16" s="1">
        <f ca="1">IFERROR(__xludf.DUMMYFUNCTION("""COMPUTED_VALUE"""),24)</f>
        <v>24</v>
      </c>
      <c r="L16" s="1">
        <f ca="1">IFERROR(__xludf.DUMMYFUNCTION("""COMPUTED_VALUE"""),4.25)</f>
        <v>4.25</v>
      </c>
      <c r="T16" s="1">
        <f ca="1">IFERROR(__xludf.DUMMYFUNCTION("""COMPUTED_VALUE"""),489436)</f>
        <v>489436</v>
      </c>
      <c r="U16" s="1">
        <f ca="1">IFERROR(__xludf.DUMMYFUNCTION("""COMPUTED_VALUE"""),102)</f>
        <v>102</v>
      </c>
    </row>
    <row r="17" spans="1:21" ht="12.75" x14ac:dyDescent="0.2">
      <c r="A17" s="3">
        <f ca="1">IFERROR(__xludf.DUMMYFUNCTION("""COMPUTED_VALUE"""),40148.3791666666)</f>
        <v>40148.3791666666</v>
      </c>
      <c r="B17" s="1">
        <f ca="1">IFERROR(__xludf.DUMMYFUNCTION("""COMPUTED_VALUE"""),5.45)</f>
        <v>5.45</v>
      </c>
      <c r="E17" s="1" t="str">
        <f ca="1">IFERROR(__xludf.DUMMYFUNCTION("""COMPUTED_VALUE"""),"HEART FILIGREE DOVE LARGE")</f>
        <v>HEART FILIGREE DOVE LARGE</v>
      </c>
      <c r="F17" s="1">
        <f ca="1">IFERROR(__xludf.DUMMYFUNCTION("""COMPUTED_VALUE"""),12)</f>
        <v>12</v>
      </c>
      <c r="G17" s="1">
        <f ca="1">IFERROR(__xludf.DUMMYFUNCTION("""COMPUTED_VALUE"""),1.65)</f>
        <v>1.65</v>
      </c>
      <c r="J17" s="1" t="str">
        <f ca="1">IFERROR(__xludf.DUMMYFUNCTION("""COMPUTED_VALUE"""),"LOVE BUILDING BLOCK WORD")</f>
        <v>LOVE BUILDING BLOCK WORD</v>
      </c>
      <c r="K17" s="1">
        <f ca="1">IFERROR(__xludf.DUMMYFUNCTION("""COMPUTED_VALUE"""),18)</f>
        <v>18</v>
      </c>
      <c r="L17" s="1">
        <f ca="1">IFERROR(__xludf.DUMMYFUNCTION("""COMPUTED_VALUE"""),5.45)</f>
        <v>5.45</v>
      </c>
      <c r="T17" s="1">
        <f ca="1">IFERROR(__xludf.DUMMYFUNCTION("""COMPUTED_VALUE"""),489436)</f>
        <v>489436</v>
      </c>
      <c r="U17" s="1">
        <f ca="1">IFERROR(__xludf.DUMMYFUNCTION("""COMPUTED_VALUE"""),98.1)</f>
        <v>98.1</v>
      </c>
    </row>
    <row r="18" spans="1:21" ht="12.75" x14ac:dyDescent="0.2">
      <c r="A18" s="3">
        <f ca="1">IFERROR(__xludf.DUMMYFUNCTION("""COMPUTED_VALUE"""),40148.3791666666)</f>
        <v>40148.3791666666</v>
      </c>
      <c r="B18" s="1">
        <f ca="1">IFERROR(__xludf.DUMMYFUNCTION("""COMPUTED_VALUE"""),1.69)</f>
        <v>1.69</v>
      </c>
      <c r="E18" s="1" t="str">
        <f ca="1">IFERROR(__xludf.DUMMYFUNCTION("""COMPUTED_VALUE"""),"SET OF 3 BLACK FLYING DUCKS")</f>
        <v>SET OF 3 BLACK FLYING DUCKS</v>
      </c>
      <c r="F18" s="1">
        <f ca="1">IFERROR(__xludf.DUMMYFUNCTION("""COMPUTED_VALUE"""),12)</f>
        <v>12</v>
      </c>
      <c r="G18" s="1">
        <f ca="1">IFERROR(__xludf.DUMMYFUNCTION("""COMPUTED_VALUE"""),4.65)</f>
        <v>4.6500000000000004</v>
      </c>
      <c r="J18" s="1" t="str">
        <f ca="1">IFERROR(__xludf.DUMMYFUNCTION("""COMPUTED_VALUE"""),"ASSORTED COLOUR BIRD ORNAMENT")</f>
        <v>ASSORTED COLOUR BIRD ORNAMENT</v>
      </c>
      <c r="K18" s="1">
        <f ca="1">IFERROR(__xludf.DUMMYFUNCTION("""COMPUTED_VALUE"""),16)</f>
        <v>16</v>
      </c>
      <c r="L18" s="1">
        <f ca="1">IFERROR(__xludf.DUMMYFUNCTION("""COMPUTED_VALUE"""),1.69)</f>
        <v>1.69</v>
      </c>
      <c r="T18" s="1">
        <f ca="1">IFERROR(__xludf.DUMMYFUNCTION("""COMPUTED_VALUE"""),489436)</f>
        <v>489436</v>
      </c>
      <c r="U18" s="1">
        <f ca="1">IFERROR(__xludf.DUMMYFUNCTION("""COMPUTED_VALUE"""),27.04)</f>
        <v>27.04</v>
      </c>
    </row>
    <row r="19" spans="1:21" ht="12.75" x14ac:dyDescent="0.2">
      <c r="A19" s="3">
        <f ca="1">IFERROR(__xludf.DUMMYFUNCTION("""COMPUTED_VALUE"""),40148.3791666666)</f>
        <v>40148.3791666666</v>
      </c>
      <c r="B19" s="1">
        <f ca="1">IFERROR(__xludf.DUMMYFUNCTION("""COMPUTED_VALUE"""),3.39)</f>
        <v>3.39</v>
      </c>
      <c r="E19" s="1" t="str">
        <f ca="1">IFERROR(__xludf.DUMMYFUNCTION("""COMPUTED_VALUE"""),"AREA PATROLLED METAL SIGN")</f>
        <v>AREA PATROLLED METAL SIGN</v>
      </c>
      <c r="F19" s="1">
        <f ca="1">IFERROR(__xludf.DUMMYFUNCTION("""COMPUTED_VALUE"""),12)</f>
        <v>12</v>
      </c>
      <c r="G19" s="1">
        <f ca="1">IFERROR(__xludf.DUMMYFUNCTION("""COMPUTED_VALUE"""),2.1)</f>
        <v>2.1</v>
      </c>
      <c r="J19" s="1" t="str">
        <f ca="1">IFERROR(__xludf.DUMMYFUNCTION("""COMPUTED_VALUE"""),"FULL ENGLISH BREAKFAST PLATE")</f>
        <v>FULL ENGLISH BREAKFAST PLATE</v>
      </c>
      <c r="K19" s="1">
        <f ca="1">IFERROR(__xludf.DUMMYFUNCTION("""COMPUTED_VALUE"""),16)</f>
        <v>16</v>
      </c>
      <c r="L19" s="1">
        <f ca="1">IFERROR(__xludf.DUMMYFUNCTION("""COMPUTED_VALUE"""),3.39)</f>
        <v>3.39</v>
      </c>
      <c r="T19" s="1">
        <f ca="1">IFERROR(__xludf.DUMMYFUNCTION("""COMPUTED_VALUE"""),489436)</f>
        <v>489436</v>
      </c>
      <c r="U19" s="1">
        <f ca="1">IFERROR(__xludf.DUMMYFUNCTION("""COMPUTED_VALUE"""),54.24)</f>
        <v>54.24</v>
      </c>
    </row>
    <row r="20" spans="1:21" ht="12.75" x14ac:dyDescent="0.2">
      <c r="A20" s="3">
        <f ca="1">IFERROR(__xludf.DUMMYFUNCTION("""COMPUTED_VALUE"""),40148.3791666666)</f>
        <v>40148.3791666666</v>
      </c>
      <c r="B20" s="1">
        <f ca="1">IFERROR(__xludf.DUMMYFUNCTION("""COMPUTED_VALUE"""),1.45)</f>
        <v>1.45</v>
      </c>
      <c r="E20" s="1" t="str">
        <f ca="1">IFERROR(__xludf.DUMMYFUNCTION("""COMPUTED_VALUE"""),"PLEASE ONE PERSON  METAL SIGN")</f>
        <v>PLEASE ONE PERSON  METAL SIGN</v>
      </c>
      <c r="F20" s="1">
        <f ca="1">IFERROR(__xludf.DUMMYFUNCTION("""COMPUTED_VALUE"""),12)</f>
        <v>12</v>
      </c>
      <c r="G20" s="1">
        <f ca="1">IFERROR(__xludf.DUMMYFUNCTION("""COMPUTED_VALUE"""),2.1)</f>
        <v>2.1</v>
      </c>
      <c r="J20" s="1" t="str">
        <f ca="1">IFERROR(__xludf.DUMMYFUNCTION("""COMPUTED_VALUE"""),"CHRISTMAS CRAFT WHITE FAIRY")</f>
        <v>CHRISTMAS CRAFT WHITE FAIRY</v>
      </c>
      <c r="K20" s="1">
        <f ca="1">IFERROR(__xludf.DUMMYFUNCTION("""COMPUTED_VALUE"""),12)</f>
        <v>12</v>
      </c>
      <c r="L20" s="1">
        <f ca="1">IFERROR(__xludf.DUMMYFUNCTION("""COMPUTED_VALUE"""),1.45)</f>
        <v>1.45</v>
      </c>
      <c r="T20" s="1">
        <f ca="1">IFERROR(__xludf.DUMMYFUNCTION("""COMPUTED_VALUE"""),489436)</f>
        <v>489436</v>
      </c>
      <c r="U20" s="1">
        <f ca="1">IFERROR(__xludf.DUMMYFUNCTION("""COMPUTED_VALUE"""),17.4)</f>
        <v>17.399999999999999</v>
      </c>
    </row>
    <row r="21" spans="1:21" ht="12.75" x14ac:dyDescent="0.2">
      <c r="A21" s="3">
        <f ca="1">IFERROR(__xludf.DUMMYFUNCTION("""COMPUTED_VALUE"""),40148.3791666666)</f>
        <v>40148.3791666666</v>
      </c>
      <c r="B21" s="1">
        <f ca="1">IFERROR(__xludf.DUMMYFUNCTION("""COMPUTED_VALUE"""),1.65)</f>
        <v>1.65</v>
      </c>
      <c r="E21" s="1" t="str">
        <f ca="1">IFERROR(__xludf.DUMMYFUNCTION("""COMPUTED_VALUE"""),"SMALL MARSHMALLOWS PINK BOWL")</f>
        <v>SMALL MARSHMALLOWS PINK BOWL</v>
      </c>
      <c r="F21" s="1">
        <f ca="1">IFERROR(__xludf.DUMMYFUNCTION("""COMPUTED_VALUE"""),8)</f>
        <v>8</v>
      </c>
      <c r="G21" s="1">
        <f ca="1">IFERROR(__xludf.DUMMYFUNCTION("""COMPUTED_VALUE"""),1.25)</f>
        <v>1.25</v>
      </c>
      <c r="J21" s="1" t="str">
        <f ca="1">IFERROR(__xludf.DUMMYFUNCTION("""COMPUTED_VALUE"""),"HEART IVORY TRELLIS LARGE")</f>
        <v>HEART IVORY TRELLIS LARGE</v>
      </c>
      <c r="K21" s="1">
        <f ca="1">IFERROR(__xludf.DUMMYFUNCTION("""COMPUTED_VALUE"""),12)</f>
        <v>12</v>
      </c>
      <c r="L21" s="1">
        <f ca="1">IFERROR(__xludf.DUMMYFUNCTION("""COMPUTED_VALUE"""),1.65)</f>
        <v>1.65</v>
      </c>
      <c r="T21" s="1">
        <f ca="1">IFERROR(__xludf.DUMMYFUNCTION("""COMPUTED_VALUE"""),489436)</f>
        <v>489436</v>
      </c>
      <c r="U21" s="1">
        <f ca="1">IFERROR(__xludf.DUMMYFUNCTION("""COMPUTED_VALUE"""),19.7999999999999)</f>
        <v>19.799999999999901</v>
      </c>
    </row>
    <row r="22" spans="1:21" ht="12.75" x14ac:dyDescent="0.2">
      <c r="A22" s="3">
        <f ca="1">IFERROR(__xludf.DUMMYFUNCTION("""COMPUTED_VALUE"""),40148.3791666666)</f>
        <v>40148.3791666666</v>
      </c>
      <c r="B22" s="1">
        <f ca="1">IFERROR(__xludf.DUMMYFUNCTION("""COMPUTED_VALUE"""),1.65)</f>
        <v>1.65</v>
      </c>
      <c r="E22" s="1" t="str">
        <f ca="1">IFERROR(__xludf.DUMMYFUNCTION("""COMPUTED_VALUE"""),"BISCUITS SMALL BOWL LIGHT BLUE")</f>
        <v>BISCUITS SMALL BOWL LIGHT BLUE</v>
      </c>
      <c r="F22" s="1">
        <f ca="1">IFERROR(__xludf.DUMMYFUNCTION("""COMPUTED_VALUE"""),8)</f>
        <v>8</v>
      </c>
      <c r="G22" s="1">
        <f ca="1">IFERROR(__xludf.DUMMYFUNCTION("""COMPUTED_VALUE"""),1.25)</f>
        <v>1.25</v>
      </c>
      <c r="J22" s="1" t="str">
        <f ca="1">IFERROR(__xludf.DUMMYFUNCTION("""COMPUTED_VALUE"""),"HEART FILIGREE DOVE LARGE")</f>
        <v>HEART FILIGREE DOVE LARGE</v>
      </c>
      <c r="K22" s="1">
        <f ca="1">IFERROR(__xludf.DUMMYFUNCTION("""COMPUTED_VALUE"""),12)</f>
        <v>12</v>
      </c>
      <c r="L22" s="1">
        <f ca="1">IFERROR(__xludf.DUMMYFUNCTION("""COMPUTED_VALUE"""),1.65)</f>
        <v>1.65</v>
      </c>
      <c r="T22" s="1">
        <f ca="1">IFERROR(__xludf.DUMMYFUNCTION("""COMPUTED_VALUE"""),489436)</f>
        <v>489436</v>
      </c>
      <c r="U22" s="1">
        <f ca="1">IFERROR(__xludf.DUMMYFUNCTION("""COMPUTED_VALUE"""),19.7999999999999)</f>
        <v>19.799999999999901</v>
      </c>
    </row>
    <row r="23" spans="1:21" ht="12.75" x14ac:dyDescent="0.2">
      <c r="A23" s="3">
        <f ca="1">IFERROR(__xludf.DUMMYFUNCTION("""COMPUTED_VALUE"""),40148.3791666666)</f>
        <v>40148.3791666666</v>
      </c>
      <c r="B23" s="1">
        <f ca="1">IFERROR(__xludf.DUMMYFUNCTION("""COMPUTED_VALUE"""),4.65)</f>
        <v>4.6500000000000004</v>
      </c>
      <c r="E23" s="1" t="str">
        <f ca="1">IFERROR(__xludf.DUMMYFUNCTION("""COMPUTED_VALUE"""),"CLASSIC WHITE FRAME")</f>
        <v>CLASSIC WHITE FRAME</v>
      </c>
      <c r="F23" s="1">
        <f ca="1">IFERROR(__xludf.DUMMYFUNCTION("""COMPUTED_VALUE"""),6)</f>
        <v>6</v>
      </c>
      <c r="G23" s="1">
        <f ca="1">IFERROR(__xludf.DUMMYFUNCTION("""COMPUTED_VALUE"""),2.95)</f>
        <v>2.95</v>
      </c>
      <c r="J23" s="1" t="str">
        <f ca="1">IFERROR(__xludf.DUMMYFUNCTION("""COMPUTED_VALUE"""),"SET OF 3 BLACK FLYING DUCKS")</f>
        <v>SET OF 3 BLACK FLYING DUCKS</v>
      </c>
      <c r="K23" s="1">
        <f ca="1">IFERROR(__xludf.DUMMYFUNCTION("""COMPUTED_VALUE"""),12)</f>
        <v>12</v>
      </c>
      <c r="L23" s="1">
        <f ca="1">IFERROR(__xludf.DUMMYFUNCTION("""COMPUTED_VALUE"""),4.65)</f>
        <v>4.6500000000000004</v>
      </c>
      <c r="T23" s="1">
        <f ca="1">IFERROR(__xludf.DUMMYFUNCTION("""COMPUTED_VALUE"""),489436)</f>
        <v>489436</v>
      </c>
      <c r="U23" s="1">
        <f ca="1">IFERROR(__xludf.DUMMYFUNCTION("""COMPUTED_VALUE"""),55.8)</f>
        <v>55.8</v>
      </c>
    </row>
    <row r="24" spans="1:21" ht="12.75" x14ac:dyDescent="0.2">
      <c r="A24" s="3">
        <f ca="1">IFERROR(__xludf.DUMMYFUNCTION("""COMPUTED_VALUE"""),40148.3791666666)</f>
        <v>40148.3791666666</v>
      </c>
      <c r="B24" s="1">
        <f ca="1">IFERROR(__xludf.DUMMYFUNCTION("""COMPUTED_VALUE"""),2.1)</f>
        <v>2.1</v>
      </c>
      <c r="E24" s="1" t="str">
        <f ca="1">IFERROR(__xludf.DUMMYFUNCTION("""COMPUTED_VALUE"""),"PIZZA PLATE IN BOX")</f>
        <v>PIZZA PLATE IN BOX</v>
      </c>
      <c r="F24" s="1">
        <f ca="1">IFERROR(__xludf.DUMMYFUNCTION("""COMPUTED_VALUE"""),4)</f>
        <v>4</v>
      </c>
      <c r="G24" s="1">
        <f ca="1">IFERROR(__xludf.DUMMYFUNCTION("""COMPUTED_VALUE"""),3.75)</f>
        <v>3.75</v>
      </c>
      <c r="J24" s="1" t="str">
        <f ca="1">IFERROR(__xludf.DUMMYFUNCTION("""COMPUTED_VALUE"""),"AREA PATROLLED METAL SIGN")</f>
        <v>AREA PATROLLED METAL SIGN</v>
      </c>
      <c r="K24" s="1">
        <f ca="1">IFERROR(__xludf.DUMMYFUNCTION("""COMPUTED_VALUE"""),12)</f>
        <v>12</v>
      </c>
      <c r="L24" s="1">
        <f ca="1">IFERROR(__xludf.DUMMYFUNCTION("""COMPUTED_VALUE"""),2.1)</f>
        <v>2.1</v>
      </c>
      <c r="T24" s="1">
        <f ca="1">IFERROR(__xludf.DUMMYFUNCTION("""COMPUTED_VALUE"""),489436)</f>
        <v>489436</v>
      </c>
      <c r="U24" s="1">
        <f ca="1">IFERROR(__xludf.DUMMYFUNCTION("""COMPUTED_VALUE"""),25.2)</f>
        <v>25.2</v>
      </c>
    </row>
    <row r="25" spans="1:21" ht="12.75" x14ac:dyDescent="0.2">
      <c r="A25" s="3">
        <f ca="1">IFERROR(__xludf.DUMMYFUNCTION("""COMPUTED_VALUE"""),40148.3791666666)</f>
        <v>40148.3791666666</v>
      </c>
      <c r="B25" s="1">
        <f ca="1">IFERROR(__xludf.DUMMYFUNCTION("""COMPUTED_VALUE"""),2.1)</f>
        <v>2.1</v>
      </c>
      <c r="E25" s="1" t="str">
        <f ca="1">IFERROR(__xludf.DUMMYFUNCTION("""COMPUTED_VALUE"""),"RETRO COFFEE MUGS ASSORTED")</f>
        <v>RETRO COFFEE MUGS ASSORTED</v>
      </c>
      <c r="F25" s="1">
        <f ca="1">IFERROR(__xludf.DUMMYFUNCTION("""COMPUTED_VALUE"""),12)</f>
        <v>12</v>
      </c>
      <c r="G25" s="1">
        <f ca="1">IFERROR(__xludf.DUMMYFUNCTION("""COMPUTED_VALUE"""),1.25)</f>
        <v>1.25</v>
      </c>
      <c r="J25" s="1" t="str">
        <f ca="1">IFERROR(__xludf.DUMMYFUNCTION("""COMPUTED_VALUE"""),"PLEASE ONE PERSON  METAL SIGN")</f>
        <v>PLEASE ONE PERSON  METAL SIGN</v>
      </c>
      <c r="K25" s="1">
        <f ca="1">IFERROR(__xludf.DUMMYFUNCTION("""COMPUTED_VALUE"""),12)</f>
        <v>12</v>
      </c>
      <c r="L25" s="1">
        <f ca="1">IFERROR(__xludf.DUMMYFUNCTION("""COMPUTED_VALUE"""),2.1)</f>
        <v>2.1</v>
      </c>
      <c r="T25" s="1">
        <f ca="1">IFERROR(__xludf.DUMMYFUNCTION("""COMPUTED_VALUE"""),489436)</f>
        <v>489436</v>
      </c>
      <c r="U25" s="1">
        <f ca="1">IFERROR(__xludf.DUMMYFUNCTION("""COMPUTED_VALUE"""),25.2)</f>
        <v>25.2</v>
      </c>
    </row>
    <row r="26" spans="1:21" ht="12.75" x14ac:dyDescent="0.2">
      <c r="A26" s="3">
        <f ca="1">IFERROR(__xludf.DUMMYFUNCTION("""COMPUTED_VALUE"""),40148.3791666666)</f>
        <v>40148.3791666666</v>
      </c>
      <c r="B26" s="1">
        <f ca="1">IFERROR(__xludf.DUMMYFUNCTION("""COMPUTED_VALUE"""),5.95)</f>
        <v>5.95</v>
      </c>
      <c r="E26" s="1" t="str">
        <f ca="1">IFERROR(__xludf.DUMMYFUNCTION("""COMPUTED_VALUE"""),"PINK BLUE FELT CRAFT TRINKET BOX")</f>
        <v>PINK BLUE FELT CRAFT TRINKET BOX</v>
      </c>
      <c r="F26" s="1">
        <f ca="1">IFERROR(__xludf.DUMMYFUNCTION("""COMPUTED_VALUE"""),12)</f>
        <v>12</v>
      </c>
      <c r="G26" s="1">
        <f ca="1">IFERROR(__xludf.DUMMYFUNCTION("""COMPUTED_VALUE"""),1.25)</f>
        <v>1.25</v>
      </c>
      <c r="J26" s="1" t="str">
        <f ca="1">IFERROR(__xludf.DUMMYFUNCTION("""COMPUTED_VALUE"""),"DOOR MAT BLACK FLOCK")</f>
        <v>DOOR MAT BLACK FLOCK</v>
      </c>
      <c r="K26" s="1">
        <f ca="1">IFERROR(__xludf.DUMMYFUNCTION("""COMPUTED_VALUE"""),10)</f>
        <v>10</v>
      </c>
      <c r="L26" s="1">
        <f ca="1">IFERROR(__xludf.DUMMYFUNCTION("""COMPUTED_VALUE"""),5.95)</f>
        <v>5.95</v>
      </c>
      <c r="T26" s="1">
        <f ca="1">IFERROR(__xludf.DUMMYFUNCTION("""COMPUTED_VALUE"""),489436)</f>
        <v>489436</v>
      </c>
      <c r="U26" s="1">
        <f ca="1">IFERROR(__xludf.DUMMYFUNCTION("""COMPUTED_VALUE"""),59.5)</f>
        <v>59.5</v>
      </c>
    </row>
    <row r="27" spans="1:21" ht="12.75" x14ac:dyDescent="0.2">
      <c r="A27" s="3">
        <f ca="1">IFERROR(__xludf.DUMMYFUNCTION("""COMPUTED_VALUE"""),40148.3791666666)</f>
        <v>40148.3791666666</v>
      </c>
      <c r="B27" s="1">
        <f ca="1">IFERROR(__xludf.DUMMYFUNCTION("""COMPUTED_VALUE"""),1.25)</f>
        <v>1.25</v>
      </c>
      <c r="E27" s="1" t="str">
        <f ca="1">IFERROR(__xludf.DUMMYFUNCTION("""COMPUTED_VALUE"""),"CHRISTMAS CRAFT HEART DECORATIONS")</f>
        <v>CHRISTMAS CRAFT HEART DECORATIONS</v>
      </c>
      <c r="F27" s="1">
        <f ca="1">IFERROR(__xludf.DUMMYFUNCTION("""COMPUTED_VALUE"""),6)</f>
        <v>6</v>
      </c>
      <c r="G27" s="1">
        <f ca="1">IFERROR(__xludf.DUMMYFUNCTION("""COMPUTED_VALUE"""),2.1)</f>
        <v>2.1</v>
      </c>
      <c r="J27" s="1" t="str">
        <f ca="1">IFERROR(__xludf.DUMMYFUNCTION("""COMPUTED_VALUE"""),"SMALL MARSHMALLOWS PINK BOWL")</f>
        <v>SMALL MARSHMALLOWS PINK BOWL</v>
      </c>
      <c r="K27" s="1">
        <f ca="1">IFERROR(__xludf.DUMMYFUNCTION("""COMPUTED_VALUE"""),8)</f>
        <v>8</v>
      </c>
      <c r="L27" s="1">
        <f ca="1">IFERROR(__xludf.DUMMYFUNCTION("""COMPUTED_VALUE"""),1.25)</f>
        <v>1.25</v>
      </c>
      <c r="T27" s="1">
        <f ca="1">IFERROR(__xludf.DUMMYFUNCTION("""COMPUTED_VALUE"""),489436)</f>
        <v>489436</v>
      </c>
      <c r="U27" s="1">
        <f ca="1">IFERROR(__xludf.DUMMYFUNCTION("""COMPUTED_VALUE"""),10)</f>
        <v>10</v>
      </c>
    </row>
    <row r="28" spans="1:21" ht="12.75" x14ac:dyDescent="0.2">
      <c r="A28" s="3">
        <f ca="1">IFERROR(__xludf.DUMMYFUNCTION("""COMPUTED_VALUE"""),40148.3791666666)</f>
        <v>40148.3791666666</v>
      </c>
      <c r="B28" s="1">
        <f ca="1">IFERROR(__xludf.DUMMYFUNCTION("""COMPUTED_VALUE"""),1.25)</f>
        <v>1.25</v>
      </c>
      <c r="E28" s="1" t="str">
        <f ca="1">IFERROR(__xludf.DUMMYFUNCTION("""COMPUTED_VALUE"""),"CHRISTMAS CRAFT HEART STOCKING")</f>
        <v>CHRISTMAS CRAFT HEART STOCKING</v>
      </c>
      <c r="F28" s="1">
        <f ca="1">IFERROR(__xludf.DUMMYFUNCTION("""COMPUTED_VALUE"""),6)</f>
        <v>6</v>
      </c>
      <c r="G28" s="1">
        <f ca="1">IFERROR(__xludf.DUMMYFUNCTION("""COMPUTED_VALUE"""),2.1)</f>
        <v>2.1</v>
      </c>
      <c r="J28" s="1" t="str">
        <f ca="1">IFERROR(__xludf.DUMMYFUNCTION("""COMPUTED_VALUE"""),"BISCUITS SMALL BOWL LIGHT BLUE")</f>
        <v>BISCUITS SMALL BOWL LIGHT BLUE</v>
      </c>
      <c r="K28" s="1">
        <f ca="1">IFERROR(__xludf.DUMMYFUNCTION("""COMPUTED_VALUE"""),8)</f>
        <v>8</v>
      </c>
      <c r="L28" s="1">
        <f ca="1">IFERROR(__xludf.DUMMYFUNCTION("""COMPUTED_VALUE"""),1.25)</f>
        <v>1.25</v>
      </c>
      <c r="T28" s="1">
        <f ca="1">IFERROR(__xludf.DUMMYFUNCTION("""COMPUTED_VALUE"""),489436)</f>
        <v>489436</v>
      </c>
      <c r="U28" s="1">
        <f ca="1">IFERROR(__xludf.DUMMYFUNCTION("""COMPUTED_VALUE"""),10)</f>
        <v>10</v>
      </c>
    </row>
    <row r="29" spans="1:21" ht="12.75" x14ac:dyDescent="0.2">
      <c r="A29" s="3">
        <f ca="1">IFERROR(__xludf.DUMMYFUNCTION("""COMPUTED_VALUE"""),40148.3791666666)</f>
        <v>40148.3791666666</v>
      </c>
      <c r="B29" s="1">
        <f ca="1">IFERROR(__xludf.DUMMYFUNCTION("""COMPUTED_VALUE"""),2.95)</f>
        <v>2.95</v>
      </c>
      <c r="E29" s="1" t="str">
        <f ca="1">IFERROR(__xludf.DUMMYFUNCTION("""COMPUTED_VALUE"""),"STRIPES DESIGN MONKEY DOLL")</f>
        <v>STRIPES DESIGN MONKEY DOLL</v>
      </c>
      <c r="F29" s="1">
        <f ca="1">IFERROR(__xludf.DUMMYFUNCTION("""COMPUTED_VALUE"""),6)</f>
        <v>6</v>
      </c>
      <c r="G29" s="1">
        <f ca="1">IFERROR(__xludf.DUMMYFUNCTION("""COMPUTED_VALUE"""),2.55)</f>
        <v>2.5499999999999998</v>
      </c>
      <c r="J29" s="1" t="str">
        <f ca="1">IFERROR(__xludf.DUMMYFUNCTION("""COMPUTED_VALUE"""),"CLASSIC WHITE FRAME")</f>
        <v>CLASSIC WHITE FRAME</v>
      </c>
      <c r="K29" s="1">
        <f ca="1">IFERROR(__xludf.DUMMYFUNCTION("""COMPUTED_VALUE"""),6)</f>
        <v>6</v>
      </c>
      <c r="L29" s="1">
        <f ca="1">IFERROR(__xludf.DUMMYFUNCTION("""COMPUTED_VALUE"""),2.95)</f>
        <v>2.95</v>
      </c>
      <c r="T29" s="1">
        <f ca="1">IFERROR(__xludf.DUMMYFUNCTION("""COMPUTED_VALUE"""),489436)</f>
        <v>489436</v>
      </c>
      <c r="U29" s="1">
        <f ca="1">IFERROR(__xludf.DUMMYFUNCTION("""COMPUTED_VALUE"""),17.7)</f>
        <v>17.7</v>
      </c>
    </row>
    <row r="30" spans="1:21" ht="12.75" x14ac:dyDescent="0.2">
      <c r="A30" s="3">
        <f ca="1">IFERROR(__xludf.DUMMYFUNCTION("""COMPUTED_VALUE"""),40148.3791666666)</f>
        <v>40148.3791666666</v>
      </c>
      <c r="B30" s="1">
        <f ca="1">IFERROR(__xludf.DUMMYFUNCTION("""COMPUTED_VALUE"""),3.75)</f>
        <v>3.75</v>
      </c>
      <c r="E30" s="1" t="str">
        <f ca="1">IFERROR(__xludf.DUMMYFUNCTION("""COMPUTED_VALUE"""),"FELTCRAFT DOLL ROSIE")</f>
        <v>FELTCRAFT DOLL ROSIE</v>
      </c>
      <c r="F30" s="1">
        <f ca="1">IFERROR(__xludf.DUMMYFUNCTION("""COMPUTED_VALUE"""),6)</f>
        <v>6</v>
      </c>
      <c r="G30" s="1">
        <f ca="1">IFERROR(__xludf.DUMMYFUNCTION("""COMPUTED_VALUE"""),2.95)</f>
        <v>2.95</v>
      </c>
      <c r="J30" s="1" t="str">
        <f ca="1">IFERROR(__xludf.DUMMYFUNCTION("""COMPUTED_VALUE"""),"PIZZA PLATE IN BOX")</f>
        <v>PIZZA PLATE IN BOX</v>
      </c>
      <c r="K30" s="1">
        <f ca="1">IFERROR(__xludf.DUMMYFUNCTION("""COMPUTED_VALUE"""),4)</f>
        <v>4</v>
      </c>
      <c r="L30" s="1">
        <f ca="1">IFERROR(__xludf.DUMMYFUNCTION("""COMPUTED_VALUE"""),3.75)</f>
        <v>3.75</v>
      </c>
      <c r="T30" s="1">
        <f ca="1">IFERROR(__xludf.DUMMYFUNCTION("""COMPUTED_VALUE"""),489436)</f>
        <v>489436</v>
      </c>
      <c r="U30" s="1">
        <f ca="1">IFERROR(__xludf.DUMMYFUNCTION("""COMPUTED_VALUE"""),15)</f>
        <v>15</v>
      </c>
    </row>
    <row r="31" spans="1:21" ht="12.75" x14ac:dyDescent="0.2">
      <c r="A31" s="3">
        <f ca="1">IFERROR(__xludf.DUMMYFUNCTION("""COMPUTED_VALUE"""),40148.3791666666)</f>
        <v>40148.3791666666</v>
      </c>
      <c r="B31" s="1">
        <f ca="1">IFERROR(__xludf.DUMMYFUNCTION("""COMPUTED_VALUE"""),5.95)</f>
        <v>5.95</v>
      </c>
      <c r="E31" s="1" t="str">
        <f ca="1">IFERROR(__xludf.DUMMYFUNCTION("""COMPUTED_VALUE"""),"FELTCRAFT DOLL MARIA")</f>
        <v>FELTCRAFT DOLL MARIA</v>
      </c>
      <c r="F31" s="1">
        <f ca="1">IFERROR(__xludf.DUMMYFUNCTION("""COMPUTED_VALUE"""),6)</f>
        <v>6</v>
      </c>
      <c r="G31" s="1">
        <f ca="1">IFERROR(__xludf.DUMMYFUNCTION("""COMPUTED_VALUE"""),2.95)</f>
        <v>2.95</v>
      </c>
      <c r="J31" s="1" t="str">
        <f ca="1">IFERROR(__xludf.DUMMYFUNCTION("""COMPUTED_VALUE"""),"HOME BUILDING BLOCK WORD")</f>
        <v>HOME BUILDING BLOCK WORD</v>
      </c>
      <c r="K31" s="1">
        <f ca="1">IFERROR(__xludf.DUMMYFUNCTION("""COMPUTED_VALUE"""),3)</f>
        <v>3</v>
      </c>
      <c r="L31" s="1">
        <f ca="1">IFERROR(__xludf.DUMMYFUNCTION("""COMPUTED_VALUE"""),5.95)</f>
        <v>5.95</v>
      </c>
      <c r="T31" s="1">
        <f ca="1">IFERROR(__xludf.DUMMYFUNCTION("""COMPUTED_VALUE"""),489436)</f>
        <v>489436</v>
      </c>
      <c r="U31" s="1">
        <f ca="1">IFERROR(__xludf.DUMMYFUNCTION("""COMPUTED_VALUE"""),17.85)</f>
        <v>17.850000000000001</v>
      </c>
    </row>
    <row r="32" spans="1:21" ht="12.75" x14ac:dyDescent="0.2">
      <c r="A32" s="3">
        <f ca="1">IFERROR(__xludf.DUMMYFUNCTION("""COMPUTED_VALUE"""),40148.3791666666)</f>
        <v>40148.3791666666</v>
      </c>
      <c r="B32" s="1">
        <f ca="1">IFERROR(__xludf.DUMMYFUNCTION("""COMPUTED_VALUE"""),6.95)</f>
        <v>6.95</v>
      </c>
      <c r="E32" s="1" t="str">
        <f ca="1">IFERROR(__xludf.DUMMYFUNCTION("""COMPUTED_VALUE"""),"FELTCRAFT DOLL EMILY")</f>
        <v>FELTCRAFT DOLL EMILY</v>
      </c>
      <c r="F32" s="1">
        <f ca="1">IFERROR(__xludf.DUMMYFUNCTION("""COMPUTED_VALUE"""),6)</f>
        <v>6</v>
      </c>
      <c r="G32" s="1">
        <f ca="1">IFERROR(__xludf.DUMMYFUNCTION("""COMPUTED_VALUE"""),2.95)</f>
        <v>2.95</v>
      </c>
      <c r="J32" s="1" t="str">
        <f ca="1">IFERROR(__xludf.DUMMYFUNCTION("""COMPUTED_VALUE"""),"PEACE WOODEN BLOCK LETTERS")</f>
        <v>PEACE WOODEN BLOCK LETTERS</v>
      </c>
      <c r="K32" s="1">
        <f ca="1">IFERROR(__xludf.DUMMYFUNCTION("""COMPUTED_VALUE"""),3)</f>
        <v>3</v>
      </c>
      <c r="L32" s="1">
        <f ca="1">IFERROR(__xludf.DUMMYFUNCTION("""COMPUTED_VALUE"""),6.95)</f>
        <v>6.95</v>
      </c>
      <c r="T32" s="1">
        <f ca="1">IFERROR(__xludf.DUMMYFUNCTION("""COMPUTED_VALUE"""),489436)</f>
        <v>489436</v>
      </c>
      <c r="U32" s="1">
        <f ca="1">IFERROR(__xludf.DUMMYFUNCTION("""COMPUTED_VALUE"""),20.85)</f>
        <v>20.85</v>
      </c>
    </row>
    <row r="33" spans="1:21" ht="12.75" x14ac:dyDescent="0.2">
      <c r="A33" s="3">
        <f ca="1">IFERROR(__xludf.DUMMYFUNCTION("""COMPUTED_VALUE"""),40148.3791666666)</f>
        <v>40148.3791666666</v>
      </c>
      <c r="B33" s="1">
        <f ca="1">IFERROR(__xludf.DUMMYFUNCTION("""COMPUTED_VALUE"""),5.95)</f>
        <v>5.95</v>
      </c>
      <c r="E33" s="1" t="str">
        <f ca="1">IFERROR(__xludf.DUMMYFUNCTION("""COMPUTED_VALUE"""),"VINTAGE SNAKES &amp; LADDERS")</f>
        <v>VINTAGE SNAKES &amp; LADDERS</v>
      </c>
      <c r="F33" s="1">
        <f ca="1">IFERROR(__xludf.DUMMYFUNCTION("""COMPUTED_VALUE"""),4)</f>
        <v>4</v>
      </c>
      <c r="G33" s="1">
        <f ca="1">IFERROR(__xludf.DUMMYFUNCTION("""COMPUTED_VALUE"""),3.75)</f>
        <v>3.75</v>
      </c>
      <c r="J33" s="1" t="str">
        <f ca="1">IFERROR(__xludf.DUMMYFUNCTION("""COMPUTED_VALUE"""),"BATH BUILDING BLOCK WORD")</f>
        <v>BATH BUILDING BLOCK WORD</v>
      </c>
      <c r="K33" s="1">
        <f ca="1">IFERROR(__xludf.DUMMYFUNCTION("""COMPUTED_VALUE"""),3)</f>
        <v>3</v>
      </c>
      <c r="L33" s="1">
        <f ca="1">IFERROR(__xludf.DUMMYFUNCTION("""COMPUTED_VALUE"""),5.95)</f>
        <v>5.95</v>
      </c>
      <c r="T33" s="1">
        <f ca="1">IFERROR(__xludf.DUMMYFUNCTION("""COMPUTED_VALUE"""),489436)</f>
        <v>489436</v>
      </c>
      <c r="U33" s="1">
        <f ca="1">IFERROR(__xludf.DUMMYFUNCTION("""COMPUTED_VALUE"""),17.85)</f>
        <v>17.850000000000001</v>
      </c>
    </row>
    <row r="34" spans="1:21" ht="12.75" x14ac:dyDescent="0.2">
      <c r="A34" s="3">
        <f ca="1">IFERROR(__xludf.DUMMYFUNCTION("""COMPUTED_VALUE"""),40148.3791666666)</f>
        <v>40148.3791666666</v>
      </c>
      <c r="B34" s="1">
        <f ca="1">IFERROR(__xludf.DUMMYFUNCTION("""COMPUTED_VALUE"""),8.5)</f>
        <v>8.5</v>
      </c>
      <c r="E34" s="1" t="str">
        <f ca="1">IFERROR(__xludf.DUMMYFUNCTION("""COMPUTED_VALUE"""),"FLORAL BLUE MONSTER")</f>
        <v>FLORAL BLUE MONSTER</v>
      </c>
      <c r="F34" s="1">
        <f ca="1">IFERROR(__xludf.DUMMYFUNCTION("""COMPUTED_VALUE"""),3)</f>
        <v>3</v>
      </c>
      <c r="G34" s="1">
        <f ca="1">IFERROR(__xludf.DUMMYFUNCTION("""COMPUTED_VALUE"""),4.25)</f>
        <v>4.25</v>
      </c>
      <c r="J34" s="1" t="str">
        <f ca="1">IFERROR(__xludf.DUMMYFUNCTION("""COMPUTED_VALUE"""),"BLACK DINER WALL CLOCK")</f>
        <v>BLACK DINER WALL CLOCK</v>
      </c>
      <c r="K34" s="1">
        <f ca="1">IFERROR(__xludf.DUMMYFUNCTION("""COMPUTED_VALUE"""),2)</f>
        <v>2</v>
      </c>
      <c r="L34" s="1">
        <f ca="1">IFERROR(__xludf.DUMMYFUNCTION("""COMPUTED_VALUE"""),8.5)</f>
        <v>8.5</v>
      </c>
      <c r="T34" s="1">
        <f ca="1">IFERROR(__xludf.DUMMYFUNCTION("""COMPUTED_VALUE"""),489436)</f>
        <v>489436</v>
      </c>
      <c r="U34" s="1">
        <f ca="1">IFERROR(__xludf.DUMMYFUNCTION("""COMPUTED_VALUE"""),17)</f>
        <v>17</v>
      </c>
    </row>
    <row r="35" spans="1:21" ht="12.75" x14ac:dyDescent="0.2">
      <c r="A35" s="3">
        <f ca="1">IFERROR(__xludf.DUMMYFUNCTION("""COMPUTED_VALUE"""),40148.3805555555)</f>
        <v>40148.380555555501</v>
      </c>
      <c r="B35" s="1">
        <f ca="1">IFERROR(__xludf.DUMMYFUNCTION("""COMPUTED_VALUE"""),0.85)</f>
        <v>0.85</v>
      </c>
      <c r="E35" s="1" t="str">
        <f ca="1">IFERROR(__xludf.DUMMYFUNCTION("""COMPUTED_VALUE"""),"BLUE PADDED SOFT MOBILE")</f>
        <v>BLUE PADDED SOFT MOBILE</v>
      </c>
      <c r="F35" s="1">
        <f ca="1">IFERROR(__xludf.DUMMYFUNCTION("""COMPUTED_VALUE"""),3)</f>
        <v>3</v>
      </c>
      <c r="G35" s="1">
        <f ca="1">IFERROR(__xludf.DUMMYFUNCTION("""COMPUTED_VALUE"""),4.25)</f>
        <v>4.25</v>
      </c>
      <c r="J35" s="1" t="str">
        <f ca="1">IFERROR(__xludf.DUMMYFUNCTION("""COMPUTED_VALUE"""),"PARTY CONE CHRISTMAS DECORATION")</f>
        <v>PARTY CONE CHRISTMAS DECORATION</v>
      </c>
      <c r="K35" s="1">
        <f ca="1">IFERROR(__xludf.DUMMYFUNCTION("""COMPUTED_VALUE"""),12)</f>
        <v>12</v>
      </c>
      <c r="L35" s="1">
        <f ca="1">IFERROR(__xludf.DUMMYFUNCTION("""COMPUTED_VALUE"""),0.85)</f>
        <v>0.85</v>
      </c>
      <c r="T35" s="1">
        <f ca="1">IFERROR(__xludf.DUMMYFUNCTION("""COMPUTED_VALUE"""),489437)</f>
        <v>489437</v>
      </c>
      <c r="U35" s="1">
        <f ca="1">IFERROR(__xludf.DUMMYFUNCTION("""COMPUTED_VALUE"""),10.2)</f>
        <v>10.199999999999999</v>
      </c>
    </row>
    <row r="36" spans="1:21" ht="12.75" x14ac:dyDescent="0.2">
      <c r="A36" s="3">
        <f ca="1">IFERROR(__xludf.DUMMYFUNCTION("""COMPUTED_VALUE"""),40148.3805555555)</f>
        <v>40148.380555555501</v>
      </c>
      <c r="B36" s="1">
        <f ca="1">IFERROR(__xludf.DUMMYFUNCTION("""COMPUTED_VALUE"""),1.25)</f>
        <v>1.25</v>
      </c>
      <c r="E36" s="1" t="str">
        <f ca="1">IFERROR(__xludf.DUMMYFUNCTION("""COMPUTED_VALUE"""),"SCOTTIE DOG HOT WATER BOTTLE")</f>
        <v>SCOTTIE DOG HOT WATER BOTTLE</v>
      </c>
      <c r="F36" s="1">
        <f ca="1">IFERROR(__xludf.DUMMYFUNCTION("""COMPUTED_VALUE"""),3)</f>
        <v>3</v>
      </c>
      <c r="G36" s="1">
        <f ca="1">IFERROR(__xludf.DUMMYFUNCTION("""COMPUTED_VALUE"""),4.95)</f>
        <v>4.95</v>
      </c>
      <c r="J36" s="1" t="str">
        <f ca="1">IFERROR(__xludf.DUMMYFUNCTION("""COMPUTED_VALUE"""),"RETRO COFFEE MUGS ASSORTED")</f>
        <v>RETRO COFFEE MUGS ASSORTED</v>
      </c>
      <c r="K36" s="1">
        <f ca="1">IFERROR(__xludf.DUMMYFUNCTION("""COMPUTED_VALUE"""),12)</f>
        <v>12</v>
      </c>
      <c r="L36" s="1">
        <f ca="1">IFERROR(__xludf.DUMMYFUNCTION("""COMPUTED_VALUE"""),1.25)</f>
        <v>1.25</v>
      </c>
      <c r="T36" s="1">
        <f ca="1">IFERROR(__xludf.DUMMYFUNCTION("""COMPUTED_VALUE"""),489437)</f>
        <v>489437</v>
      </c>
      <c r="U36" s="1">
        <f ca="1">IFERROR(__xludf.DUMMYFUNCTION("""COMPUTED_VALUE"""),15)</f>
        <v>15</v>
      </c>
    </row>
    <row r="37" spans="1:21" ht="12.75" x14ac:dyDescent="0.2">
      <c r="A37" s="3">
        <f ca="1">IFERROR(__xludf.DUMMYFUNCTION("""COMPUTED_VALUE"""),40148.3805555555)</f>
        <v>40148.380555555501</v>
      </c>
      <c r="B37" s="1">
        <f ca="1">IFERROR(__xludf.DUMMYFUNCTION("""COMPUTED_VALUE"""),0.85)</f>
        <v>0.85</v>
      </c>
      <c r="E37" s="1" t="str">
        <f ca="1">IFERROR(__xludf.DUMMYFUNCTION("""COMPUTED_VALUE"""),"CHOCOLATE HOT WATER BOTTLE")</f>
        <v>CHOCOLATE HOT WATER BOTTLE</v>
      </c>
      <c r="F37" s="1">
        <f ca="1">IFERROR(__xludf.DUMMYFUNCTION("""COMPUTED_VALUE"""),3)</f>
        <v>3</v>
      </c>
      <c r="G37" s="1">
        <f ca="1">IFERROR(__xludf.DUMMYFUNCTION("""COMPUTED_VALUE"""),4.95)</f>
        <v>4.95</v>
      </c>
      <c r="J37" s="1" t="str">
        <f ca="1">IFERROR(__xludf.DUMMYFUNCTION("""COMPUTED_VALUE"""),"INFLATABLE POLITICAL GLOBE")</f>
        <v>INFLATABLE POLITICAL GLOBE</v>
      </c>
      <c r="K37" s="1">
        <f ca="1">IFERROR(__xludf.DUMMYFUNCTION("""COMPUTED_VALUE"""),12)</f>
        <v>12</v>
      </c>
      <c r="L37" s="1">
        <f ca="1">IFERROR(__xludf.DUMMYFUNCTION("""COMPUTED_VALUE"""),0.85)</f>
        <v>0.85</v>
      </c>
      <c r="T37" s="1">
        <f ca="1">IFERROR(__xludf.DUMMYFUNCTION("""COMPUTED_VALUE"""),489437)</f>
        <v>489437</v>
      </c>
      <c r="U37" s="1">
        <f ca="1">IFERROR(__xludf.DUMMYFUNCTION("""COMPUTED_VALUE"""),10.2)</f>
        <v>10.199999999999999</v>
      </c>
    </row>
    <row r="38" spans="1:21" ht="12.75" x14ac:dyDescent="0.2">
      <c r="A38" s="3">
        <f ca="1">IFERROR(__xludf.DUMMYFUNCTION("""COMPUTED_VALUE"""),40148.3805555555)</f>
        <v>40148.380555555501</v>
      </c>
      <c r="B38" s="1">
        <f ca="1">IFERROR(__xludf.DUMMYFUNCTION("""COMPUTED_VALUE"""),0.65)</f>
        <v>0.65</v>
      </c>
      <c r="E38" s="1" t="str">
        <f ca="1">IFERROR(__xludf.DUMMYFUNCTION("""COMPUTED_VALUE"""),"JUMBO BAG TOYS")</f>
        <v>JUMBO BAG TOYS</v>
      </c>
      <c r="F38" s="1">
        <f ca="1">IFERROR(__xludf.DUMMYFUNCTION("""COMPUTED_VALUE"""),60)</f>
        <v>60</v>
      </c>
      <c r="G38" s="1">
        <f ca="1">IFERROR(__xludf.DUMMYFUNCTION("""COMPUTED_VALUE"""),1.3)</f>
        <v>1.3</v>
      </c>
      <c r="J38" s="1" t="str">
        <f ca="1">IFERROR(__xludf.DUMMYFUNCTION("""COMPUTED_VALUE"""),"PACK OF 6 SKULL PAPER CUPS")</f>
        <v>PACK OF 6 SKULL PAPER CUPS</v>
      </c>
      <c r="K38" s="1">
        <f ca="1">IFERROR(__xludf.DUMMYFUNCTION("""COMPUTED_VALUE"""),12)</f>
        <v>12</v>
      </c>
      <c r="L38" s="1">
        <f ca="1">IFERROR(__xludf.DUMMYFUNCTION("""COMPUTED_VALUE"""),0.65)</f>
        <v>0.65</v>
      </c>
      <c r="T38" s="1">
        <f ca="1">IFERROR(__xludf.DUMMYFUNCTION("""COMPUTED_VALUE"""),489437)</f>
        <v>489437</v>
      </c>
      <c r="U38" s="1">
        <f ca="1">IFERROR(__xludf.DUMMYFUNCTION("""COMPUTED_VALUE"""),7.8)</f>
        <v>7.8</v>
      </c>
    </row>
    <row r="39" spans="1:21" ht="12.75" x14ac:dyDescent="0.2">
      <c r="A39" s="3">
        <f ca="1">IFERROR(__xludf.DUMMYFUNCTION("""COMPUTED_VALUE"""),40148.3805555555)</f>
        <v>40148.380555555501</v>
      </c>
      <c r="B39" s="1">
        <f ca="1">IFERROR(__xludf.DUMMYFUNCTION("""COMPUTED_VALUE"""),0.85)</f>
        <v>0.85</v>
      </c>
      <c r="E39" s="1" t="str">
        <f ca="1">IFERROR(__xludf.DUMMYFUNCTION("""COMPUTED_VALUE"""),"CHARLIE+LOLA PINK HOT WATER BOTTLE")</f>
        <v>CHARLIE+LOLA PINK HOT WATER BOTTLE</v>
      </c>
      <c r="F39" s="1">
        <f ca="1">IFERROR(__xludf.DUMMYFUNCTION("""COMPUTED_VALUE"""),60)</f>
        <v>60</v>
      </c>
      <c r="G39" s="1">
        <f ca="1">IFERROR(__xludf.DUMMYFUNCTION("""COMPUTED_VALUE"""),1.9)</f>
        <v>1.9</v>
      </c>
      <c r="J39" s="1" t="str">
        <f ca="1">IFERROR(__xludf.DUMMYFUNCTION("""COMPUTED_VALUE"""),"PACK OF 20 SKULL PAPER NAPKINS")</f>
        <v>PACK OF 20 SKULL PAPER NAPKINS</v>
      </c>
      <c r="K39" s="1">
        <f ca="1">IFERROR(__xludf.DUMMYFUNCTION("""COMPUTED_VALUE"""),12)</f>
        <v>12</v>
      </c>
      <c r="L39" s="1">
        <f ca="1">IFERROR(__xludf.DUMMYFUNCTION("""COMPUTED_VALUE"""),0.85)</f>
        <v>0.85</v>
      </c>
      <c r="T39" s="1">
        <f ca="1">IFERROR(__xludf.DUMMYFUNCTION("""COMPUTED_VALUE"""),489437)</f>
        <v>489437</v>
      </c>
      <c r="U39" s="1">
        <f ca="1">IFERROR(__xludf.DUMMYFUNCTION("""COMPUTED_VALUE"""),10.2)</f>
        <v>10.199999999999999</v>
      </c>
    </row>
    <row r="40" spans="1:21" ht="12.75" x14ac:dyDescent="0.2">
      <c r="A40" s="3">
        <f ca="1">IFERROR(__xludf.DUMMYFUNCTION("""COMPUTED_VALUE"""),40148.3805555555)</f>
        <v>40148.380555555501</v>
      </c>
      <c r="B40" s="1">
        <f ca="1">IFERROR(__xludf.DUMMYFUNCTION("""COMPUTED_VALUE"""),0.85)</f>
        <v>0.85</v>
      </c>
      <c r="E40" s="1" t="str">
        <f ca="1">IFERROR(__xludf.DUMMYFUNCTION("""COMPUTED_VALUE"""),"CARROT CHARLIE+LOLA COASTER SET")</f>
        <v>CARROT CHARLIE+LOLA COASTER SET</v>
      </c>
      <c r="F40" s="1">
        <f ca="1">IFERROR(__xludf.DUMMYFUNCTION("""COMPUTED_VALUE"""),60)</f>
        <v>60</v>
      </c>
      <c r="G40" s="1">
        <f ca="1">IFERROR(__xludf.DUMMYFUNCTION("""COMPUTED_VALUE"""),2.4)</f>
        <v>2.4</v>
      </c>
      <c r="J40" s="1" t="str">
        <f ca="1">IFERROR(__xludf.DUMMYFUNCTION("""COMPUTED_VALUE"""),"HANGING HEART ZINC T-LIGHT HOLDER")</f>
        <v>HANGING HEART ZINC T-LIGHT HOLDER</v>
      </c>
      <c r="K40" s="1">
        <f ca="1">IFERROR(__xludf.DUMMYFUNCTION("""COMPUTED_VALUE"""),12)</f>
        <v>12</v>
      </c>
      <c r="L40" s="1">
        <f ca="1">IFERROR(__xludf.DUMMYFUNCTION("""COMPUTED_VALUE"""),0.85)</f>
        <v>0.85</v>
      </c>
      <c r="T40" s="1">
        <f ca="1">IFERROR(__xludf.DUMMYFUNCTION("""COMPUTED_VALUE"""),489437)</f>
        <v>489437</v>
      </c>
      <c r="U40" s="1">
        <f ca="1">IFERROR(__xludf.DUMMYFUNCTION("""COMPUTED_VALUE"""),10.2)</f>
        <v>10.199999999999999</v>
      </c>
    </row>
    <row r="41" spans="1:21" ht="12.75" x14ac:dyDescent="0.2">
      <c r="A41" s="3">
        <f ca="1">IFERROR(__xludf.DUMMYFUNCTION("""COMPUTED_VALUE"""),40148.3805555555)</f>
        <v>40148.380555555501</v>
      </c>
      <c r="B41" s="1">
        <f ca="1">IFERROR(__xludf.DUMMYFUNCTION("""COMPUTED_VALUE"""),1.25)</f>
        <v>1.25</v>
      </c>
      <c r="E41" s="1" t="str">
        <f ca="1">IFERROR(__xludf.DUMMYFUNCTION("""COMPUTED_VALUE"""),"CHARLIE &amp; LOLA WASTEPAPER BIN BLUE")</f>
        <v>CHARLIE &amp; LOLA WASTEPAPER BIN BLUE</v>
      </c>
      <c r="F41" s="1">
        <f ca="1">IFERROR(__xludf.DUMMYFUNCTION("""COMPUTED_VALUE"""),60)</f>
        <v>60</v>
      </c>
      <c r="G41" s="1">
        <f ca="1">IFERROR(__xludf.DUMMYFUNCTION("""COMPUTED_VALUE"""),2.4)</f>
        <v>2.4</v>
      </c>
      <c r="J41" s="1" t="str">
        <f ca="1">IFERROR(__xludf.DUMMYFUNCTION("""COMPUTED_VALUE"""),"PINK BLUE FELT CRAFT TRINKET BOX")</f>
        <v>PINK BLUE FELT CRAFT TRINKET BOX</v>
      </c>
      <c r="K41" s="1">
        <f ca="1">IFERROR(__xludf.DUMMYFUNCTION("""COMPUTED_VALUE"""),12)</f>
        <v>12</v>
      </c>
      <c r="L41" s="1">
        <f ca="1">IFERROR(__xludf.DUMMYFUNCTION("""COMPUTED_VALUE"""),1.25)</f>
        <v>1.25</v>
      </c>
      <c r="T41" s="1">
        <f ca="1">IFERROR(__xludf.DUMMYFUNCTION("""COMPUTED_VALUE"""),489437)</f>
        <v>489437</v>
      </c>
      <c r="U41" s="1">
        <f ca="1">IFERROR(__xludf.DUMMYFUNCTION("""COMPUTED_VALUE"""),15)</f>
        <v>15</v>
      </c>
    </row>
    <row r="42" spans="1:21" ht="12.75" x14ac:dyDescent="0.2">
      <c r="A42" s="3">
        <f ca="1">IFERROR(__xludf.DUMMYFUNCTION("""COMPUTED_VALUE"""),40148.3805555555)</f>
        <v>40148.380555555501</v>
      </c>
      <c r="B42" s="1">
        <f ca="1">IFERROR(__xludf.DUMMYFUNCTION("""COMPUTED_VALUE"""),2.1)</f>
        <v>2.1</v>
      </c>
      <c r="E42" s="1" t="str">
        <f ca="1">IFERROR(__xludf.DUMMYFUNCTION("""COMPUTED_VALUE"""),"CHARLIE &amp; LOLA WASTEPAPER BIN FLORA")</f>
        <v>CHARLIE &amp; LOLA WASTEPAPER BIN FLORA</v>
      </c>
      <c r="F42" s="1">
        <f ca="1">IFERROR(__xludf.DUMMYFUNCTION("""COMPUTED_VALUE"""),60)</f>
        <v>60</v>
      </c>
      <c r="G42" s="1">
        <f ca="1">IFERROR(__xludf.DUMMYFUNCTION("""COMPUTED_VALUE"""),2.4)</f>
        <v>2.4</v>
      </c>
      <c r="J42" s="1" t="str">
        <f ca="1">IFERROR(__xludf.DUMMYFUNCTION("""COMPUTED_VALUE"""),"CHRISTMAS CRAFT HEART DECORATIONS")</f>
        <v>CHRISTMAS CRAFT HEART DECORATIONS</v>
      </c>
      <c r="K42" s="1">
        <f ca="1">IFERROR(__xludf.DUMMYFUNCTION("""COMPUTED_VALUE"""),6)</f>
        <v>6</v>
      </c>
      <c r="L42" s="1">
        <f ca="1">IFERROR(__xludf.DUMMYFUNCTION("""COMPUTED_VALUE"""),2.1)</f>
        <v>2.1</v>
      </c>
      <c r="T42" s="1">
        <f ca="1">IFERROR(__xludf.DUMMYFUNCTION("""COMPUTED_VALUE"""),489437)</f>
        <v>489437</v>
      </c>
      <c r="U42" s="1">
        <f ca="1">IFERROR(__xludf.DUMMYFUNCTION("""COMPUTED_VALUE"""),12.6)</f>
        <v>12.6</v>
      </c>
    </row>
    <row r="43" spans="1:21" ht="12.75" x14ac:dyDescent="0.2">
      <c r="A43" s="3">
        <f ca="1">IFERROR(__xludf.DUMMYFUNCTION("""COMPUTED_VALUE"""),40148.3805555555)</f>
        <v>40148.380555555501</v>
      </c>
      <c r="B43" s="1">
        <f ca="1">IFERROR(__xludf.DUMMYFUNCTION("""COMPUTED_VALUE"""),2.1)</f>
        <v>2.1</v>
      </c>
      <c r="E43" s="1" t="str">
        <f ca="1">IFERROR(__xludf.DUMMYFUNCTION("""COMPUTED_VALUE"""),"CHARLIE+LOLA RED HOT WATER BOTTLE")</f>
        <v>CHARLIE+LOLA RED HOT WATER BOTTLE</v>
      </c>
      <c r="F43" s="1">
        <f ca="1">IFERROR(__xludf.DUMMYFUNCTION("""COMPUTED_VALUE"""),56)</f>
        <v>56</v>
      </c>
      <c r="G43" s="1">
        <f ca="1">IFERROR(__xludf.DUMMYFUNCTION("""COMPUTED_VALUE"""),3)</f>
        <v>3</v>
      </c>
      <c r="J43" s="1" t="str">
        <f ca="1">IFERROR(__xludf.DUMMYFUNCTION("""COMPUTED_VALUE"""),"CHRISTMAS CRAFT HEART STOCKING")</f>
        <v>CHRISTMAS CRAFT HEART STOCKING</v>
      </c>
      <c r="K43" s="1">
        <f ca="1">IFERROR(__xludf.DUMMYFUNCTION("""COMPUTED_VALUE"""),6)</f>
        <v>6</v>
      </c>
      <c r="L43" s="1">
        <f ca="1">IFERROR(__xludf.DUMMYFUNCTION("""COMPUTED_VALUE"""),2.1)</f>
        <v>2.1</v>
      </c>
      <c r="T43" s="1">
        <f ca="1">IFERROR(__xludf.DUMMYFUNCTION("""COMPUTED_VALUE"""),489437)</f>
        <v>489437</v>
      </c>
      <c r="U43" s="1">
        <f ca="1">IFERROR(__xludf.DUMMYFUNCTION("""COMPUTED_VALUE"""),12.6)</f>
        <v>12.6</v>
      </c>
    </row>
    <row r="44" spans="1:21" ht="12.75" x14ac:dyDescent="0.2">
      <c r="A44" s="3">
        <f ca="1">IFERROR(__xludf.DUMMYFUNCTION("""COMPUTED_VALUE"""),40148.3805555555)</f>
        <v>40148.380555555501</v>
      </c>
      <c r="B44" s="1">
        <f ca="1">IFERROR(__xludf.DUMMYFUNCTION("""COMPUTED_VALUE"""),2.55)</f>
        <v>2.5499999999999998</v>
      </c>
      <c r="E44" s="1" t="str">
        <f ca="1">IFERROR(__xludf.DUMMYFUNCTION("""COMPUTED_VALUE"""),"CHARLIE LOLA BLUE HOT WATER BOTTLE")</f>
        <v>CHARLIE LOLA BLUE HOT WATER BOTTLE</v>
      </c>
      <c r="F44" s="1">
        <f ca="1">IFERROR(__xludf.DUMMYFUNCTION("""COMPUTED_VALUE"""),56)</f>
        <v>56</v>
      </c>
      <c r="G44" s="1">
        <f ca="1">IFERROR(__xludf.DUMMYFUNCTION("""COMPUTED_VALUE"""),3)</f>
        <v>3</v>
      </c>
      <c r="J44" s="1" t="str">
        <f ca="1">IFERROR(__xludf.DUMMYFUNCTION("""COMPUTED_VALUE"""),"STRIPES DESIGN MONKEY DOLL")</f>
        <v>STRIPES DESIGN MONKEY DOLL</v>
      </c>
      <c r="K44" s="1">
        <f ca="1">IFERROR(__xludf.DUMMYFUNCTION("""COMPUTED_VALUE"""),6)</f>
        <v>6</v>
      </c>
      <c r="L44" s="1">
        <f ca="1">IFERROR(__xludf.DUMMYFUNCTION("""COMPUTED_VALUE"""),2.55)</f>
        <v>2.5499999999999998</v>
      </c>
      <c r="T44" s="1">
        <f ca="1">IFERROR(__xludf.DUMMYFUNCTION("""COMPUTED_VALUE"""),489437)</f>
        <v>489437</v>
      </c>
      <c r="U44" s="1">
        <f ca="1">IFERROR(__xludf.DUMMYFUNCTION("""COMPUTED_VALUE"""),15.2999999999999)</f>
        <v>15.299999999999899</v>
      </c>
    </row>
    <row r="45" spans="1:21" ht="12.75" x14ac:dyDescent="0.2">
      <c r="A45" s="3">
        <f ca="1">IFERROR(__xludf.DUMMYFUNCTION("""COMPUTED_VALUE"""),40148.3805555555)</f>
        <v>40148.380555555501</v>
      </c>
      <c r="B45" s="1">
        <f ca="1">IFERROR(__xludf.DUMMYFUNCTION("""COMPUTED_VALUE"""),2.95)</f>
        <v>2.95</v>
      </c>
      <c r="E45" s="1" t="str">
        <f ca="1">IFERROR(__xludf.DUMMYFUNCTION("""COMPUTED_VALUE"""),"CHARLIE + LOLA RED HOT WATER BOTTLE")</f>
        <v>CHARLIE + LOLA RED HOT WATER BOTTLE</v>
      </c>
      <c r="F45" s="1">
        <f ca="1">IFERROR(__xludf.DUMMYFUNCTION("""COMPUTED_VALUE"""),56)</f>
        <v>56</v>
      </c>
      <c r="G45" s="1">
        <f ca="1">IFERROR(__xludf.DUMMYFUNCTION("""COMPUTED_VALUE"""),1.9)</f>
        <v>1.9</v>
      </c>
      <c r="J45" s="1" t="str">
        <f ca="1">IFERROR(__xludf.DUMMYFUNCTION("""COMPUTED_VALUE"""),"FELTCRAFT DOLL ROSIE")</f>
        <v>FELTCRAFT DOLL ROSIE</v>
      </c>
      <c r="K45" s="1">
        <f ca="1">IFERROR(__xludf.DUMMYFUNCTION("""COMPUTED_VALUE"""),6)</f>
        <v>6</v>
      </c>
      <c r="L45" s="1">
        <f ca="1">IFERROR(__xludf.DUMMYFUNCTION("""COMPUTED_VALUE"""),2.95)</f>
        <v>2.95</v>
      </c>
      <c r="T45" s="1">
        <f ca="1">IFERROR(__xludf.DUMMYFUNCTION("""COMPUTED_VALUE"""),489437)</f>
        <v>489437</v>
      </c>
      <c r="U45" s="1">
        <f ca="1">IFERROR(__xludf.DUMMYFUNCTION("""COMPUTED_VALUE"""),17.7)</f>
        <v>17.7</v>
      </c>
    </row>
    <row r="46" spans="1:21" ht="12.75" x14ac:dyDescent="0.2">
      <c r="A46" s="3">
        <f ca="1">IFERROR(__xludf.DUMMYFUNCTION("""COMPUTED_VALUE"""),40148.3805555555)</f>
        <v>40148.380555555501</v>
      </c>
      <c r="B46" s="1">
        <f ca="1">IFERROR(__xludf.DUMMYFUNCTION("""COMPUTED_VALUE"""),2.95)</f>
        <v>2.95</v>
      </c>
      <c r="E46" s="1" t="str">
        <f ca="1">IFERROR(__xludf.DUMMYFUNCTION("""COMPUTED_VALUE"""),"TOMATO CHARLIE+LOLA COASTER SET")</f>
        <v>TOMATO CHARLIE+LOLA COASTER SET</v>
      </c>
      <c r="F46" s="1">
        <f ca="1">IFERROR(__xludf.DUMMYFUNCTION("""COMPUTED_VALUE"""),56)</f>
        <v>56</v>
      </c>
      <c r="G46" s="1">
        <f ca="1">IFERROR(__xludf.DUMMYFUNCTION("""COMPUTED_VALUE"""),2.15)</f>
        <v>2.15</v>
      </c>
      <c r="J46" s="1" t="str">
        <f ca="1">IFERROR(__xludf.DUMMYFUNCTION("""COMPUTED_VALUE"""),"FELTCRAFT DOLL MARIA")</f>
        <v>FELTCRAFT DOLL MARIA</v>
      </c>
      <c r="K46" s="1">
        <f ca="1">IFERROR(__xludf.DUMMYFUNCTION("""COMPUTED_VALUE"""),6)</f>
        <v>6</v>
      </c>
      <c r="L46" s="1">
        <f ca="1">IFERROR(__xludf.DUMMYFUNCTION("""COMPUTED_VALUE"""),2.95)</f>
        <v>2.95</v>
      </c>
      <c r="T46" s="1">
        <f ca="1">IFERROR(__xludf.DUMMYFUNCTION("""COMPUTED_VALUE"""),489437)</f>
        <v>489437</v>
      </c>
      <c r="U46" s="1">
        <f ca="1">IFERROR(__xludf.DUMMYFUNCTION("""COMPUTED_VALUE"""),17.7)</f>
        <v>17.7</v>
      </c>
    </row>
    <row r="47" spans="1:21" ht="12.75" x14ac:dyDescent="0.2">
      <c r="A47" s="3">
        <f ca="1">IFERROR(__xludf.DUMMYFUNCTION("""COMPUTED_VALUE"""),40148.3805555555)</f>
        <v>40148.380555555501</v>
      </c>
      <c r="B47" s="1">
        <f ca="1">IFERROR(__xludf.DUMMYFUNCTION("""COMPUTED_VALUE"""),2.95)</f>
        <v>2.95</v>
      </c>
      <c r="E47" s="1" t="str">
        <f ca="1">IFERROR(__xludf.DUMMYFUNCTION("""COMPUTED_VALUE"""),"COUNTRY COTTAGE  DOORSTOP GREEN")</f>
        <v>COUNTRY COTTAGE  DOORSTOP GREEN</v>
      </c>
      <c r="F47" s="1">
        <f ca="1">IFERROR(__xludf.DUMMYFUNCTION("""COMPUTED_VALUE"""),32)</f>
        <v>32</v>
      </c>
      <c r="G47" s="1">
        <f ca="1">IFERROR(__xludf.DUMMYFUNCTION("""COMPUTED_VALUE"""),2.5)</f>
        <v>2.5</v>
      </c>
      <c r="J47" s="1" t="str">
        <f ca="1">IFERROR(__xludf.DUMMYFUNCTION("""COMPUTED_VALUE"""),"FELTCRAFT DOLL EMILY")</f>
        <v>FELTCRAFT DOLL EMILY</v>
      </c>
      <c r="K47" s="1">
        <f ca="1">IFERROR(__xludf.DUMMYFUNCTION("""COMPUTED_VALUE"""),6)</f>
        <v>6</v>
      </c>
      <c r="L47" s="1">
        <f ca="1">IFERROR(__xludf.DUMMYFUNCTION("""COMPUTED_VALUE"""),2.95)</f>
        <v>2.95</v>
      </c>
      <c r="T47" s="1">
        <f ca="1">IFERROR(__xludf.DUMMYFUNCTION("""COMPUTED_VALUE"""),489437)</f>
        <v>489437</v>
      </c>
      <c r="U47" s="1">
        <f ca="1">IFERROR(__xludf.DUMMYFUNCTION("""COMPUTED_VALUE"""),17.7)</f>
        <v>17.7</v>
      </c>
    </row>
    <row r="48" spans="1:21" ht="12.75" x14ac:dyDescent="0.2">
      <c r="A48" s="3">
        <f ca="1">IFERROR(__xludf.DUMMYFUNCTION("""COMPUTED_VALUE"""),40148.3805555555)</f>
        <v>40148.380555555501</v>
      </c>
      <c r="B48" s="1">
        <f ca="1">IFERROR(__xludf.DUMMYFUNCTION("""COMPUTED_VALUE"""),3.75)</f>
        <v>3.75</v>
      </c>
      <c r="E48" s="1" t="str">
        <f ca="1">IFERROR(__xludf.DUMMYFUNCTION("""COMPUTED_VALUE"""),"GINGHAM HEART  DOORSTOP RED")</f>
        <v>GINGHAM HEART  DOORSTOP RED</v>
      </c>
      <c r="F48" s="1">
        <f ca="1">IFERROR(__xludf.DUMMYFUNCTION("""COMPUTED_VALUE"""),32)</f>
        <v>32</v>
      </c>
      <c r="G48" s="1">
        <f ca="1">IFERROR(__xludf.DUMMYFUNCTION("""COMPUTED_VALUE"""),2.5)</f>
        <v>2.5</v>
      </c>
      <c r="J48" s="1" t="str">
        <f ca="1">IFERROR(__xludf.DUMMYFUNCTION("""COMPUTED_VALUE"""),"VINTAGE SNAKES &amp; LADDERS")</f>
        <v>VINTAGE SNAKES &amp; LADDERS</v>
      </c>
      <c r="K48" s="1">
        <f ca="1">IFERROR(__xludf.DUMMYFUNCTION("""COMPUTED_VALUE"""),4)</f>
        <v>4</v>
      </c>
      <c r="L48" s="1">
        <f ca="1">IFERROR(__xludf.DUMMYFUNCTION("""COMPUTED_VALUE"""),3.75)</f>
        <v>3.75</v>
      </c>
      <c r="T48" s="1">
        <f ca="1">IFERROR(__xludf.DUMMYFUNCTION("""COMPUTED_VALUE"""),489437)</f>
        <v>489437</v>
      </c>
      <c r="U48" s="1">
        <f ca="1">IFERROR(__xludf.DUMMYFUNCTION("""COMPUTED_VALUE"""),15)</f>
        <v>15</v>
      </c>
    </row>
    <row r="49" spans="1:21" ht="12.75" x14ac:dyDescent="0.2">
      <c r="A49" s="3">
        <f ca="1">IFERROR(__xludf.DUMMYFUNCTION("""COMPUTED_VALUE"""),40148.3805555555)</f>
        <v>40148.380555555501</v>
      </c>
      <c r="B49" s="1">
        <f ca="1">IFERROR(__xludf.DUMMYFUNCTION("""COMPUTED_VALUE"""),4.25)</f>
        <v>4.25</v>
      </c>
      <c r="E49" s="1" t="str">
        <f ca="1">IFERROR(__xludf.DUMMYFUNCTION("""COMPUTED_VALUE"""),"SET OF MEADOW  FLOWER STICKERS")</f>
        <v>SET OF MEADOW  FLOWER STICKERS</v>
      </c>
      <c r="F49" s="1">
        <f ca="1">IFERROR(__xludf.DUMMYFUNCTION("""COMPUTED_VALUE"""),30)</f>
        <v>30</v>
      </c>
      <c r="G49" s="1">
        <f ca="1">IFERROR(__xludf.DUMMYFUNCTION("""COMPUTED_VALUE"""),1.69)</f>
        <v>1.69</v>
      </c>
      <c r="J49" s="1" t="str">
        <f ca="1">IFERROR(__xludf.DUMMYFUNCTION("""COMPUTED_VALUE"""),"FLORAL BLUE MONSTER")</f>
        <v>FLORAL BLUE MONSTER</v>
      </c>
      <c r="K49" s="1">
        <f ca="1">IFERROR(__xludf.DUMMYFUNCTION("""COMPUTED_VALUE"""),3)</f>
        <v>3</v>
      </c>
      <c r="L49" s="1">
        <f ca="1">IFERROR(__xludf.DUMMYFUNCTION("""COMPUTED_VALUE"""),4.25)</f>
        <v>4.25</v>
      </c>
      <c r="T49" s="1">
        <f ca="1">IFERROR(__xludf.DUMMYFUNCTION("""COMPUTED_VALUE"""),489437)</f>
        <v>489437</v>
      </c>
      <c r="U49" s="1">
        <f ca="1">IFERROR(__xludf.DUMMYFUNCTION("""COMPUTED_VALUE"""),12.75)</f>
        <v>12.75</v>
      </c>
    </row>
    <row r="50" spans="1:21" ht="12.75" x14ac:dyDescent="0.2">
      <c r="A50" s="3">
        <f ca="1">IFERROR(__xludf.DUMMYFUNCTION("""COMPUTED_VALUE"""),40148.3805555555)</f>
        <v>40148.380555555501</v>
      </c>
      <c r="B50" s="1">
        <f ca="1">IFERROR(__xludf.DUMMYFUNCTION("""COMPUTED_VALUE"""),4.25)</f>
        <v>4.25</v>
      </c>
      <c r="E50" s="1" t="str">
        <f ca="1">IFERROR(__xludf.DUMMYFUNCTION("""COMPUTED_VALUE"""),"CHARLIE AND LOLA CHARLOTTE BAG")</f>
        <v>CHARLIE AND LOLA CHARLOTTE BAG</v>
      </c>
      <c r="F50" s="1">
        <f ca="1">IFERROR(__xludf.DUMMYFUNCTION("""COMPUTED_VALUE"""),30)</f>
        <v>30</v>
      </c>
      <c r="G50" s="1">
        <f ca="1">IFERROR(__xludf.DUMMYFUNCTION("""COMPUTED_VALUE"""),1.15)</f>
        <v>1.1499999999999999</v>
      </c>
      <c r="J50" s="1" t="str">
        <f ca="1">IFERROR(__xludf.DUMMYFUNCTION("""COMPUTED_VALUE"""),"BLUE PADDED SOFT MOBILE")</f>
        <v>BLUE PADDED SOFT MOBILE</v>
      </c>
      <c r="K50" s="1">
        <f ca="1">IFERROR(__xludf.DUMMYFUNCTION("""COMPUTED_VALUE"""),3)</f>
        <v>3</v>
      </c>
      <c r="L50" s="1">
        <f ca="1">IFERROR(__xludf.DUMMYFUNCTION("""COMPUTED_VALUE"""),4.25)</f>
        <v>4.25</v>
      </c>
      <c r="T50" s="1">
        <f ca="1">IFERROR(__xludf.DUMMYFUNCTION("""COMPUTED_VALUE"""),489437)</f>
        <v>489437</v>
      </c>
      <c r="U50" s="1">
        <f ca="1">IFERROR(__xludf.DUMMYFUNCTION("""COMPUTED_VALUE"""),12.75)</f>
        <v>12.75</v>
      </c>
    </row>
    <row r="51" spans="1:21" ht="12.75" x14ac:dyDescent="0.2">
      <c r="A51" s="3">
        <f ca="1">IFERROR(__xludf.DUMMYFUNCTION("""COMPUTED_VALUE"""),40148.3805555555)</f>
        <v>40148.380555555501</v>
      </c>
      <c r="B51" s="1">
        <f ca="1">IFERROR(__xludf.DUMMYFUNCTION("""COMPUTED_VALUE"""),4.95)</f>
        <v>4.95</v>
      </c>
      <c r="E51" s="1" t="str">
        <f ca="1">IFERROR(__xludf.DUMMYFUNCTION("""COMPUTED_VALUE"""),"JUMBO BAG CHARLIE AND LOLA TOYS")</f>
        <v>JUMBO BAG CHARLIE AND LOLA TOYS</v>
      </c>
      <c r="F51" s="1">
        <f ca="1">IFERROR(__xludf.DUMMYFUNCTION("""COMPUTED_VALUE"""),30)</f>
        <v>30</v>
      </c>
      <c r="G51" s="1">
        <f ca="1">IFERROR(__xludf.DUMMYFUNCTION("""COMPUTED_VALUE"""),2)</f>
        <v>2</v>
      </c>
      <c r="J51" s="1" t="str">
        <f ca="1">IFERROR(__xludf.DUMMYFUNCTION("""COMPUTED_VALUE"""),"SCOTTIE DOG HOT WATER BOTTLE")</f>
        <v>SCOTTIE DOG HOT WATER BOTTLE</v>
      </c>
      <c r="K51" s="1">
        <f ca="1">IFERROR(__xludf.DUMMYFUNCTION("""COMPUTED_VALUE"""),3)</f>
        <v>3</v>
      </c>
      <c r="L51" s="1">
        <f ca="1">IFERROR(__xludf.DUMMYFUNCTION("""COMPUTED_VALUE"""),4.95)</f>
        <v>4.95</v>
      </c>
      <c r="T51" s="1">
        <f ca="1">IFERROR(__xludf.DUMMYFUNCTION("""COMPUTED_VALUE"""),489437)</f>
        <v>489437</v>
      </c>
      <c r="U51" s="1">
        <f ca="1">IFERROR(__xludf.DUMMYFUNCTION("""COMPUTED_VALUE"""),14.85)</f>
        <v>14.85</v>
      </c>
    </row>
    <row r="52" spans="1:21" ht="12.75" x14ac:dyDescent="0.2">
      <c r="A52" s="3">
        <f ca="1">IFERROR(__xludf.DUMMYFUNCTION("""COMPUTED_VALUE"""),40148.3805555555)</f>
        <v>40148.380555555501</v>
      </c>
      <c r="B52" s="1">
        <f ca="1">IFERROR(__xludf.DUMMYFUNCTION("""COMPUTED_VALUE"""),4.95)</f>
        <v>4.95</v>
      </c>
      <c r="E52" s="1" t="str">
        <f ca="1">IFERROR(__xludf.DUMMYFUNCTION("""COMPUTED_VALUE"""),"RED TOADSTOOL LED NIGHT LIGHT")</f>
        <v>RED TOADSTOOL LED NIGHT LIGHT</v>
      </c>
      <c r="F52" s="1">
        <f ca="1">IFERROR(__xludf.DUMMYFUNCTION("""COMPUTED_VALUE"""),24)</f>
        <v>24</v>
      </c>
      <c r="G52" s="1">
        <f ca="1">IFERROR(__xludf.DUMMYFUNCTION("""COMPUTED_VALUE"""),1.65)</f>
        <v>1.65</v>
      </c>
      <c r="J52" s="1" t="str">
        <f ca="1">IFERROR(__xludf.DUMMYFUNCTION("""COMPUTED_VALUE"""),"CHOCOLATE HOT WATER BOTTLE")</f>
        <v>CHOCOLATE HOT WATER BOTTLE</v>
      </c>
      <c r="K52" s="1">
        <f ca="1">IFERROR(__xludf.DUMMYFUNCTION("""COMPUTED_VALUE"""),3)</f>
        <v>3</v>
      </c>
      <c r="L52" s="1">
        <f ca="1">IFERROR(__xludf.DUMMYFUNCTION("""COMPUTED_VALUE"""),4.95)</f>
        <v>4.95</v>
      </c>
      <c r="T52" s="1">
        <f ca="1">IFERROR(__xludf.DUMMYFUNCTION("""COMPUTED_VALUE"""),489437)</f>
        <v>489437</v>
      </c>
      <c r="U52" s="1">
        <f ca="1">IFERROR(__xludf.DUMMYFUNCTION("""COMPUTED_VALUE"""),14.85)</f>
        <v>14.85</v>
      </c>
    </row>
    <row r="53" spans="1:21" ht="12.75" x14ac:dyDescent="0.2">
      <c r="A53" s="3">
        <f ca="1">IFERROR(__xludf.DUMMYFUNCTION("""COMPUTED_VALUE"""),40148.3805555555)</f>
        <v>40148.380555555501</v>
      </c>
      <c r="B53" s="1">
        <f ca="1">IFERROR(__xludf.DUMMYFUNCTION("""COMPUTED_VALUE"""),6.75)</f>
        <v>6.75</v>
      </c>
      <c r="E53" s="1" t="str">
        <f ca="1">IFERROR(__xludf.DUMMYFUNCTION("""COMPUTED_VALUE"""),"CHRISTMAS PUDDING TRINKET POT")</f>
        <v>CHRISTMAS PUDDING TRINKET POT</v>
      </c>
      <c r="F53" s="1">
        <f ca="1">IFERROR(__xludf.DUMMYFUNCTION("""COMPUTED_VALUE"""),12)</f>
        <v>12</v>
      </c>
      <c r="G53" s="1">
        <f ca="1">IFERROR(__xludf.DUMMYFUNCTION("""COMPUTED_VALUE"""),1.45)</f>
        <v>1.45</v>
      </c>
      <c r="J53" s="1" t="str">
        <f ca="1">IFERROR(__xludf.DUMMYFUNCTION("""COMPUTED_VALUE"""),"PEACE SMALL WOOD LETTERS")</f>
        <v>PEACE SMALL WOOD LETTERS</v>
      </c>
      <c r="K53" s="1">
        <f ca="1">IFERROR(__xludf.DUMMYFUNCTION("""COMPUTED_VALUE"""),2)</f>
        <v>2</v>
      </c>
      <c r="L53" s="1">
        <f ca="1">IFERROR(__xludf.DUMMYFUNCTION("""COMPUTED_VALUE"""),6.75)</f>
        <v>6.75</v>
      </c>
      <c r="T53" s="1">
        <f ca="1">IFERROR(__xludf.DUMMYFUNCTION("""COMPUTED_VALUE"""),489437)</f>
        <v>489437</v>
      </c>
      <c r="U53" s="1">
        <f ca="1">IFERROR(__xludf.DUMMYFUNCTION("""COMPUTED_VALUE"""),13.5)</f>
        <v>13.5</v>
      </c>
    </row>
    <row r="54" spans="1:21" ht="12.75" x14ac:dyDescent="0.2">
      <c r="A54" s="3">
        <f ca="1">IFERROR(__xludf.DUMMYFUNCTION("""COMPUTED_VALUE"""),40148.3805555555)</f>
        <v>40148.380555555501</v>
      </c>
      <c r="B54" s="1">
        <f ca="1">IFERROR(__xludf.DUMMYFUNCTION("""COMPUTED_VALUE"""),6.75)</f>
        <v>6.75</v>
      </c>
      <c r="E54" s="1" t="str">
        <f ca="1">IFERROR(__xludf.DUMMYFUNCTION("""COMPUTED_VALUE"""),"LUNCHBOX WITH CUTLERY RETROSPOT")</f>
        <v>LUNCHBOX WITH CUTLERY RETROSPOT</v>
      </c>
      <c r="F54" s="1">
        <f ca="1">IFERROR(__xludf.DUMMYFUNCTION("""COMPUTED_VALUE"""),12)</f>
        <v>12</v>
      </c>
      <c r="G54" s="1">
        <f ca="1">IFERROR(__xludf.DUMMYFUNCTION("""COMPUTED_VALUE"""),2.55)</f>
        <v>2.5499999999999998</v>
      </c>
      <c r="J54" s="1" t="str">
        <f ca="1">IFERROR(__xludf.DUMMYFUNCTION("""COMPUTED_VALUE"""),"CINAMMON &amp; ORANGE WREATH")</f>
        <v>CINAMMON &amp; ORANGE WREATH</v>
      </c>
      <c r="K54" s="1">
        <f ca="1">IFERROR(__xludf.DUMMYFUNCTION("""COMPUTED_VALUE"""),2)</f>
        <v>2</v>
      </c>
      <c r="L54" s="1">
        <f ca="1">IFERROR(__xludf.DUMMYFUNCTION("""COMPUTED_VALUE"""),6.75)</f>
        <v>6.75</v>
      </c>
      <c r="T54" s="1">
        <f ca="1">IFERROR(__xludf.DUMMYFUNCTION("""COMPUTED_VALUE"""),489437)</f>
        <v>489437</v>
      </c>
      <c r="U54" s="1">
        <f ca="1">IFERROR(__xludf.DUMMYFUNCTION("""COMPUTED_VALUE"""),13.5)</f>
        <v>13.5</v>
      </c>
    </row>
    <row r="55" spans="1:21" ht="12.75" x14ac:dyDescent="0.2">
      <c r="A55" s="3">
        <f ca="1">IFERROR(__xludf.DUMMYFUNCTION("""COMPUTED_VALUE"""),40148.3805555555)</f>
        <v>40148.380555555501</v>
      </c>
      <c r="B55" s="1">
        <f ca="1">IFERROR(__xludf.DUMMYFUNCTION("""COMPUTED_VALUE"""),6.75)</f>
        <v>6.75</v>
      </c>
      <c r="E55" s="1" t="str">
        <f ca="1">IFERROR(__xludf.DUMMYFUNCTION("""COMPUTED_VALUE"""),"PINK DOUGHNUT TRINKET POT")</f>
        <v>PINK DOUGHNUT TRINKET POT</v>
      </c>
      <c r="F55" s="1">
        <f ca="1">IFERROR(__xludf.DUMMYFUNCTION("""COMPUTED_VALUE"""),12)</f>
        <v>12</v>
      </c>
      <c r="G55" s="1">
        <f ca="1">IFERROR(__xludf.DUMMYFUNCTION("""COMPUTED_VALUE"""),1.65)</f>
        <v>1.65</v>
      </c>
      <c r="J55" s="1" t="str">
        <f ca="1">IFERROR(__xludf.DUMMYFUNCTION("""COMPUTED_VALUE"""),"EUCALYPTUS &amp; PINECONE  WREATH")</f>
        <v>EUCALYPTUS &amp; PINECONE  WREATH</v>
      </c>
      <c r="K55" s="1">
        <f ca="1">IFERROR(__xludf.DUMMYFUNCTION("""COMPUTED_VALUE"""),2)</f>
        <v>2</v>
      </c>
      <c r="L55" s="1">
        <f ca="1">IFERROR(__xludf.DUMMYFUNCTION("""COMPUTED_VALUE"""),6.75)</f>
        <v>6.75</v>
      </c>
      <c r="T55" s="1">
        <f ca="1">IFERROR(__xludf.DUMMYFUNCTION("""COMPUTED_VALUE"""),489437)</f>
        <v>489437</v>
      </c>
      <c r="U55" s="1">
        <f ca="1">IFERROR(__xludf.DUMMYFUNCTION("""COMPUTED_VALUE"""),13.5)</f>
        <v>13.5</v>
      </c>
    </row>
    <row r="56" spans="1:21" ht="12.75" x14ac:dyDescent="0.2">
      <c r="A56" s="3">
        <f ca="1">IFERROR(__xludf.DUMMYFUNCTION("""COMPUTED_VALUE"""),40148.3805555555)</f>
        <v>40148.380555555501</v>
      </c>
      <c r="B56" s="1">
        <f ca="1">IFERROR(__xludf.DUMMYFUNCTION("""COMPUTED_VALUE"""),8.95)</f>
        <v>8.9499999999999993</v>
      </c>
      <c r="E56" s="1" t="str">
        <f ca="1">IFERROR(__xludf.DUMMYFUNCTION("""COMPUTED_VALUE"""),"BAKING SET 9 PIECE RETROSPOT")</f>
        <v>BAKING SET 9 PIECE RETROSPOT</v>
      </c>
      <c r="F56" s="1">
        <f ca="1">IFERROR(__xludf.DUMMYFUNCTION("""COMPUTED_VALUE"""),9)</f>
        <v>9</v>
      </c>
      <c r="G56" s="1">
        <f ca="1">IFERROR(__xludf.DUMMYFUNCTION("""COMPUTED_VALUE"""),4.95)</f>
        <v>4.95</v>
      </c>
      <c r="J56" s="1" t="str">
        <f ca="1">IFERROR(__xludf.DUMMYFUNCTION("""COMPUTED_VALUE"""),"WOODEN BOX ADVENT CALENDAR")</f>
        <v>WOODEN BOX ADVENT CALENDAR</v>
      </c>
      <c r="K56" s="1">
        <f ca="1">IFERROR(__xludf.DUMMYFUNCTION("""COMPUTED_VALUE"""),2)</f>
        <v>2</v>
      </c>
      <c r="L56" s="1">
        <f ca="1">IFERROR(__xludf.DUMMYFUNCTION("""COMPUTED_VALUE"""),8.95)</f>
        <v>8.9499999999999993</v>
      </c>
      <c r="T56" s="1">
        <f ca="1">IFERROR(__xludf.DUMMYFUNCTION("""COMPUTED_VALUE"""),489437)</f>
        <v>489437</v>
      </c>
      <c r="U56" s="1">
        <f ca="1">IFERROR(__xludf.DUMMYFUNCTION("""COMPUTED_VALUE"""),17.9)</f>
        <v>17.899999999999999</v>
      </c>
    </row>
    <row r="57" spans="1:21" ht="12.75" x14ac:dyDescent="0.2">
      <c r="A57" s="3">
        <f ca="1">IFERROR(__xludf.DUMMYFUNCTION("""COMPUTED_VALUE"""),40148.3805555555)</f>
        <v>40148.380555555501</v>
      </c>
      <c r="B57" s="1">
        <f ca="1">IFERROR(__xludf.DUMMYFUNCTION("""COMPUTED_VALUE"""),9.95)</f>
        <v>9.9499999999999993</v>
      </c>
      <c r="E57" s="1" t="str">
        <f ca="1">IFERROR(__xludf.DUMMYFUNCTION("""COMPUTED_VALUE"""),"RETRO SPOT TEA SET CERAMIC 11 PC")</f>
        <v>RETRO SPOT TEA SET CERAMIC 11 PC</v>
      </c>
      <c r="F57" s="1">
        <f ca="1">IFERROR(__xludf.DUMMYFUNCTION("""COMPUTED_VALUE"""),9)</f>
        <v>9</v>
      </c>
      <c r="G57" s="1">
        <f ca="1">IFERROR(__xludf.DUMMYFUNCTION("""COMPUTED_VALUE"""),4.95)</f>
        <v>4.95</v>
      </c>
      <c r="J57" s="1" t="str">
        <f ca="1">IFERROR(__xludf.DUMMYFUNCTION("""COMPUTED_VALUE"""),"JOY LARGE WOOD LETTERS")</f>
        <v>JOY LARGE WOOD LETTERS</v>
      </c>
      <c r="K57" s="1">
        <f ca="1">IFERROR(__xludf.DUMMYFUNCTION("""COMPUTED_VALUE"""),1)</f>
        <v>1</v>
      </c>
      <c r="L57" s="1">
        <f ca="1">IFERROR(__xludf.DUMMYFUNCTION("""COMPUTED_VALUE"""),9.95)</f>
        <v>9.9499999999999993</v>
      </c>
      <c r="T57" s="1">
        <f ca="1">IFERROR(__xludf.DUMMYFUNCTION("""COMPUTED_VALUE"""),489437)</f>
        <v>489437</v>
      </c>
      <c r="U57" s="1">
        <f ca="1">IFERROR(__xludf.DUMMYFUNCTION("""COMPUTED_VALUE"""),9.95)</f>
        <v>9.9499999999999993</v>
      </c>
    </row>
    <row r="58" spans="1:21" ht="12.75" x14ac:dyDescent="0.2">
      <c r="A58" s="3">
        <f ca="1">IFERROR(__xludf.DUMMYFUNCTION("""COMPUTED_VALUE"""),40148.3916666666)</f>
        <v>40148.391666666597</v>
      </c>
      <c r="B58" s="1">
        <f ca="1">IFERROR(__xludf.DUMMYFUNCTION("""COMPUTED_VALUE"""),1.3)</f>
        <v>1.3</v>
      </c>
      <c r="E58" s="1" t="str">
        <f ca="1">IFERROR(__xludf.DUMMYFUNCTION("""COMPUTED_VALUE"""),"RETRO SPORT PARTY BAG + STICKER SET")</f>
        <v>RETRO SPORT PARTY BAG + STICKER SET</v>
      </c>
      <c r="F58" s="1">
        <f ca="1">IFERROR(__xludf.DUMMYFUNCTION("""COMPUTED_VALUE"""),8)</f>
        <v>8</v>
      </c>
      <c r="G58" s="1">
        <f ca="1">IFERROR(__xludf.DUMMYFUNCTION("""COMPUTED_VALUE"""),1.65)</f>
        <v>1.65</v>
      </c>
      <c r="J58" s="1" t="str">
        <f ca="1">IFERROR(__xludf.DUMMYFUNCTION("""COMPUTED_VALUE"""),"JUMBO BAG TOYS")</f>
        <v>JUMBO BAG TOYS</v>
      </c>
      <c r="K58" s="1">
        <f ca="1">IFERROR(__xludf.DUMMYFUNCTION("""COMPUTED_VALUE"""),60)</f>
        <v>60</v>
      </c>
      <c r="L58" s="1">
        <f ca="1">IFERROR(__xludf.DUMMYFUNCTION("""COMPUTED_VALUE"""),1.3)</f>
        <v>1.3</v>
      </c>
      <c r="T58" s="1">
        <f ca="1">IFERROR(__xludf.DUMMYFUNCTION("""COMPUTED_VALUE"""),489438)</f>
        <v>489438</v>
      </c>
      <c r="U58" s="1">
        <f ca="1">IFERROR(__xludf.DUMMYFUNCTION("""COMPUTED_VALUE"""),78)</f>
        <v>78</v>
      </c>
    </row>
    <row r="59" spans="1:21" ht="12.75" x14ac:dyDescent="0.2">
      <c r="A59" s="3">
        <f ca="1">IFERROR(__xludf.DUMMYFUNCTION("""COMPUTED_VALUE"""),40148.3916666666)</f>
        <v>40148.391666666597</v>
      </c>
      <c r="B59" s="1">
        <f ca="1">IFERROR(__xludf.DUMMYFUNCTION("""COMPUTED_VALUE"""),1.9)</f>
        <v>1.9</v>
      </c>
      <c r="E59" s="1" t="str">
        <f ca="1">IFERROR(__xludf.DUMMYFUNCTION("""COMPUTED_VALUE"""),"SET OF THREE VINTAGE GIFT WRAPS")</f>
        <v>SET OF THREE VINTAGE GIFT WRAPS</v>
      </c>
      <c r="F59" s="1">
        <f ca="1">IFERROR(__xludf.DUMMYFUNCTION("""COMPUTED_VALUE"""),6)</f>
        <v>6</v>
      </c>
      <c r="G59" s="1">
        <f ca="1">IFERROR(__xludf.DUMMYFUNCTION("""COMPUTED_VALUE"""),1.95)</f>
        <v>1.95</v>
      </c>
      <c r="J59" s="1" t="str">
        <f ca="1">IFERROR(__xludf.DUMMYFUNCTION("""COMPUTED_VALUE"""),"CHARLIE+LOLA PINK HOT WATER BOTTLE")</f>
        <v>CHARLIE+LOLA PINK HOT WATER BOTTLE</v>
      </c>
      <c r="K59" s="1">
        <f ca="1">IFERROR(__xludf.DUMMYFUNCTION("""COMPUTED_VALUE"""),60)</f>
        <v>60</v>
      </c>
      <c r="L59" s="1">
        <f ca="1">IFERROR(__xludf.DUMMYFUNCTION("""COMPUTED_VALUE"""),1.9)</f>
        <v>1.9</v>
      </c>
      <c r="T59" s="1">
        <f ca="1">IFERROR(__xludf.DUMMYFUNCTION("""COMPUTED_VALUE"""),489438)</f>
        <v>489438</v>
      </c>
      <c r="U59" s="1">
        <f ca="1">IFERROR(__xludf.DUMMYFUNCTION("""COMPUTED_VALUE"""),114)</f>
        <v>114</v>
      </c>
    </row>
    <row r="60" spans="1:21" ht="12.75" x14ac:dyDescent="0.2">
      <c r="A60" s="3">
        <f ca="1">IFERROR(__xludf.DUMMYFUNCTION("""COMPUTED_VALUE"""),40148.3916666666)</f>
        <v>40148.391666666597</v>
      </c>
      <c r="B60" s="1">
        <f ca="1">IFERROR(__xludf.DUMMYFUNCTION("""COMPUTED_VALUE"""),2.4)</f>
        <v>2.4</v>
      </c>
      <c r="E60" s="1" t="str">
        <f ca="1">IFERROR(__xludf.DUMMYFUNCTION("""COMPUTED_VALUE"""),"SET/3 RUSSIAN DOLL STACKING TINS")</f>
        <v>SET/3 RUSSIAN DOLL STACKING TINS</v>
      </c>
      <c r="F60" s="1">
        <f ca="1">IFERROR(__xludf.DUMMYFUNCTION("""COMPUTED_VALUE"""),6)</f>
        <v>6</v>
      </c>
      <c r="G60" s="1">
        <f ca="1">IFERROR(__xludf.DUMMYFUNCTION("""COMPUTED_VALUE"""),4.95)</f>
        <v>4.95</v>
      </c>
      <c r="J60" s="1" t="str">
        <f ca="1">IFERROR(__xludf.DUMMYFUNCTION("""COMPUTED_VALUE"""),"CARROT CHARLIE+LOLA COASTER SET")</f>
        <v>CARROT CHARLIE+LOLA COASTER SET</v>
      </c>
      <c r="K60" s="1">
        <f ca="1">IFERROR(__xludf.DUMMYFUNCTION("""COMPUTED_VALUE"""),60)</f>
        <v>60</v>
      </c>
      <c r="L60" s="1">
        <f ca="1">IFERROR(__xludf.DUMMYFUNCTION("""COMPUTED_VALUE"""),2.4)</f>
        <v>2.4</v>
      </c>
      <c r="T60" s="1">
        <f ca="1">IFERROR(__xludf.DUMMYFUNCTION("""COMPUTED_VALUE"""),489438)</f>
        <v>489438</v>
      </c>
      <c r="U60" s="1">
        <f ca="1">IFERROR(__xludf.DUMMYFUNCTION("""COMPUTED_VALUE"""),144)</f>
        <v>144</v>
      </c>
    </row>
    <row r="61" spans="1:21" ht="12.75" x14ac:dyDescent="0.2">
      <c r="A61" s="3">
        <f ca="1">IFERROR(__xludf.DUMMYFUNCTION("""COMPUTED_VALUE"""),40148.3916666666)</f>
        <v>40148.391666666597</v>
      </c>
      <c r="B61" s="1">
        <f ca="1">IFERROR(__xludf.DUMMYFUNCTION("""COMPUTED_VALUE"""),6.38)</f>
        <v>6.38</v>
      </c>
      <c r="E61" s="1" t="str">
        <f ca="1">IFERROR(__xludf.DUMMYFUNCTION("""COMPUTED_VALUE"""),"CAT BOWL")</f>
        <v>CAT BOWL</v>
      </c>
      <c r="F61" s="1">
        <f ca="1">IFERROR(__xludf.DUMMYFUNCTION("""COMPUTED_VALUE"""),8)</f>
        <v>8</v>
      </c>
      <c r="G61" s="1">
        <f ca="1">IFERROR(__xludf.DUMMYFUNCTION("""COMPUTED_VALUE"""),2.55)</f>
        <v>2.5499999999999998</v>
      </c>
      <c r="J61" s="1" t="str">
        <f ca="1">IFERROR(__xludf.DUMMYFUNCTION("""COMPUTED_VALUE"""),"CHARLIE + LOLA BISCUITS TINS")</f>
        <v>CHARLIE + LOLA BISCUITS TINS</v>
      </c>
      <c r="K61" s="1">
        <f ca="1">IFERROR(__xludf.DUMMYFUNCTION("""COMPUTED_VALUE"""),60)</f>
        <v>60</v>
      </c>
      <c r="L61" s="1">
        <f ca="1">IFERROR(__xludf.DUMMYFUNCTION("""COMPUTED_VALUE"""),6.38)</f>
        <v>6.38</v>
      </c>
      <c r="T61" s="1">
        <f ca="1">IFERROR(__xludf.DUMMYFUNCTION("""COMPUTED_VALUE"""),489438)</f>
        <v>489438</v>
      </c>
      <c r="U61" s="1">
        <f ca="1">IFERROR(__xludf.DUMMYFUNCTION("""COMPUTED_VALUE"""),382.8)</f>
        <v>382.8</v>
      </c>
    </row>
    <row r="62" spans="1:21" ht="12.75" x14ac:dyDescent="0.2">
      <c r="A62" s="3">
        <f ca="1">IFERROR(__xludf.DUMMYFUNCTION("""COMPUTED_VALUE"""),40148.3916666666)</f>
        <v>40148.391666666597</v>
      </c>
      <c r="B62" s="1">
        <f ca="1">IFERROR(__xludf.DUMMYFUNCTION("""COMPUTED_VALUE"""),6.4)</f>
        <v>6.4</v>
      </c>
      <c r="E62" s="1" t="str">
        <f ca="1">IFERROR(__xludf.DUMMYFUNCTION("""COMPUTED_VALUE"""),"DOG BOWL , CHASING BALL DESIGN")</f>
        <v>DOG BOWL , CHASING BALL DESIGN</v>
      </c>
      <c r="F62" s="1">
        <f ca="1">IFERROR(__xludf.DUMMYFUNCTION("""COMPUTED_VALUE"""),8)</f>
        <v>8</v>
      </c>
      <c r="G62" s="1">
        <f ca="1">IFERROR(__xludf.DUMMYFUNCTION("""COMPUTED_VALUE"""),3.75)</f>
        <v>3.75</v>
      </c>
      <c r="J62" s="1" t="str">
        <f ca="1">IFERROR(__xludf.DUMMYFUNCTION("""COMPUTED_VALUE"""),"CHARLIE AND LOLA FIGURES TINS")</f>
        <v>CHARLIE AND LOLA FIGURES TINS</v>
      </c>
      <c r="K62" s="1">
        <f ca="1">IFERROR(__xludf.DUMMYFUNCTION("""COMPUTED_VALUE"""),60)</f>
        <v>60</v>
      </c>
      <c r="L62" s="1">
        <f ca="1">IFERROR(__xludf.DUMMYFUNCTION("""COMPUTED_VALUE"""),6.4)</f>
        <v>6.4</v>
      </c>
      <c r="T62" s="1">
        <f ca="1">IFERROR(__xludf.DUMMYFUNCTION("""COMPUTED_VALUE"""),489438)</f>
        <v>489438</v>
      </c>
      <c r="U62" s="1">
        <f ca="1">IFERROR(__xludf.DUMMYFUNCTION("""COMPUTED_VALUE"""),384)</f>
        <v>384</v>
      </c>
    </row>
    <row r="63" spans="1:21" ht="12.75" x14ac:dyDescent="0.2">
      <c r="A63" s="3">
        <f ca="1">IFERROR(__xludf.DUMMYFUNCTION("""COMPUTED_VALUE"""),40148.3916666666)</f>
        <v>40148.391666666597</v>
      </c>
      <c r="B63" s="1">
        <f ca="1">IFERROR(__xludf.DUMMYFUNCTION("""COMPUTED_VALUE"""),2.4)</f>
        <v>2.4</v>
      </c>
      <c r="E63" s="1" t="str">
        <f ca="1">IFERROR(__xludf.DUMMYFUNCTION("""COMPUTED_VALUE"""),"SCOTTIE DOG HOT WATER BOTTLE")</f>
        <v>SCOTTIE DOG HOT WATER BOTTLE</v>
      </c>
      <c r="F63" s="1">
        <f ca="1">IFERROR(__xludf.DUMMYFUNCTION("""COMPUTED_VALUE"""),48)</f>
        <v>48</v>
      </c>
      <c r="G63" s="1">
        <f ca="1">IFERROR(__xludf.DUMMYFUNCTION("""COMPUTED_VALUE"""),4.25)</f>
        <v>4.25</v>
      </c>
      <c r="J63" s="1" t="str">
        <f ca="1">IFERROR(__xludf.DUMMYFUNCTION("""COMPUTED_VALUE"""),"CHARLIE &amp; LOLA WASTEPAPER BIN BLUE")</f>
        <v>CHARLIE &amp; LOLA WASTEPAPER BIN BLUE</v>
      </c>
      <c r="K63" s="1">
        <f ca="1">IFERROR(__xludf.DUMMYFUNCTION("""COMPUTED_VALUE"""),60)</f>
        <v>60</v>
      </c>
      <c r="L63" s="1">
        <f ca="1">IFERROR(__xludf.DUMMYFUNCTION("""COMPUTED_VALUE"""),2.4)</f>
        <v>2.4</v>
      </c>
      <c r="T63" s="1">
        <f ca="1">IFERROR(__xludf.DUMMYFUNCTION("""COMPUTED_VALUE"""),489438)</f>
        <v>489438</v>
      </c>
      <c r="U63" s="1">
        <f ca="1">IFERROR(__xludf.DUMMYFUNCTION("""COMPUTED_VALUE"""),144)</f>
        <v>144</v>
      </c>
    </row>
    <row r="64" spans="1:21" ht="12.75" x14ac:dyDescent="0.2">
      <c r="A64" s="3">
        <f ca="1">IFERROR(__xludf.DUMMYFUNCTION("""COMPUTED_VALUE"""),40148.3916666666)</f>
        <v>40148.391666666597</v>
      </c>
      <c r="B64" s="1">
        <f ca="1">IFERROR(__xludf.DUMMYFUNCTION("""COMPUTED_VALUE"""),2.4)</f>
        <v>2.4</v>
      </c>
      <c r="E64" s="1" t="str">
        <f ca="1">IFERROR(__xludf.DUMMYFUNCTION("""COMPUTED_VALUE"""),"RED WOOLLY HOTTIE WHITE HEART.")</f>
        <v>RED WOOLLY HOTTIE WHITE HEART.</v>
      </c>
      <c r="F64" s="1">
        <f ca="1">IFERROR(__xludf.DUMMYFUNCTION("""COMPUTED_VALUE"""),36)</f>
        <v>36</v>
      </c>
      <c r="G64" s="1">
        <f ca="1">IFERROR(__xludf.DUMMYFUNCTION("""COMPUTED_VALUE"""),2.95)</f>
        <v>2.95</v>
      </c>
      <c r="J64" s="1" t="str">
        <f ca="1">IFERROR(__xludf.DUMMYFUNCTION("""COMPUTED_VALUE"""),"CHARLIE &amp; LOLA WASTEPAPER BIN FLORA")</f>
        <v>CHARLIE &amp; LOLA WASTEPAPER BIN FLORA</v>
      </c>
      <c r="K64" s="1">
        <f ca="1">IFERROR(__xludf.DUMMYFUNCTION("""COMPUTED_VALUE"""),60)</f>
        <v>60</v>
      </c>
      <c r="L64" s="1">
        <f ca="1">IFERROR(__xludf.DUMMYFUNCTION("""COMPUTED_VALUE"""),2.4)</f>
        <v>2.4</v>
      </c>
      <c r="T64" s="1">
        <f ca="1">IFERROR(__xludf.DUMMYFUNCTION("""COMPUTED_VALUE"""),489438)</f>
        <v>489438</v>
      </c>
      <c r="U64" s="1">
        <f ca="1">IFERROR(__xludf.DUMMYFUNCTION("""COMPUTED_VALUE"""),144)</f>
        <v>144</v>
      </c>
    </row>
    <row r="65" spans="1:21" ht="12.75" x14ac:dyDescent="0.2">
      <c r="A65" s="3">
        <f ca="1">IFERROR(__xludf.DUMMYFUNCTION("""COMPUTED_VALUE"""),40148.3916666666)</f>
        <v>40148.391666666597</v>
      </c>
      <c r="B65" s="1">
        <f ca="1">IFERROR(__xludf.DUMMYFUNCTION("""COMPUTED_VALUE"""),3)</f>
        <v>3</v>
      </c>
      <c r="E65" s="1" t="str">
        <f ca="1">IFERROR(__xludf.DUMMYFUNCTION("""COMPUTED_VALUE"""),"BAKING SET 9 PIECE RETROSPOT")</f>
        <v>BAKING SET 9 PIECE RETROSPOT</v>
      </c>
      <c r="F65" s="1">
        <f ca="1">IFERROR(__xludf.DUMMYFUNCTION("""COMPUTED_VALUE"""),6)</f>
        <v>6</v>
      </c>
      <c r="G65" s="1">
        <f ca="1">IFERROR(__xludf.DUMMYFUNCTION("""COMPUTED_VALUE"""),4.25)</f>
        <v>4.25</v>
      </c>
      <c r="J65" s="1" t="str">
        <f ca="1">IFERROR(__xludf.DUMMYFUNCTION("""COMPUTED_VALUE"""),"CHARLIE+LOLA RED HOT WATER BOTTLE")</f>
        <v>CHARLIE+LOLA RED HOT WATER BOTTLE</v>
      </c>
      <c r="K65" s="1">
        <f ca="1">IFERROR(__xludf.DUMMYFUNCTION("""COMPUTED_VALUE"""),56)</f>
        <v>56</v>
      </c>
      <c r="L65" s="1">
        <f ca="1">IFERROR(__xludf.DUMMYFUNCTION("""COMPUTED_VALUE"""),3)</f>
        <v>3</v>
      </c>
      <c r="T65" s="1">
        <f ca="1">IFERROR(__xludf.DUMMYFUNCTION("""COMPUTED_VALUE"""),489438)</f>
        <v>489438</v>
      </c>
      <c r="U65" s="1">
        <f ca="1">IFERROR(__xludf.DUMMYFUNCTION("""COMPUTED_VALUE"""),168)</f>
        <v>168</v>
      </c>
    </row>
    <row r="66" spans="1:21" ht="12.75" x14ac:dyDescent="0.2">
      <c r="A66" s="3">
        <f ca="1">IFERROR(__xludf.DUMMYFUNCTION("""COMPUTED_VALUE"""),40148.3916666666)</f>
        <v>40148.391666666597</v>
      </c>
      <c r="B66" s="1">
        <f ca="1">IFERROR(__xludf.DUMMYFUNCTION("""COMPUTED_VALUE"""),3)</f>
        <v>3</v>
      </c>
      <c r="E66" s="1" t="str">
        <f ca="1">IFERROR(__xludf.DUMMYFUNCTION("""COMPUTED_VALUE"""),"KINGS CHOICE CIGAR BOX MATCHES")</f>
        <v>KINGS CHOICE CIGAR BOX MATCHES</v>
      </c>
      <c r="F66" s="1">
        <f ca="1">IFERROR(__xludf.DUMMYFUNCTION("""COMPUTED_VALUE"""),48)</f>
        <v>48</v>
      </c>
      <c r="G66" s="1">
        <f ca="1">IFERROR(__xludf.DUMMYFUNCTION("""COMPUTED_VALUE"""),1.25)</f>
        <v>1.25</v>
      </c>
      <c r="J66" s="1" t="str">
        <f ca="1">IFERROR(__xludf.DUMMYFUNCTION("""COMPUTED_VALUE"""),"CHARLIE LOLA BLUE HOT WATER BOTTLE")</f>
        <v>CHARLIE LOLA BLUE HOT WATER BOTTLE</v>
      </c>
      <c r="K66" s="1">
        <f ca="1">IFERROR(__xludf.DUMMYFUNCTION("""COMPUTED_VALUE"""),56)</f>
        <v>56</v>
      </c>
      <c r="L66" s="1">
        <f ca="1">IFERROR(__xludf.DUMMYFUNCTION("""COMPUTED_VALUE"""),3)</f>
        <v>3</v>
      </c>
      <c r="T66" s="1">
        <f ca="1">IFERROR(__xludf.DUMMYFUNCTION("""COMPUTED_VALUE"""),489438)</f>
        <v>489438</v>
      </c>
      <c r="U66" s="1">
        <f ca="1">IFERROR(__xludf.DUMMYFUNCTION("""COMPUTED_VALUE"""),168)</f>
        <v>168</v>
      </c>
    </row>
    <row r="67" spans="1:21" ht="12.75" x14ac:dyDescent="0.2">
      <c r="A67" s="3">
        <f ca="1">IFERROR(__xludf.DUMMYFUNCTION("""COMPUTED_VALUE"""),40148.3916666666)</f>
        <v>40148.391666666597</v>
      </c>
      <c r="B67" s="1">
        <f ca="1">IFERROR(__xludf.DUMMYFUNCTION("""COMPUTED_VALUE"""),1.9)</f>
        <v>1.9</v>
      </c>
      <c r="E67" s="1" t="str">
        <f ca="1">IFERROR(__xludf.DUMMYFUNCTION("""COMPUTED_VALUE"""),"KINGS CHOICE SMALL TUBE MATCHES")</f>
        <v>KINGS CHOICE SMALL TUBE MATCHES</v>
      </c>
      <c r="F67" s="1">
        <f ca="1">IFERROR(__xludf.DUMMYFUNCTION("""COMPUTED_VALUE"""),20)</f>
        <v>20</v>
      </c>
      <c r="G67" s="1">
        <f ca="1">IFERROR(__xludf.DUMMYFUNCTION("""COMPUTED_VALUE"""),1.65)</f>
        <v>1.65</v>
      </c>
      <c r="J67" s="1" t="str">
        <f ca="1">IFERROR(__xludf.DUMMYFUNCTION("""COMPUTED_VALUE"""),"CHARLIE + LOLA RED HOT WATER BOTTLE")</f>
        <v>CHARLIE + LOLA RED HOT WATER BOTTLE</v>
      </c>
      <c r="K67" s="1">
        <f ca="1">IFERROR(__xludf.DUMMYFUNCTION("""COMPUTED_VALUE"""),56)</f>
        <v>56</v>
      </c>
      <c r="L67" s="1">
        <f ca="1">IFERROR(__xludf.DUMMYFUNCTION("""COMPUTED_VALUE"""),1.9)</f>
        <v>1.9</v>
      </c>
      <c r="T67" s="1">
        <f ca="1">IFERROR(__xludf.DUMMYFUNCTION("""COMPUTED_VALUE"""),489438)</f>
        <v>489438</v>
      </c>
      <c r="U67" s="1">
        <f ca="1">IFERROR(__xludf.DUMMYFUNCTION("""COMPUTED_VALUE"""),106.399999999999)</f>
        <v>106.399999999999</v>
      </c>
    </row>
    <row r="68" spans="1:21" ht="12.75" x14ac:dyDescent="0.2">
      <c r="A68" s="3">
        <f ca="1">IFERROR(__xludf.DUMMYFUNCTION("""COMPUTED_VALUE"""),40148.3916666666)</f>
        <v>40148.391666666597</v>
      </c>
      <c r="B68" s="1">
        <f ca="1">IFERROR(__xludf.DUMMYFUNCTION("""COMPUTED_VALUE"""),2.15)</f>
        <v>2.15</v>
      </c>
      <c r="E68" s="1" t="str">
        <f ca="1">IFERROR(__xludf.DUMMYFUNCTION("""COMPUTED_VALUE"""),"HEART IVORY TRELLIS LARGE")</f>
        <v>HEART IVORY TRELLIS LARGE</v>
      </c>
      <c r="F68" s="1">
        <f ca="1">IFERROR(__xludf.DUMMYFUNCTION("""COMPUTED_VALUE"""),12)</f>
        <v>12</v>
      </c>
      <c r="G68" s="1">
        <f ca="1">IFERROR(__xludf.DUMMYFUNCTION("""COMPUTED_VALUE"""),1.65)</f>
        <v>1.65</v>
      </c>
      <c r="J68" s="1" t="str">
        <f ca="1">IFERROR(__xludf.DUMMYFUNCTION("""COMPUTED_VALUE"""),"TOMATO CHARLIE+LOLA COASTER SET")</f>
        <v>TOMATO CHARLIE+LOLA COASTER SET</v>
      </c>
      <c r="K68" s="1">
        <f ca="1">IFERROR(__xludf.DUMMYFUNCTION("""COMPUTED_VALUE"""),56)</f>
        <v>56</v>
      </c>
      <c r="L68" s="1">
        <f ca="1">IFERROR(__xludf.DUMMYFUNCTION("""COMPUTED_VALUE"""),2.15)</f>
        <v>2.15</v>
      </c>
      <c r="T68" s="1">
        <f ca="1">IFERROR(__xludf.DUMMYFUNCTION("""COMPUTED_VALUE"""),489438)</f>
        <v>489438</v>
      </c>
      <c r="U68" s="1">
        <f ca="1">IFERROR(__xludf.DUMMYFUNCTION("""COMPUTED_VALUE"""),120.399999999999)</f>
        <v>120.399999999999</v>
      </c>
    </row>
    <row r="69" spans="1:21" ht="12.75" x14ac:dyDescent="0.2">
      <c r="A69" s="3">
        <f ca="1">IFERROR(__xludf.DUMMYFUNCTION("""COMPUTED_VALUE"""),40148.3916666666)</f>
        <v>40148.391666666597</v>
      </c>
      <c r="B69" s="1">
        <f ca="1">IFERROR(__xludf.DUMMYFUNCTION("""COMPUTED_VALUE"""),2.5)</f>
        <v>2.5</v>
      </c>
      <c r="E69" s="1" t="str">
        <f ca="1">IFERROR(__xludf.DUMMYFUNCTION("""COMPUTED_VALUE"""),"YELLOW + BROWN BEAR FELT PURSE KIT")</f>
        <v>YELLOW + BROWN BEAR FELT PURSE KIT</v>
      </c>
      <c r="F69" s="1">
        <f ca="1">IFERROR(__xludf.DUMMYFUNCTION("""COMPUTED_VALUE"""),12)</f>
        <v>12</v>
      </c>
      <c r="G69" s="1">
        <f ca="1">IFERROR(__xludf.DUMMYFUNCTION("""COMPUTED_VALUE"""),1.25)</f>
        <v>1.25</v>
      </c>
      <c r="J69" s="1" t="str">
        <f ca="1">IFERROR(__xludf.DUMMYFUNCTION("""COMPUTED_VALUE"""),"COUNTRY COTTAGE  DOORSTOP GREEN")</f>
        <v>COUNTRY COTTAGE  DOORSTOP GREEN</v>
      </c>
      <c r="K69" s="1">
        <f ca="1">IFERROR(__xludf.DUMMYFUNCTION("""COMPUTED_VALUE"""),32)</f>
        <v>32</v>
      </c>
      <c r="L69" s="1">
        <f ca="1">IFERROR(__xludf.DUMMYFUNCTION("""COMPUTED_VALUE"""),2.5)</f>
        <v>2.5</v>
      </c>
      <c r="T69" s="1">
        <f ca="1">IFERROR(__xludf.DUMMYFUNCTION("""COMPUTED_VALUE"""),489438)</f>
        <v>489438</v>
      </c>
      <c r="U69" s="1">
        <f ca="1">IFERROR(__xludf.DUMMYFUNCTION("""COMPUTED_VALUE"""),80)</f>
        <v>80</v>
      </c>
    </row>
    <row r="70" spans="1:21" ht="12.75" x14ac:dyDescent="0.2">
      <c r="A70" s="3">
        <f ca="1">IFERROR(__xludf.DUMMYFUNCTION("""COMPUTED_VALUE"""),40148.3916666666)</f>
        <v>40148.391666666597</v>
      </c>
      <c r="B70" s="1">
        <f ca="1">IFERROR(__xludf.DUMMYFUNCTION("""COMPUTED_VALUE"""),2.5)</f>
        <v>2.5</v>
      </c>
      <c r="E70" s="1" t="str">
        <f ca="1">IFERROR(__xludf.DUMMYFUNCTION("""COMPUTED_VALUE"""),"KINGS CHOICE GIANT TUBE MATCHES")</f>
        <v>KINGS CHOICE GIANT TUBE MATCHES</v>
      </c>
      <c r="F70" s="1">
        <f ca="1">IFERROR(__xludf.DUMMYFUNCTION("""COMPUTED_VALUE"""),12)</f>
        <v>12</v>
      </c>
      <c r="G70" s="1">
        <f ca="1">IFERROR(__xludf.DUMMYFUNCTION("""COMPUTED_VALUE"""),2.55)</f>
        <v>2.5499999999999998</v>
      </c>
      <c r="J70" s="1" t="str">
        <f ca="1">IFERROR(__xludf.DUMMYFUNCTION("""COMPUTED_VALUE"""),"GINGHAM HEART  DOORSTOP RED")</f>
        <v>GINGHAM HEART  DOORSTOP RED</v>
      </c>
      <c r="K70" s="1">
        <f ca="1">IFERROR(__xludf.DUMMYFUNCTION("""COMPUTED_VALUE"""),32)</f>
        <v>32</v>
      </c>
      <c r="L70" s="1">
        <f ca="1">IFERROR(__xludf.DUMMYFUNCTION("""COMPUTED_VALUE"""),2.5)</f>
        <v>2.5</v>
      </c>
      <c r="T70" s="1">
        <f ca="1">IFERROR(__xludf.DUMMYFUNCTION("""COMPUTED_VALUE"""),489438)</f>
        <v>489438</v>
      </c>
      <c r="U70" s="1">
        <f ca="1">IFERROR(__xludf.DUMMYFUNCTION("""COMPUTED_VALUE"""),80)</f>
        <v>80</v>
      </c>
    </row>
    <row r="71" spans="1:21" ht="12.75" x14ac:dyDescent="0.2">
      <c r="A71" s="3">
        <f ca="1">IFERROR(__xludf.DUMMYFUNCTION("""COMPUTED_VALUE"""),40148.3916666666)</f>
        <v>40148.391666666597</v>
      </c>
      <c r="B71" s="1">
        <f ca="1">IFERROR(__xludf.DUMMYFUNCTION("""COMPUTED_VALUE"""),1.69)</f>
        <v>1.69</v>
      </c>
      <c r="E71" s="1" t="str">
        <f ca="1">IFERROR(__xludf.DUMMYFUNCTION("""COMPUTED_VALUE"""),"EMPIRE TISSUE BOX")</f>
        <v>EMPIRE TISSUE BOX</v>
      </c>
      <c r="F71" s="1">
        <f ca="1">IFERROR(__xludf.DUMMYFUNCTION("""COMPUTED_VALUE"""),12)</f>
        <v>12</v>
      </c>
      <c r="G71" s="1">
        <f ca="1">IFERROR(__xludf.DUMMYFUNCTION("""COMPUTED_VALUE"""),1.25)</f>
        <v>1.25</v>
      </c>
      <c r="J71" s="1" t="str">
        <f ca="1">IFERROR(__xludf.DUMMYFUNCTION("""COMPUTED_VALUE"""),"SET OF MEADOW  FLOWER STICKERS")</f>
        <v>SET OF MEADOW  FLOWER STICKERS</v>
      </c>
      <c r="K71" s="1">
        <f ca="1">IFERROR(__xludf.DUMMYFUNCTION("""COMPUTED_VALUE"""),30)</f>
        <v>30</v>
      </c>
      <c r="L71" s="1">
        <f ca="1">IFERROR(__xludf.DUMMYFUNCTION("""COMPUTED_VALUE"""),1.69)</f>
        <v>1.69</v>
      </c>
      <c r="T71" s="1">
        <f ca="1">IFERROR(__xludf.DUMMYFUNCTION("""COMPUTED_VALUE"""),489438)</f>
        <v>489438</v>
      </c>
      <c r="U71" s="1">
        <f ca="1">IFERROR(__xludf.DUMMYFUNCTION("""COMPUTED_VALUE"""),50.6999999999999)</f>
        <v>50.699999999999903</v>
      </c>
    </row>
    <row r="72" spans="1:21" ht="12.75" x14ac:dyDescent="0.2">
      <c r="A72" s="3">
        <f ca="1">IFERROR(__xludf.DUMMYFUNCTION("""COMPUTED_VALUE"""),40148.3916666666)</f>
        <v>40148.391666666597</v>
      </c>
      <c r="B72" s="1">
        <f ca="1">IFERROR(__xludf.DUMMYFUNCTION("""COMPUTED_VALUE"""),1.15)</f>
        <v>1.1499999999999999</v>
      </c>
      <c r="E72" s="1" t="str">
        <f ca="1">IFERROR(__xludf.DUMMYFUNCTION("""COMPUTED_VALUE"""),"VICTORIAN SEWING KIT")</f>
        <v>VICTORIAN SEWING KIT</v>
      </c>
      <c r="F72" s="1">
        <f ca="1">IFERROR(__xludf.DUMMYFUNCTION("""COMPUTED_VALUE"""),12)</f>
        <v>12</v>
      </c>
      <c r="G72" s="1">
        <f ca="1">IFERROR(__xludf.DUMMYFUNCTION("""COMPUTED_VALUE"""),1.25)</f>
        <v>1.25</v>
      </c>
      <c r="J72" s="1" t="str">
        <f ca="1">IFERROR(__xludf.DUMMYFUNCTION("""COMPUTED_VALUE"""),"CHARLIE AND LOLA CHARLOTTE BAG")</f>
        <v>CHARLIE AND LOLA CHARLOTTE BAG</v>
      </c>
      <c r="K72" s="1">
        <f ca="1">IFERROR(__xludf.DUMMYFUNCTION("""COMPUTED_VALUE"""),30)</f>
        <v>30</v>
      </c>
      <c r="L72" s="1">
        <f ca="1">IFERROR(__xludf.DUMMYFUNCTION("""COMPUTED_VALUE"""),1.15)</f>
        <v>1.1499999999999999</v>
      </c>
      <c r="T72" s="1">
        <f ca="1">IFERROR(__xludf.DUMMYFUNCTION("""COMPUTED_VALUE"""),489438)</f>
        <v>489438</v>
      </c>
      <c r="U72" s="1">
        <f ca="1">IFERROR(__xludf.DUMMYFUNCTION("""COMPUTED_VALUE"""),34.5)</f>
        <v>34.5</v>
      </c>
    </row>
    <row r="73" spans="1:21" ht="12.75" x14ac:dyDescent="0.2">
      <c r="A73" s="3">
        <f ca="1">IFERROR(__xludf.DUMMYFUNCTION("""COMPUTED_VALUE"""),40148.3916666666)</f>
        <v>40148.391666666597</v>
      </c>
      <c r="B73" s="1">
        <f ca="1">IFERROR(__xludf.DUMMYFUNCTION("""COMPUTED_VALUE"""),2)</f>
        <v>2</v>
      </c>
      <c r="E73" s="1" t="str">
        <f ca="1">IFERROR(__xludf.DUMMYFUNCTION("""COMPUTED_VALUE"""),"BINGO SET")</f>
        <v>BINGO SET</v>
      </c>
      <c r="F73" s="1">
        <f ca="1">IFERROR(__xludf.DUMMYFUNCTION("""COMPUTED_VALUE"""),8)</f>
        <v>8</v>
      </c>
      <c r="G73" s="1">
        <f ca="1">IFERROR(__xludf.DUMMYFUNCTION("""COMPUTED_VALUE"""),3.75)</f>
        <v>3.75</v>
      </c>
      <c r="J73" s="1" t="str">
        <f ca="1">IFERROR(__xludf.DUMMYFUNCTION("""COMPUTED_VALUE"""),"JUMBO BAG CHARLIE AND LOLA TOYS")</f>
        <v>JUMBO BAG CHARLIE AND LOLA TOYS</v>
      </c>
      <c r="K73" s="1">
        <f ca="1">IFERROR(__xludf.DUMMYFUNCTION("""COMPUTED_VALUE"""),30)</f>
        <v>30</v>
      </c>
      <c r="L73" s="1">
        <f ca="1">IFERROR(__xludf.DUMMYFUNCTION("""COMPUTED_VALUE"""),2)</f>
        <v>2</v>
      </c>
      <c r="T73" s="1">
        <f ca="1">IFERROR(__xludf.DUMMYFUNCTION("""COMPUTED_VALUE"""),489438)</f>
        <v>489438</v>
      </c>
      <c r="U73" s="1">
        <f ca="1">IFERROR(__xludf.DUMMYFUNCTION("""COMPUTED_VALUE"""),60)</f>
        <v>60</v>
      </c>
    </row>
    <row r="74" spans="1:21" ht="12.75" x14ac:dyDescent="0.2">
      <c r="A74" s="3">
        <f ca="1">IFERROR(__xludf.DUMMYFUNCTION("""COMPUTED_VALUE"""),40148.3916666666)</f>
        <v>40148.391666666597</v>
      </c>
      <c r="B74" s="1">
        <f ca="1">IFERROR(__xludf.DUMMYFUNCTION("""COMPUTED_VALUE"""),0.98)</f>
        <v>0.98</v>
      </c>
      <c r="E74" s="1" t="str">
        <f ca="1">IFERROR(__xludf.DUMMYFUNCTION("""COMPUTED_VALUE"""),"FELTCRAFT DOLL ROSIE")</f>
        <v>FELTCRAFT DOLL ROSIE</v>
      </c>
      <c r="F74" s="1">
        <f ca="1">IFERROR(__xludf.DUMMYFUNCTION("""COMPUTED_VALUE"""),6)</f>
        <v>6</v>
      </c>
      <c r="G74" s="1">
        <f ca="1">IFERROR(__xludf.DUMMYFUNCTION("""COMPUTED_VALUE"""),2.95)</f>
        <v>2.95</v>
      </c>
      <c r="J74" s="1" t="str">
        <f ca="1">IFERROR(__xludf.DUMMYFUNCTION("""COMPUTED_VALUE"""),"DINOSAURS  WRITING SET")</f>
        <v>DINOSAURS  WRITING SET</v>
      </c>
      <c r="K74" s="1">
        <f ca="1">IFERROR(__xludf.DUMMYFUNCTION("""COMPUTED_VALUE"""),28)</f>
        <v>28</v>
      </c>
      <c r="L74" s="1">
        <f ca="1">IFERROR(__xludf.DUMMYFUNCTION("""COMPUTED_VALUE"""),0.98)</f>
        <v>0.98</v>
      </c>
      <c r="T74" s="1">
        <f ca="1">IFERROR(__xludf.DUMMYFUNCTION("""COMPUTED_VALUE"""),489438)</f>
        <v>489438</v>
      </c>
      <c r="U74" s="1">
        <f ca="1">IFERROR(__xludf.DUMMYFUNCTION("""COMPUTED_VALUE"""),27.4399999999999)</f>
        <v>27.439999999999898</v>
      </c>
    </row>
    <row r="75" spans="1:21" ht="12.75" x14ac:dyDescent="0.2">
      <c r="A75" s="3">
        <f ca="1">IFERROR(__xludf.DUMMYFUNCTION("""COMPUTED_VALUE"""),40148.3944444444)</f>
        <v>40148.394444444399</v>
      </c>
      <c r="B75" s="1">
        <f ca="1">IFERROR(__xludf.DUMMYFUNCTION("""COMPUTED_VALUE"""),0.42)</f>
        <v>0.42</v>
      </c>
      <c r="E75" s="1" t="str">
        <f ca="1">IFERROR(__xludf.DUMMYFUNCTION("""COMPUTED_VALUE"""),"FELTCRAFT DOLL MARIA")</f>
        <v>FELTCRAFT DOLL MARIA</v>
      </c>
      <c r="F75" s="1">
        <f ca="1">IFERROR(__xludf.DUMMYFUNCTION("""COMPUTED_VALUE"""),6)</f>
        <v>6</v>
      </c>
      <c r="G75" s="1">
        <f ca="1">IFERROR(__xludf.DUMMYFUNCTION("""COMPUTED_VALUE"""),2.95)</f>
        <v>2.95</v>
      </c>
      <c r="J75" s="1" t="str">
        <f ca="1">IFERROR(__xludf.DUMMYFUNCTION("""COMPUTED_VALUE"""),"WRAP ENGLISH ROSE")</f>
        <v>WRAP ENGLISH ROSE</v>
      </c>
      <c r="K75" s="1">
        <f ca="1">IFERROR(__xludf.DUMMYFUNCTION("""COMPUTED_VALUE"""),25)</f>
        <v>25</v>
      </c>
      <c r="L75" s="1">
        <f ca="1">IFERROR(__xludf.DUMMYFUNCTION("""COMPUTED_VALUE"""),0.42)</f>
        <v>0.42</v>
      </c>
      <c r="T75" s="1">
        <f ca="1">IFERROR(__xludf.DUMMYFUNCTION("""COMPUTED_VALUE"""),489439)</f>
        <v>489439</v>
      </c>
      <c r="U75" s="1">
        <f ca="1">IFERROR(__xludf.DUMMYFUNCTION("""COMPUTED_VALUE"""),10.5)</f>
        <v>10.5</v>
      </c>
    </row>
    <row r="76" spans="1:21" ht="12.75" x14ac:dyDescent="0.2">
      <c r="A76" s="3">
        <f ca="1">IFERROR(__xludf.DUMMYFUNCTION("""COMPUTED_VALUE"""),40148.3944444444)</f>
        <v>40148.394444444399</v>
      </c>
      <c r="B76" s="1">
        <f ca="1">IFERROR(__xludf.DUMMYFUNCTION("""COMPUTED_VALUE"""),0.42)</f>
        <v>0.42</v>
      </c>
      <c r="E76" s="1" t="str">
        <f ca="1">IFERROR(__xludf.DUMMYFUNCTION("""COMPUTED_VALUE"""),"WHITE HANGING HEART T-LIGHT HOLDER")</f>
        <v>WHITE HANGING HEART T-LIGHT HOLDER</v>
      </c>
      <c r="F76" s="1">
        <f ca="1">IFERROR(__xludf.DUMMYFUNCTION("""COMPUTED_VALUE"""),6)</f>
        <v>6</v>
      </c>
      <c r="G76" s="1">
        <f ca="1">IFERROR(__xludf.DUMMYFUNCTION("""COMPUTED_VALUE"""),2.95)</f>
        <v>2.95</v>
      </c>
      <c r="J76" s="1" t="str">
        <f ca="1">IFERROR(__xludf.DUMMYFUNCTION("""COMPUTED_VALUE"""),"WRAP BLUE RUSSIAN FOLKART")</f>
        <v>WRAP BLUE RUSSIAN FOLKART</v>
      </c>
      <c r="K76" s="1">
        <f ca="1">IFERROR(__xludf.DUMMYFUNCTION("""COMPUTED_VALUE"""),25)</f>
        <v>25</v>
      </c>
      <c r="L76" s="1">
        <f ca="1">IFERROR(__xludf.DUMMYFUNCTION("""COMPUTED_VALUE"""),0.42)</f>
        <v>0.42</v>
      </c>
      <c r="T76" s="1">
        <f ca="1">IFERROR(__xludf.DUMMYFUNCTION("""COMPUTED_VALUE"""),489439)</f>
        <v>489439</v>
      </c>
      <c r="U76" s="1">
        <f ca="1">IFERROR(__xludf.DUMMYFUNCTION("""COMPUTED_VALUE"""),10.5)</f>
        <v>10.5</v>
      </c>
    </row>
    <row r="77" spans="1:21" ht="12.75" x14ac:dyDescent="0.2">
      <c r="A77" s="3">
        <f ca="1">IFERROR(__xludf.DUMMYFUNCTION("""COMPUTED_VALUE"""),40148.3944444444)</f>
        <v>40148.394444444399</v>
      </c>
      <c r="B77" s="1">
        <f ca="1">IFERROR(__xludf.DUMMYFUNCTION("""COMPUTED_VALUE"""),0.85)</f>
        <v>0.85</v>
      </c>
      <c r="E77" s="1" t="str">
        <f ca="1">IFERROR(__xludf.DUMMYFUNCTION("""COMPUTED_VALUE"""),"SET3 BOOK BOX GREEN GINGHAM FLOWER")</f>
        <v>SET3 BOOK BOX GREEN GINGHAM FLOWER</v>
      </c>
      <c r="F77" s="1">
        <f ca="1">IFERROR(__xludf.DUMMYFUNCTION("""COMPUTED_VALUE"""),4)</f>
        <v>4</v>
      </c>
      <c r="G77" s="1">
        <f ca="1">IFERROR(__xludf.DUMMYFUNCTION("""COMPUTED_VALUE"""),4.25)</f>
        <v>4.25</v>
      </c>
      <c r="J77" s="1" t="str">
        <f ca="1">IFERROR(__xludf.DUMMYFUNCTION("""COMPUTED_VALUE"""),"PARTY CONE CHRISTMAS DECORATION")</f>
        <v>PARTY CONE CHRISTMAS DECORATION</v>
      </c>
      <c r="K77" s="1">
        <f ca="1">IFERROR(__xludf.DUMMYFUNCTION("""COMPUTED_VALUE"""),24)</f>
        <v>24</v>
      </c>
      <c r="L77" s="1">
        <f ca="1">IFERROR(__xludf.DUMMYFUNCTION("""COMPUTED_VALUE"""),0.85)</f>
        <v>0.85</v>
      </c>
      <c r="T77" s="1">
        <f ca="1">IFERROR(__xludf.DUMMYFUNCTION("""COMPUTED_VALUE"""),489439)</f>
        <v>489439</v>
      </c>
      <c r="U77" s="1">
        <f ca="1">IFERROR(__xludf.DUMMYFUNCTION("""COMPUTED_VALUE"""),20.4)</f>
        <v>20.399999999999999</v>
      </c>
    </row>
    <row r="78" spans="1:21" ht="12.75" x14ac:dyDescent="0.2">
      <c r="A78" s="3">
        <f ca="1">IFERROR(__xludf.DUMMYFUNCTION("""COMPUTED_VALUE"""),40148.3944444444)</f>
        <v>40148.394444444399</v>
      </c>
      <c r="B78" s="1">
        <f ca="1">IFERROR(__xludf.DUMMYFUNCTION("""COMPUTED_VALUE"""),1.65)</f>
        <v>1.65</v>
      </c>
      <c r="E78" s="1" t="str">
        <f ca="1">IFERROR(__xludf.DUMMYFUNCTION("""COMPUTED_VALUE"""),"SET/3 RED GINGHAM ROSE STORAGE BOX")</f>
        <v>SET/3 RED GINGHAM ROSE STORAGE BOX</v>
      </c>
      <c r="F78" s="1">
        <f ca="1">IFERROR(__xludf.DUMMYFUNCTION("""COMPUTED_VALUE"""),4)</f>
        <v>4</v>
      </c>
      <c r="G78" s="1">
        <f ca="1">IFERROR(__xludf.DUMMYFUNCTION("""COMPUTED_VALUE"""),3.75)</f>
        <v>3.75</v>
      </c>
      <c r="J78" s="1" t="str">
        <f ca="1">IFERROR(__xludf.DUMMYFUNCTION("""COMPUTED_VALUE"""),"RED TOADSTOOL LED NIGHT LIGHT")</f>
        <v>RED TOADSTOOL LED NIGHT LIGHT</v>
      </c>
      <c r="K78" s="1">
        <f ca="1">IFERROR(__xludf.DUMMYFUNCTION("""COMPUTED_VALUE"""),24)</f>
        <v>24</v>
      </c>
      <c r="L78" s="1">
        <f ca="1">IFERROR(__xludf.DUMMYFUNCTION("""COMPUTED_VALUE"""),1.65)</f>
        <v>1.65</v>
      </c>
      <c r="T78" s="1">
        <f ca="1">IFERROR(__xludf.DUMMYFUNCTION("""COMPUTED_VALUE"""),489439)</f>
        <v>489439</v>
      </c>
      <c r="U78" s="1">
        <f ca="1">IFERROR(__xludf.DUMMYFUNCTION("""COMPUTED_VALUE"""),39.5999999999999)</f>
        <v>39.599999999999902</v>
      </c>
    </row>
    <row r="79" spans="1:21" ht="12.75" x14ac:dyDescent="0.2">
      <c r="A79" s="3">
        <f ca="1">IFERROR(__xludf.DUMMYFUNCTION("""COMPUTED_VALUE"""),40148.3944444444)</f>
        <v>40148.394444444399</v>
      </c>
      <c r="B79" s="1">
        <f ca="1">IFERROR(__xludf.DUMMYFUNCTION("""COMPUTED_VALUE"""),1.45)</f>
        <v>1.45</v>
      </c>
      <c r="E79" s="1" t="str">
        <f ca="1">IFERROR(__xludf.DUMMYFUNCTION("""COMPUTED_VALUE"""),"SCOTTIE DOG HOT WATER BOTTLE")</f>
        <v>SCOTTIE DOG HOT WATER BOTTLE</v>
      </c>
      <c r="F79" s="1">
        <f ca="1">IFERROR(__xludf.DUMMYFUNCTION("""COMPUTED_VALUE"""),3)</f>
        <v>3</v>
      </c>
      <c r="G79" s="1">
        <f ca="1">IFERROR(__xludf.DUMMYFUNCTION("""COMPUTED_VALUE"""),4.95)</f>
        <v>4.95</v>
      </c>
      <c r="J79" s="1" t="str">
        <f ca="1">IFERROR(__xludf.DUMMYFUNCTION("""COMPUTED_VALUE"""),"CHRISTMAS PUDDING TRINKET POT")</f>
        <v>CHRISTMAS PUDDING TRINKET POT</v>
      </c>
      <c r="K79" s="1">
        <f ca="1">IFERROR(__xludf.DUMMYFUNCTION("""COMPUTED_VALUE"""),12)</f>
        <v>12</v>
      </c>
      <c r="L79" s="1">
        <f ca="1">IFERROR(__xludf.DUMMYFUNCTION("""COMPUTED_VALUE"""),1.45)</f>
        <v>1.45</v>
      </c>
      <c r="T79" s="1">
        <f ca="1">IFERROR(__xludf.DUMMYFUNCTION("""COMPUTED_VALUE"""),489439)</f>
        <v>489439</v>
      </c>
      <c r="U79" s="1">
        <f ca="1">IFERROR(__xludf.DUMMYFUNCTION("""COMPUTED_VALUE"""),17.4)</f>
        <v>17.399999999999999</v>
      </c>
    </row>
    <row r="80" spans="1:21" ht="12.75" x14ac:dyDescent="0.2">
      <c r="A80" s="3">
        <f ca="1">IFERROR(__xludf.DUMMYFUNCTION("""COMPUTED_VALUE"""),40148.3944444444)</f>
        <v>40148.394444444399</v>
      </c>
      <c r="B80" s="1">
        <f ca="1">IFERROR(__xludf.DUMMYFUNCTION("""COMPUTED_VALUE"""),2.55)</f>
        <v>2.5499999999999998</v>
      </c>
      <c r="E80" s="1" t="str">
        <f ca="1">IFERROR(__xludf.DUMMYFUNCTION("""COMPUTED_VALUE"""),"RECORD FRAME 7"" SINGLE SIZE ")</f>
        <v xml:space="preserve">RECORD FRAME 7" SINGLE SIZE </v>
      </c>
      <c r="F80" s="1">
        <f ca="1">IFERROR(__xludf.DUMMYFUNCTION("""COMPUTED_VALUE"""),48)</f>
        <v>48</v>
      </c>
      <c r="G80" s="1">
        <f ca="1">IFERROR(__xludf.DUMMYFUNCTION("""COMPUTED_VALUE"""),2.1)</f>
        <v>2.1</v>
      </c>
      <c r="J80" s="1" t="str">
        <f ca="1">IFERROR(__xludf.DUMMYFUNCTION("""COMPUTED_VALUE"""),"LUNCHBOX WITH CUTLERY RETROSPOT")</f>
        <v>LUNCHBOX WITH CUTLERY RETROSPOT</v>
      </c>
      <c r="K80" s="1">
        <f ca="1">IFERROR(__xludf.DUMMYFUNCTION("""COMPUTED_VALUE"""),12)</f>
        <v>12</v>
      </c>
      <c r="L80" s="1">
        <f ca="1">IFERROR(__xludf.DUMMYFUNCTION("""COMPUTED_VALUE"""),2.55)</f>
        <v>2.5499999999999998</v>
      </c>
      <c r="T80" s="1">
        <f ca="1">IFERROR(__xludf.DUMMYFUNCTION("""COMPUTED_VALUE"""),489439)</f>
        <v>489439</v>
      </c>
      <c r="U80" s="1">
        <f ca="1">IFERROR(__xludf.DUMMYFUNCTION("""COMPUTED_VALUE"""),30.5999999999999)</f>
        <v>30.599999999999898</v>
      </c>
    </row>
    <row r="81" spans="1:21" ht="12.75" x14ac:dyDescent="0.2">
      <c r="A81" s="3">
        <f ca="1">IFERROR(__xludf.DUMMYFUNCTION("""COMPUTED_VALUE"""),40148.3944444444)</f>
        <v>40148.394444444399</v>
      </c>
      <c r="B81" s="1">
        <f ca="1">IFERROR(__xludf.DUMMYFUNCTION("""COMPUTED_VALUE"""),0.65)</f>
        <v>0.65</v>
      </c>
      <c r="E81" s="1" t="str">
        <f ca="1">IFERROR(__xludf.DUMMYFUNCTION("""COMPUTED_VALUE"""),"VINYL RECORD FRAME SILVER")</f>
        <v>VINYL RECORD FRAME SILVER</v>
      </c>
      <c r="F81" s="1">
        <f ca="1">IFERROR(__xludf.DUMMYFUNCTION("""COMPUTED_VALUE"""),24)</f>
        <v>24</v>
      </c>
      <c r="G81" s="1">
        <f ca="1">IFERROR(__xludf.DUMMYFUNCTION("""COMPUTED_VALUE"""),3.39)</f>
        <v>3.39</v>
      </c>
      <c r="J81" s="1" t="str">
        <f ca="1">IFERROR(__xludf.DUMMYFUNCTION("""COMPUTED_VALUE"""),"ASSORTED CAKES FRIDGE MAGNETS")</f>
        <v>ASSORTED CAKES FRIDGE MAGNETS</v>
      </c>
      <c r="K81" s="1">
        <f ca="1">IFERROR(__xludf.DUMMYFUNCTION("""COMPUTED_VALUE"""),12)</f>
        <v>12</v>
      </c>
      <c r="L81" s="1">
        <f ca="1">IFERROR(__xludf.DUMMYFUNCTION("""COMPUTED_VALUE"""),0.65)</f>
        <v>0.65</v>
      </c>
      <c r="T81" s="1">
        <f ca="1">IFERROR(__xludf.DUMMYFUNCTION("""COMPUTED_VALUE"""),489439)</f>
        <v>489439</v>
      </c>
      <c r="U81" s="1">
        <f ca="1">IFERROR(__xludf.DUMMYFUNCTION("""COMPUTED_VALUE"""),7.8)</f>
        <v>7.8</v>
      </c>
    </row>
    <row r="82" spans="1:21" ht="12.75" x14ac:dyDescent="0.2">
      <c r="A82" s="3">
        <f ca="1">IFERROR(__xludf.DUMMYFUNCTION("""COMPUTED_VALUE"""),40148.3944444444)</f>
        <v>40148.394444444399</v>
      </c>
      <c r="B82" s="1">
        <f ca="1">IFERROR(__xludf.DUMMYFUNCTION("""COMPUTED_VALUE"""),0.85)</f>
        <v>0.85</v>
      </c>
      <c r="E82" s="1" t="str">
        <f ca="1">IFERROR(__xludf.DUMMYFUNCTION("""COMPUTED_VALUE"""),"SET/2 RED SPOTTY TEA TOWELS")</f>
        <v>SET/2 RED SPOTTY TEA TOWELS</v>
      </c>
      <c r="F82" s="1">
        <f ca="1">IFERROR(__xludf.DUMMYFUNCTION("""COMPUTED_VALUE"""),12)</f>
        <v>12</v>
      </c>
      <c r="G82" s="1">
        <f ca="1">IFERROR(__xludf.DUMMYFUNCTION("""COMPUTED_VALUE"""),2.95)</f>
        <v>2.95</v>
      </c>
      <c r="J82" s="1" t="str">
        <f ca="1">IFERROR(__xludf.DUMMYFUNCTION("""COMPUTED_VALUE"""),"VINTAGE DESIGN GIFT TAGS")</f>
        <v>VINTAGE DESIGN GIFT TAGS</v>
      </c>
      <c r="K82" s="1">
        <f ca="1">IFERROR(__xludf.DUMMYFUNCTION("""COMPUTED_VALUE"""),12)</f>
        <v>12</v>
      </c>
      <c r="L82" s="1">
        <f ca="1">IFERROR(__xludf.DUMMYFUNCTION("""COMPUTED_VALUE"""),0.85)</f>
        <v>0.85</v>
      </c>
      <c r="T82" s="1">
        <f ca="1">IFERROR(__xludf.DUMMYFUNCTION("""COMPUTED_VALUE"""),489439)</f>
        <v>489439</v>
      </c>
      <c r="U82" s="1">
        <f ca="1">IFERROR(__xludf.DUMMYFUNCTION("""COMPUTED_VALUE"""),10.2)</f>
        <v>10.199999999999999</v>
      </c>
    </row>
    <row r="83" spans="1:21" ht="12.75" x14ac:dyDescent="0.2">
      <c r="A83" s="3">
        <f ca="1">IFERROR(__xludf.DUMMYFUNCTION("""COMPUTED_VALUE"""),40148.3944444444)</f>
        <v>40148.394444444399</v>
      </c>
      <c r="B83" s="1">
        <f ca="1">IFERROR(__xludf.DUMMYFUNCTION("""COMPUTED_VALUE"""),1.65)</f>
        <v>1.65</v>
      </c>
      <c r="E83" s="1" t="str">
        <f ca="1">IFERROR(__xludf.DUMMYFUNCTION("""COMPUTED_VALUE"""),"LADIES &amp; GENTLEMEN METAL SIGN")</f>
        <v>LADIES &amp; GENTLEMEN METAL SIGN</v>
      </c>
      <c r="F83" s="1">
        <f ca="1">IFERROR(__xludf.DUMMYFUNCTION("""COMPUTED_VALUE"""),12)</f>
        <v>12</v>
      </c>
      <c r="G83" s="1">
        <f ca="1">IFERROR(__xludf.DUMMYFUNCTION("""COMPUTED_VALUE"""),2.55)</f>
        <v>2.5499999999999998</v>
      </c>
      <c r="J83" s="1" t="str">
        <f ca="1">IFERROR(__xludf.DUMMYFUNCTION("""COMPUTED_VALUE"""),"PINK DOUGHNUT TRINKET POT")</f>
        <v>PINK DOUGHNUT TRINKET POT</v>
      </c>
      <c r="K83" s="1">
        <f ca="1">IFERROR(__xludf.DUMMYFUNCTION("""COMPUTED_VALUE"""),12)</f>
        <v>12</v>
      </c>
      <c r="L83" s="1">
        <f ca="1">IFERROR(__xludf.DUMMYFUNCTION("""COMPUTED_VALUE"""),1.65)</f>
        <v>1.65</v>
      </c>
      <c r="T83" s="1">
        <f ca="1">IFERROR(__xludf.DUMMYFUNCTION("""COMPUTED_VALUE"""),489439)</f>
        <v>489439</v>
      </c>
      <c r="U83" s="1">
        <f ca="1">IFERROR(__xludf.DUMMYFUNCTION("""COMPUTED_VALUE"""),19.7999999999999)</f>
        <v>19.799999999999901</v>
      </c>
    </row>
    <row r="84" spans="1:21" ht="12.75" x14ac:dyDescent="0.2">
      <c r="A84" s="3">
        <f ca="1">IFERROR(__xludf.DUMMYFUNCTION("""COMPUTED_VALUE"""),40148.3944444444)</f>
        <v>40148.394444444399</v>
      </c>
      <c r="B84" s="1">
        <f ca="1">IFERROR(__xludf.DUMMYFUNCTION("""COMPUTED_VALUE"""),0.85)</f>
        <v>0.85</v>
      </c>
      <c r="E84" s="1" t="str">
        <f ca="1">IFERROR(__xludf.DUMMYFUNCTION("""COMPUTED_VALUE"""),"RETRO RED SPOTTY WASHING UP GLOVES")</f>
        <v>RETRO RED SPOTTY WASHING UP GLOVES</v>
      </c>
      <c r="F84" s="1">
        <f ca="1">IFERROR(__xludf.DUMMYFUNCTION("""COMPUTED_VALUE"""),6)</f>
        <v>6</v>
      </c>
      <c r="G84" s="1">
        <f ca="1">IFERROR(__xludf.DUMMYFUNCTION("""COMPUTED_VALUE"""),2.1)</f>
        <v>2.1</v>
      </c>
      <c r="J84" s="1" t="str">
        <f ca="1">IFERROR(__xludf.DUMMYFUNCTION("""COMPUTED_VALUE"""),"PACK 20 DOLLY PEGS")</f>
        <v>PACK 20 DOLLY PEGS</v>
      </c>
      <c r="K84" s="1">
        <f ca="1">IFERROR(__xludf.DUMMYFUNCTION("""COMPUTED_VALUE"""),12)</f>
        <v>12</v>
      </c>
      <c r="L84" s="1">
        <f ca="1">IFERROR(__xludf.DUMMYFUNCTION("""COMPUTED_VALUE"""),0.85)</f>
        <v>0.85</v>
      </c>
      <c r="T84" s="1">
        <f ca="1">IFERROR(__xludf.DUMMYFUNCTION("""COMPUTED_VALUE"""),489439)</f>
        <v>489439</v>
      </c>
      <c r="U84" s="1">
        <f ca="1">IFERROR(__xludf.DUMMYFUNCTION("""COMPUTED_VALUE"""),10.2)</f>
        <v>10.199999999999999</v>
      </c>
    </row>
    <row r="85" spans="1:21" ht="12.75" x14ac:dyDescent="0.2">
      <c r="A85" s="3">
        <f ca="1">IFERROR(__xludf.DUMMYFUNCTION("""COMPUTED_VALUE"""),40148.3944444444)</f>
        <v>40148.394444444399</v>
      </c>
      <c r="B85" s="1">
        <f ca="1">IFERROR(__xludf.DUMMYFUNCTION("""COMPUTED_VALUE"""),4.95)</f>
        <v>4.95</v>
      </c>
      <c r="E85" s="1" t="str">
        <f ca="1">IFERROR(__xludf.DUMMYFUNCTION("""COMPUTED_VALUE"""),"RED SPOTTY OVEN GLOVE DOUBLE")</f>
        <v>RED SPOTTY OVEN GLOVE DOUBLE</v>
      </c>
      <c r="F85" s="1">
        <f ca="1">IFERROR(__xludf.DUMMYFUNCTION("""COMPUTED_VALUE"""),6)</f>
        <v>6</v>
      </c>
      <c r="G85" s="1">
        <f ca="1">IFERROR(__xludf.DUMMYFUNCTION("""COMPUTED_VALUE"""),2.95)</f>
        <v>2.95</v>
      </c>
      <c r="J85" s="1" t="str">
        <f ca="1">IFERROR(__xludf.DUMMYFUNCTION("""COMPUTED_VALUE"""),"BAKING SET 9 PIECE RETROSPOT")</f>
        <v>BAKING SET 9 PIECE RETROSPOT</v>
      </c>
      <c r="K85" s="1">
        <f ca="1">IFERROR(__xludf.DUMMYFUNCTION("""COMPUTED_VALUE"""),9)</f>
        <v>9</v>
      </c>
      <c r="L85" s="1">
        <f ca="1">IFERROR(__xludf.DUMMYFUNCTION("""COMPUTED_VALUE"""),4.95)</f>
        <v>4.95</v>
      </c>
      <c r="T85" s="1">
        <f ca="1">IFERROR(__xludf.DUMMYFUNCTION("""COMPUTED_VALUE"""),489439)</f>
        <v>489439</v>
      </c>
      <c r="U85" s="1">
        <f ca="1">IFERROR(__xludf.DUMMYFUNCTION("""COMPUTED_VALUE"""),44.55)</f>
        <v>44.55</v>
      </c>
    </row>
    <row r="86" spans="1:21" ht="12.75" x14ac:dyDescent="0.2">
      <c r="A86" s="3">
        <f ca="1">IFERROR(__xludf.DUMMYFUNCTION("""COMPUTED_VALUE"""),40148.3944444444)</f>
        <v>40148.394444444399</v>
      </c>
      <c r="B86" s="1">
        <f ca="1">IFERROR(__xludf.DUMMYFUNCTION("""COMPUTED_VALUE"""),4.95)</f>
        <v>4.95</v>
      </c>
      <c r="E86" s="1" t="str">
        <f ca="1">IFERROR(__xludf.DUMMYFUNCTION("""COMPUTED_VALUE"""),"GARLAND , WOODEN  "" HAPPY EASTER""")</f>
        <v>GARLAND , WOODEN  " HAPPY EASTER"</v>
      </c>
      <c r="F86" s="1">
        <f ca="1">IFERROR(__xludf.DUMMYFUNCTION("""COMPUTED_VALUE"""),24)</f>
        <v>24</v>
      </c>
      <c r="G86" s="1">
        <f ca="1">IFERROR(__xludf.DUMMYFUNCTION("""COMPUTED_VALUE"""),1.25)</f>
        <v>1.25</v>
      </c>
      <c r="J86" s="1" t="str">
        <f ca="1">IFERROR(__xludf.DUMMYFUNCTION("""COMPUTED_VALUE"""),"RETRO SPOT TEA SET CERAMIC 11 PC")</f>
        <v>RETRO SPOT TEA SET CERAMIC 11 PC</v>
      </c>
      <c r="K86" s="1">
        <f ca="1">IFERROR(__xludf.DUMMYFUNCTION("""COMPUTED_VALUE"""),9)</f>
        <v>9</v>
      </c>
      <c r="L86" s="1">
        <f ca="1">IFERROR(__xludf.DUMMYFUNCTION("""COMPUTED_VALUE"""),4.95)</f>
        <v>4.95</v>
      </c>
      <c r="T86" s="1">
        <f ca="1">IFERROR(__xludf.DUMMYFUNCTION("""COMPUTED_VALUE"""),489439)</f>
        <v>489439</v>
      </c>
      <c r="U86" s="1">
        <f ca="1">IFERROR(__xludf.DUMMYFUNCTION("""COMPUTED_VALUE"""),44.55)</f>
        <v>44.55</v>
      </c>
    </row>
    <row r="87" spans="1:21" ht="12.75" x14ac:dyDescent="0.2">
      <c r="A87" s="3">
        <f ca="1">IFERROR(__xludf.DUMMYFUNCTION("""COMPUTED_VALUE"""),40148.3944444444)</f>
        <v>40148.394444444399</v>
      </c>
      <c r="B87" s="1">
        <f ca="1">IFERROR(__xludf.DUMMYFUNCTION("""COMPUTED_VALUE"""),1.65)</f>
        <v>1.65</v>
      </c>
      <c r="E87" s="1" t="str">
        <f ca="1">IFERROR(__xludf.DUMMYFUNCTION("""COMPUTED_VALUE"""),"PARTY CONES CANDY ASSORTED")</f>
        <v>PARTY CONES CANDY ASSORTED</v>
      </c>
      <c r="F87" s="1">
        <f ca="1">IFERROR(__xludf.DUMMYFUNCTION("""COMPUTED_VALUE"""),12)</f>
        <v>12</v>
      </c>
      <c r="G87" s="1">
        <f ca="1">IFERROR(__xludf.DUMMYFUNCTION("""COMPUTED_VALUE"""),1.25)</f>
        <v>1.25</v>
      </c>
      <c r="J87" s="1" t="str">
        <f ca="1">IFERROR(__xludf.DUMMYFUNCTION("""COMPUTED_VALUE"""),"RETRO SPORT PARTY BAG + STICKER SET")</f>
        <v>RETRO SPORT PARTY BAG + STICKER SET</v>
      </c>
      <c r="K87" s="1">
        <f ca="1">IFERROR(__xludf.DUMMYFUNCTION("""COMPUTED_VALUE"""),8)</f>
        <v>8</v>
      </c>
      <c r="L87" s="1">
        <f ca="1">IFERROR(__xludf.DUMMYFUNCTION("""COMPUTED_VALUE"""),1.65)</f>
        <v>1.65</v>
      </c>
      <c r="T87" s="1">
        <f ca="1">IFERROR(__xludf.DUMMYFUNCTION("""COMPUTED_VALUE"""),489439)</f>
        <v>489439</v>
      </c>
      <c r="U87" s="1">
        <f ca="1">IFERROR(__xludf.DUMMYFUNCTION("""COMPUTED_VALUE"""),13.2)</f>
        <v>13.2</v>
      </c>
    </row>
    <row r="88" spans="1:21" ht="12.75" x14ac:dyDescent="0.2">
      <c r="A88" s="3">
        <f ca="1">IFERROR(__xludf.DUMMYFUNCTION("""COMPUTED_VALUE"""),40148.3944444444)</f>
        <v>40148.394444444399</v>
      </c>
      <c r="B88" s="1">
        <f ca="1">IFERROR(__xludf.DUMMYFUNCTION("""COMPUTED_VALUE"""),1.95)</f>
        <v>1.95</v>
      </c>
      <c r="E88" s="1" t="str">
        <f ca="1">IFERROR(__xludf.DUMMYFUNCTION("""COMPUTED_VALUE"""),"6 CROCHET STRAWBERRIES")</f>
        <v>6 CROCHET STRAWBERRIES</v>
      </c>
      <c r="F88" s="1">
        <f ca="1">IFERROR(__xludf.DUMMYFUNCTION("""COMPUTED_VALUE"""),12)</f>
        <v>12</v>
      </c>
      <c r="G88" s="1">
        <f ca="1">IFERROR(__xludf.DUMMYFUNCTION("""COMPUTED_VALUE"""),1.25)</f>
        <v>1.25</v>
      </c>
      <c r="J88" s="1" t="str">
        <f ca="1">IFERROR(__xludf.DUMMYFUNCTION("""COMPUTED_VALUE"""),"SET OF THREE VINTAGE GIFT WRAPS")</f>
        <v>SET OF THREE VINTAGE GIFT WRAPS</v>
      </c>
      <c r="K88" s="1">
        <f ca="1">IFERROR(__xludf.DUMMYFUNCTION("""COMPUTED_VALUE"""),6)</f>
        <v>6</v>
      </c>
      <c r="L88" s="1">
        <f ca="1">IFERROR(__xludf.DUMMYFUNCTION("""COMPUTED_VALUE"""),1.95)</f>
        <v>1.95</v>
      </c>
      <c r="T88" s="1">
        <f ca="1">IFERROR(__xludf.DUMMYFUNCTION("""COMPUTED_VALUE"""),489439)</f>
        <v>489439</v>
      </c>
      <c r="U88" s="1">
        <f ca="1">IFERROR(__xludf.DUMMYFUNCTION("""COMPUTED_VALUE"""),11.7)</f>
        <v>11.7</v>
      </c>
    </row>
    <row r="89" spans="1:21" ht="12.75" x14ac:dyDescent="0.2">
      <c r="A89" s="3">
        <f ca="1">IFERROR(__xludf.DUMMYFUNCTION("""COMPUTED_VALUE"""),40148.3944444444)</f>
        <v>40148.394444444399</v>
      </c>
      <c r="B89" s="1">
        <f ca="1">IFERROR(__xludf.DUMMYFUNCTION("""COMPUTED_VALUE"""),4.95)</f>
        <v>4.95</v>
      </c>
      <c r="E89" s="1" t="str">
        <f ca="1">IFERROR(__xludf.DUMMYFUNCTION("""COMPUTED_VALUE"""),"SET OF 72 PINK HEART PAPER DOILIES")</f>
        <v>SET OF 72 PINK HEART PAPER DOILIES</v>
      </c>
      <c r="F89" s="1">
        <f ca="1">IFERROR(__xludf.DUMMYFUNCTION("""COMPUTED_VALUE"""),12)</f>
        <v>12</v>
      </c>
      <c r="G89" s="1">
        <f ca="1">IFERROR(__xludf.DUMMYFUNCTION("""COMPUTED_VALUE"""),1.45)</f>
        <v>1.45</v>
      </c>
      <c r="J89" s="1" t="str">
        <f ca="1">IFERROR(__xludf.DUMMYFUNCTION("""COMPUTED_VALUE"""),"SET/3 RUSSIAN DOLL STACKING TINS")</f>
        <v>SET/3 RUSSIAN DOLL STACKING TINS</v>
      </c>
      <c r="K89" s="1">
        <f ca="1">IFERROR(__xludf.DUMMYFUNCTION("""COMPUTED_VALUE"""),6)</f>
        <v>6</v>
      </c>
      <c r="L89" s="1">
        <f ca="1">IFERROR(__xludf.DUMMYFUNCTION("""COMPUTED_VALUE"""),4.95)</f>
        <v>4.95</v>
      </c>
      <c r="T89" s="1">
        <f ca="1">IFERROR(__xludf.DUMMYFUNCTION("""COMPUTED_VALUE"""),489439)</f>
        <v>489439</v>
      </c>
      <c r="U89" s="1">
        <f ca="1">IFERROR(__xludf.DUMMYFUNCTION("""COMPUTED_VALUE"""),29.7)</f>
        <v>29.7</v>
      </c>
    </row>
    <row r="90" spans="1:21" ht="12.75" x14ac:dyDescent="0.2">
      <c r="A90" s="3">
        <f ca="1">IFERROR(__xludf.DUMMYFUNCTION("""COMPUTED_VALUE"""),40148.3944444444)</f>
        <v>40148.394444444399</v>
      </c>
      <c r="B90" s="1">
        <f ca="1">IFERROR(__xludf.DUMMYFUNCTION("""COMPUTED_VALUE"""),5.95)</f>
        <v>5.95</v>
      </c>
      <c r="E90" s="1" t="str">
        <f ca="1">IFERROR(__xludf.DUMMYFUNCTION("""COMPUTED_VALUE"""),"JUMBO BAG PINK VINTAGE PAISLEY")</f>
        <v>JUMBO BAG PINK VINTAGE PAISLEY</v>
      </c>
      <c r="F90" s="1">
        <f ca="1">IFERROR(__xludf.DUMMYFUNCTION("""COMPUTED_VALUE"""),10)</f>
        <v>10</v>
      </c>
      <c r="G90" s="1">
        <f ca="1">IFERROR(__xludf.DUMMYFUNCTION("""COMPUTED_VALUE"""),1.95)</f>
        <v>1.95</v>
      </c>
      <c r="J90" s="1" t="str">
        <f ca="1">IFERROR(__xludf.DUMMYFUNCTION("""COMPUTED_VALUE"""),"BLACK/BLUE DOTS RUFFLED UMBRELLA")</f>
        <v>BLACK/BLUE DOTS RUFFLED UMBRELLA</v>
      </c>
      <c r="K90" s="1">
        <f ca="1">IFERROR(__xludf.DUMMYFUNCTION("""COMPUTED_VALUE"""),3)</f>
        <v>3</v>
      </c>
      <c r="L90" s="1">
        <f ca="1">IFERROR(__xludf.DUMMYFUNCTION("""COMPUTED_VALUE"""),5.95)</f>
        <v>5.95</v>
      </c>
      <c r="T90" s="1">
        <f ca="1">IFERROR(__xludf.DUMMYFUNCTION("""COMPUTED_VALUE"""),489439)</f>
        <v>489439</v>
      </c>
      <c r="U90" s="1">
        <f ca="1">IFERROR(__xludf.DUMMYFUNCTION("""COMPUTED_VALUE"""),17.85)</f>
        <v>17.850000000000001</v>
      </c>
    </row>
    <row r="91" spans="1:21" ht="12.75" x14ac:dyDescent="0.2">
      <c r="A91" s="3">
        <f ca="1">IFERROR(__xludf.DUMMYFUNCTION("""COMPUTED_VALUE"""),40148.3944444444)</f>
        <v>40148.394444444399</v>
      </c>
      <c r="B91" s="1">
        <f ca="1">IFERROR(__xludf.DUMMYFUNCTION("""COMPUTED_VALUE"""),5.95)</f>
        <v>5.95</v>
      </c>
      <c r="E91" s="1" t="str">
        <f ca="1">IFERROR(__xludf.DUMMYFUNCTION("""COMPUTED_VALUE"""),"HEART STRING MEMO HOLDER HANGING")</f>
        <v>HEART STRING MEMO HOLDER HANGING</v>
      </c>
      <c r="F91" s="1">
        <f ca="1">IFERROR(__xludf.DUMMYFUNCTION("""COMPUTED_VALUE"""),6)</f>
        <v>6</v>
      </c>
      <c r="G91" s="1">
        <f ca="1">IFERROR(__xludf.DUMMYFUNCTION("""COMPUTED_VALUE"""),2.95)</f>
        <v>2.95</v>
      </c>
      <c r="J91" s="1" t="str">
        <f ca="1">IFERROR(__xludf.DUMMYFUNCTION("""COMPUTED_VALUE"""),"RED/WHITE DOTS RUFFLED UMBRELLA")</f>
        <v>RED/WHITE DOTS RUFFLED UMBRELLA</v>
      </c>
      <c r="K91" s="1">
        <f ca="1">IFERROR(__xludf.DUMMYFUNCTION("""COMPUTED_VALUE"""),3)</f>
        <v>3</v>
      </c>
      <c r="L91" s="1">
        <f ca="1">IFERROR(__xludf.DUMMYFUNCTION("""COMPUTED_VALUE"""),5.95)</f>
        <v>5.95</v>
      </c>
      <c r="T91" s="1">
        <f ca="1">IFERROR(__xludf.DUMMYFUNCTION("""COMPUTED_VALUE"""),489439)</f>
        <v>489439</v>
      </c>
      <c r="U91" s="1">
        <f ca="1">IFERROR(__xludf.DUMMYFUNCTION("""COMPUTED_VALUE"""),17.85)</f>
        <v>17.850000000000001</v>
      </c>
    </row>
    <row r="92" spans="1:21" ht="12.75" x14ac:dyDescent="0.2">
      <c r="A92" s="3">
        <f ca="1">IFERROR(__xludf.DUMMYFUNCTION("""COMPUTED_VALUE"""),40148.3944444444)</f>
        <v>40148.394444444399</v>
      </c>
      <c r="B92" s="1">
        <f ca="1">IFERROR(__xludf.DUMMYFUNCTION("""COMPUTED_VALUE"""),18)</f>
        <v>18</v>
      </c>
      <c r="E92" s="1" t="str">
        <f ca="1">IFERROR(__xludf.DUMMYFUNCTION("""COMPUTED_VALUE"""),"WHITE TALL PORCELAIN T-LIGHT HOLDER")</f>
        <v>WHITE TALL PORCELAIN T-LIGHT HOLDER</v>
      </c>
      <c r="F92" s="1">
        <f ca="1">IFERROR(__xludf.DUMMYFUNCTION("""COMPUTED_VALUE"""),6)</f>
        <v>6</v>
      </c>
      <c r="G92" s="1">
        <f ca="1">IFERROR(__xludf.DUMMYFUNCTION("""COMPUTED_VALUE"""),2.55)</f>
        <v>2.5499999999999998</v>
      </c>
      <c r="J92" s="1" t="str">
        <f ca="1">IFERROR(__xludf.DUMMYFUNCTION("""COMPUTED_VALUE"""),"POSTAGE")</f>
        <v>POSTAGE</v>
      </c>
      <c r="K92" s="1">
        <f ca="1">IFERROR(__xludf.DUMMYFUNCTION("""COMPUTED_VALUE"""),3)</f>
        <v>3</v>
      </c>
      <c r="L92" s="1">
        <f ca="1">IFERROR(__xludf.DUMMYFUNCTION("""COMPUTED_VALUE"""),18)</f>
        <v>18</v>
      </c>
      <c r="T92" s="1">
        <f ca="1">IFERROR(__xludf.DUMMYFUNCTION("""COMPUTED_VALUE"""),489439)</f>
        <v>489439</v>
      </c>
      <c r="U92" s="1">
        <f ca="1">IFERROR(__xludf.DUMMYFUNCTION("""COMPUTED_VALUE"""),54)</f>
        <v>54</v>
      </c>
    </row>
    <row r="93" spans="1:21" ht="12.75" x14ac:dyDescent="0.2">
      <c r="A93" s="3">
        <f ca="1">IFERROR(__xludf.DUMMYFUNCTION("""COMPUTED_VALUE"""),40148.3944444444)</f>
        <v>40148.394444444399</v>
      </c>
      <c r="B93" s="1">
        <f ca="1">IFERROR(__xludf.DUMMYFUNCTION("""COMPUTED_VALUE"""),7.95)</f>
        <v>7.95</v>
      </c>
      <c r="E93" s="1" t="str">
        <f ca="1">IFERROR(__xludf.DUMMYFUNCTION("""COMPUTED_VALUE"""),"BAKING SET 9 PIECE RETROSPOT")</f>
        <v>BAKING SET 9 PIECE RETROSPOT</v>
      </c>
      <c r="F93" s="1">
        <f ca="1">IFERROR(__xludf.DUMMYFUNCTION("""COMPUTED_VALUE"""),3)</f>
        <v>3</v>
      </c>
      <c r="G93" s="1">
        <f ca="1">IFERROR(__xludf.DUMMYFUNCTION("""COMPUTED_VALUE"""),4.95)</f>
        <v>4.95</v>
      </c>
      <c r="J93" s="1" t="str">
        <f ca="1">IFERROR(__xludf.DUMMYFUNCTION("""COMPUTED_VALUE"""),"ASSORTED COLOUR MINI CASES")</f>
        <v>ASSORTED COLOUR MINI CASES</v>
      </c>
      <c r="K93" s="1">
        <f ca="1">IFERROR(__xludf.DUMMYFUNCTION("""COMPUTED_VALUE"""),2)</f>
        <v>2</v>
      </c>
      <c r="L93" s="1">
        <f ca="1">IFERROR(__xludf.DUMMYFUNCTION("""COMPUTED_VALUE"""),7.95)</f>
        <v>7.95</v>
      </c>
      <c r="T93" s="1">
        <f ca="1">IFERROR(__xludf.DUMMYFUNCTION("""COMPUTED_VALUE"""),489439)</f>
        <v>489439</v>
      </c>
      <c r="U93" s="1">
        <f ca="1">IFERROR(__xludf.DUMMYFUNCTION("""COMPUTED_VALUE"""),15.9)</f>
        <v>15.9</v>
      </c>
    </row>
    <row r="94" spans="1:21" ht="12.75" x14ac:dyDescent="0.2">
      <c r="A94" s="3">
        <f ca="1">IFERROR(__xludf.DUMMYFUNCTION("""COMPUTED_VALUE"""),40148.4048611111)</f>
        <v>40148.404861111099</v>
      </c>
      <c r="B94" s="1">
        <f ca="1">IFERROR(__xludf.DUMMYFUNCTION("""COMPUTED_VALUE"""),2.55)</f>
        <v>2.5499999999999998</v>
      </c>
      <c r="E94" s="1" t="str">
        <f ca="1">IFERROR(__xludf.DUMMYFUNCTION("""COMPUTED_VALUE"""),"RED HANGING HEART T-LIGHT HOLDER")</f>
        <v>RED HANGING HEART T-LIGHT HOLDER</v>
      </c>
      <c r="F94" s="1">
        <f ca="1">IFERROR(__xludf.DUMMYFUNCTION("""COMPUTED_VALUE"""),32)</f>
        <v>32</v>
      </c>
      <c r="G94" s="1">
        <f ca="1">IFERROR(__xludf.DUMMYFUNCTION("""COMPUTED_VALUE"""),2.55)</f>
        <v>2.5499999999999998</v>
      </c>
      <c r="J94" s="1" t="str">
        <f ca="1">IFERROR(__xludf.DUMMYFUNCTION("""COMPUTED_VALUE"""),"CAT BOWL")</f>
        <v>CAT BOWL</v>
      </c>
      <c r="K94" s="1">
        <f ca="1">IFERROR(__xludf.DUMMYFUNCTION("""COMPUTED_VALUE"""),8)</f>
        <v>8</v>
      </c>
      <c r="L94" s="1">
        <f ca="1">IFERROR(__xludf.DUMMYFUNCTION("""COMPUTED_VALUE"""),2.55)</f>
        <v>2.5499999999999998</v>
      </c>
      <c r="T94" s="1">
        <f ca="1">IFERROR(__xludf.DUMMYFUNCTION("""COMPUTED_VALUE"""),489440)</f>
        <v>489440</v>
      </c>
      <c r="U94" s="1">
        <f ca="1">IFERROR(__xludf.DUMMYFUNCTION("""COMPUTED_VALUE"""),20.4)</f>
        <v>20.399999999999999</v>
      </c>
    </row>
    <row r="95" spans="1:21" ht="12.75" x14ac:dyDescent="0.2">
      <c r="A95" s="3">
        <f ca="1">IFERROR(__xludf.DUMMYFUNCTION("""COMPUTED_VALUE"""),40148.4048611111)</f>
        <v>40148.404861111099</v>
      </c>
      <c r="B95" s="1">
        <f ca="1">IFERROR(__xludf.DUMMYFUNCTION("""COMPUTED_VALUE"""),3.75)</f>
        <v>3.75</v>
      </c>
      <c r="E95" s="1" t="str">
        <f ca="1">IFERROR(__xludf.DUMMYFUNCTION("""COMPUTED_VALUE"""),"WHITE HANGING HEART T-LIGHT HOLDER")</f>
        <v>WHITE HANGING HEART T-LIGHT HOLDER</v>
      </c>
      <c r="F95" s="1">
        <f ca="1">IFERROR(__xludf.DUMMYFUNCTION("""COMPUTED_VALUE"""),32)</f>
        <v>32</v>
      </c>
      <c r="G95" s="1">
        <f ca="1">IFERROR(__xludf.DUMMYFUNCTION("""COMPUTED_VALUE"""),2.55)</f>
        <v>2.5499999999999998</v>
      </c>
      <c r="J95" s="1" t="str">
        <f ca="1">IFERROR(__xludf.DUMMYFUNCTION("""COMPUTED_VALUE"""),"DOG BOWL , CHASING BALL DESIGN")</f>
        <v>DOG BOWL , CHASING BALL DESIGN</v>
      </c>
      <c r="K95" s="1">
        <f ca="1">IFERROR(__xludf.DUMMYFUNCTION("""COMPUTED_VALUE"""),8)</f>
        <v>8</v>
      </c>
      <c r="L95" s="1">
        <f ca="1">IFERROR(__xludf.DUMMYFUNCTION("""COMPUTED_VALUE"""),3.75)</f>
        <v>3.75</v>
      </c>
      <c r="T95" s="1">
        <f ca="1">IFERROR(__xludf.DUMMYFUNCTION("""COMPUTED_VALUE"""),489440)</f>
        <v>489440</v>
      </c>
      <c r="U95" s="1">
        <f ca="1">IFERROR(__xludf.DUMMYFUNCTION("""COMPUTED_VALUE"""),30)</f>
        <v>30</v>
      </c>
    </row>
    <row r="96" spans="1:21" ht="12.75" x14ac:dyDescent="0.2">
      <c r="A96" s="3">
        <f ca="1">IFERROR(__xludf.DUMMYFUNCTION("""COMPUTED_VALUE"""),40148.4055555555)</f>
        <v>40148.405555555502</v>
      </c>
      <c r="B96" s="1">
        <f ca="1">IFERROR(__xludf.DUMMYFUNCTION("""COMPUTED_VALUE"""),4.25)</f>
        <v>4.25</v>
      </c>
      <c r="E96" s="1" t="str">
        <f ca="1">IFERROR(__xludf.DUMMYFUNCTION("""COMPUTED_VALUE"""),"HEART FILIGREE DOVE  SMALL")</f>
        <v>HEART FILIGREE DOVE  SMALL</v>
      </c>
      <c r="F96" s="1">
        <f ca="1">IFERROR(__xludf.DUMMYFUNCTION("""COMPUTED_VALUE"""),24)</f>
        <v>24</v>
      </c>
      <c r="G96" s="1">
        <f ca="1">IFERROR(__xludf.DUMMYFUNCTION("""COMPUTED_VALUE"""),1.25)</f>
        <v>1.25</v>
      </c>
      <c r="J96" s="1" t="str">
        <f ca="1">IFERROR(__xludf.DUMMYFUNCTION("""COMPUTED_VALUE"""),"SCOTTIE DOG HOT WATER BOTTLE")</f>
        <v>SCOTTIE DOG HOT WATER BOTTLE</v>
      </c>
      <c r="K96" s="1">
        <f ca="1">IFERROR(__xludf.DUMMYFUNCTION("""COMPUTED_VALUE"""),48)</f>
        <v>48</v>
      </c>
      <c r="L96" s="1">
        <f ca="1">IFERROR(__xludf.DUMMYFUNCTION("""COMPUTED_VALUE"""),4.25)</f>
        <v>4.25</v>
      </c>
      <c r="T96" s="1">
        <f ca="1">IFERROR(__xludf.DUMMYFUNCTION("""COMPUTED_VALUE"""),489441)</f>
        <v>489441</v>
      </c>
      <c r="U96" s="1">
        <f ca="1">IFERROR(__xludf.DUMMYFUNCTION("""COMPUTED_VALUE"""),204)</f>
        <v>204</v>
      </c>
    </row>
    <row r="97" spans="1:21" ht="12.75" x14ac:dyDescent="0.2">
      <c r="A97" s="3">
        <f ca="1">IFERROR(__xludf.DUMMYFUNCTION("""COMPUTED_VALUE"""),40148.4055555555)</f>
        <v>40148.405555555502</v>
      </c>
      <c r="B97" s="1">
        <f ca="1">IFERROR(__xludf.DUMMYFUNCTION("""COMPUTED_VALUE"""),2.95)</f>
        <v>2.95</v>
      </c>
      <c r="E97" s="1" t="str">
        <f ca="1">IFERROR(__xludf.DUMMYFUNCTION("""COMPUTED_VALUE"""),"PAPER CHAIN KIT RETRO SPOT")</f>
        <v>PAPER CHAIN KIT RETRO SPOT</v>
      </c>
      <c r="F97" s="1">
        <f ca="1">IFERROR(__xludf.DUMMYFUNCTION("""COMPUTED_VALUE"""),24)</f>
        <v>24</v>
      </c>
      <c r="G97" s="1">
        <f ca="1">IFERROR(__xludf.DUMMYFUNCTION("""COMPUTED_VALUE"""),2.95)</f>
        <v>2.95</v>
      </c>
      <c r="J97" s="1" t="str">
        <f ca="1">IFERROR(__xludf.DUMMYFUNCTION("""COMPUTED_VALUE"""),"RED WOOLLY HOTTIE WHITE HEART.")</f>
        <v>RED WOOLLY HOTTIE WHITE HEART.</v>
      </c>
      <c r="K97" s="1">
        <f ca="1">IFERROR(__xludf.DUMMYFUNCTION("""COMPUTED_VALUE"""),36)</f>
        <v>36</v>
      </c>
      <c r="L97" s="1">
        <f ca="1">IFERROR(__xludf.DUMMYFUNCTION("""COMPUTED_VALUE"""),2.95)</f>
        <v>2.95</v>
      </c>
      <c r="T97" s="1">
        <f ca="1">IFERROR(__xludf.DUMMYFUNCTION("""COMPUTED_VALUE"""),489441)</f>
        <v>489441</v>
      </c>
      <c r="U97" s="1">
        <f ca="1">IFERROR(__xludf.DUMMYFUNCTION("""COMPUTED_VALUE"""),106.2)</f>
        <v>106.2</v>
      </c>
    </row>
    <row r="98" spans="1:21" ht="12.75" x14ac:dyDescent="0.2">
      <c r="A98" s="3">
        <f ca="1">IFERROR(__xludf.DUMMYFUNCTION("""COMPUTED_VALUE"""),40148.4055555555)</f>
        <v>40148.405555555502</v>
      </c>
      <c r="B98" s="1">
        <f ca="1">IFERROR(__xludf.DUMMYFUNCTION("""COMPUTED_VALUE"""),0.72)</f>
        <v>0.72</v>
      </c>
      <c r="E98" s="1" t="str">
        <f ca="1">IFERROR(__xludf.DUMMYFUNCTION("""COMPUTED_VALUE"""),"KINGS CHOICE CIGAR BOX MATCHES")</f>
        <v>KINGS CHOICE CIGAR BOX MATCHES</v>
      </c>
      <c r="F98" s="1">
        <f ca="1">IFERROR(__xludf.DUMMYFUNCTION("""COMPUTED_VALUE"""),24)</f>
        <v>24</v>
      </c>
      <c r="G98" s="1">
        <f ca="1">IFERROR(__xludf.DUMMYFUNCTION("""COMPUTED_VALUE"""),1.25)</f>
        <v>1.25</v>
      </c>
      <c r="J98" s="1" t="str">
        <f ca="1">IFERROR(__xludf.DUMMYFUNCTION("""COMPUTED_VALUE"""),"BIRD DECORATION RED SPOT")</f>
        <v>BIRD DECORATION RED SPOT</v>
      </c>
      <c r="K98" s="1">
        <f ca="1">IFERROR(__xludf.DUMMYFUNCTION("""COMPUTED_VALUE"""),12)</f>
        <v>12</v>
      </c>
      <c r="L98" s="1">
        <f ca="1">IFERROR(__xludf.DUMMYFUNCTION("""COMPUTED_VALUE"""),0.72)</f>
        <v>0.72</v>
      </c>
      <c r="T98" s="1">
        <f ca="1">IFERROR(__xludf.DUMMYFUNCTION("""COMPUTED_VALUE"""),489441)</f>
        <v>489441</v>
      </c>
      <c r="U98" s="1">
        <f ca="1">IFERROR(__xludf.DUMMYFUNCTION("""COMPUTED_VALUE"""),8.64)</f>
        <v>8.64</v>
      </c>
    </row>
    <row r="99" spans="1:21" ht="12.75" x14ac:dyDescent="0.2">
      <c r="A99" s="3">
        <f ca="1">IFERROR(__xludf.DUMMYFUNCTION("""COMPUTED_VALUE"""),40148.4055555555)</f>
        <v>40148.405555555502</v>
      </c>
      <c r="B99" s="1">
        <f ca="1">IFERROR(__xludf.DUMMYFUNCTION("""COMPUTED_VALUE"""),4.25)</f>
        <v>4.25</v>
      </c>
      <c r="E99" s="1" t="str">
        <f ca="1">IFERROR(__xludf.DUMMYFUNCTION("""COMPUTED_VALUE"""),"RETRO SPOT  CIGAR BOX MATCHES")</f>
        <v>RETRO SPOT  CIGAR BOX MATCHES</v>
      </c>
      <c r="F99" s="1">
        <f ca="1">IFERROR(__xludf.DUMMYFUNCTION("""COMPUTED_VALUE"""),24)</f>
        <v>24</v>
      </c>
      <c r="G99" s="1">
        <f ca="1">IFERROR(__xludf.DUMMYFUNCTION("""COMPUTED_VALUE"""),1.25)</f>
        <v>1.25</v>
      </c>
      <c r="J99" s="1" t="str">
        <f ca="1">IFERROR(__xludf.DUMMYFUNCTION("""COMPUTED_VALUE"""),"BAKING SET 9 PIECE RETROSPOT")</f>
        <v>BAKING SET 9 PIECE RETROSPOT</v>
      </c>
      <c r="K99" s="1">
        <f ca="1">IFERROR(__xludf.DUMMYFUNCTION("""COMPUTED_VALUE"""),6)</f>
        <v>6</v>
      </c>
      <c r="L99" s="1">
        <f ca="1">IFERROR(__xludf.DUMMYFUNCTION("""COMPUTED_VALUE"""),4.25)</f>
        <v>4.25</v>
      </c>
      <c r="T99" s="1">
        <f ca="1">IFERROR(__xludf.DUMMYFUNCTION("""COMPUTED_VALUE"""),489441)</f>
        <v>489441</v>
      </c>
      <c r="U99" s="1">
        <f ca="1">IFERROR(__xludf.DUMMYFUNCTION("""COMPUTED_VALUE"""),25.5)</f>
        <v>25.5</v>
      </c>
    </row>
    <row r="100" spans="1:21" ht="12.75" x14ac:dyDescent="0.2">
      <c r="A100" s="3">
        <f ca="1">IFERROR(__xludf.DUMMYFUNCTION("""COMPUTED_VALUE"""),40148.4069444444)</f>
        <v>40148.406944444403</v>
      </c>
      <c r="B100" s="1">
        <f ca="1">IFERROR(__xludf.DUMMYFUNCTION("""COMPUTED_VALUE"""),1.25)</f>
        <v>1.25</v>
      </c>
      <c r="E100" s="1" t="str">
        <f ca="1">IFERROR(__xludf.DUMMYFUNCTION("""COMPUTED_VALUE"""),"JUMBO BAG RED WHITE SPOTTY")</f>
        <v>JUMBO BAG RED WHITE SPOTTY</v>
      </c>
      <c r="F100" s="1">
        <f ca="1">IFERROR(__xludf.DUMMYFUNCTION("""COMPUTED_VALUE"""),20)</f>
        <v>20</v>
      </c>
      <c r="G100" s="1">
        <f ca="1">IFERROR(__xludf.DUMMYFUNCTION("""COMPUTED_VALUE"""),1.95)</f>
        <v>1.95</v>
      </c>
      <c r="J100" s="1" t="str">
        <f ca="1">IFERROR(__xludf.DUMMYFUNCTION("""COMPUTED_VALUE"""),"KINGS CHOICE CIGAR BOX MATCHES")</f>
        <v>KINGS CHOICE CIGAR BOX MATCHES</v>
      </c>
      <c r="K100" s="1">
        <f ca="1">IFERROR(__xludf.DUMMYFUNCTION("""COMPUTED_VALUE"""),48)</f>
        <v>48</v>
      </c>
      <c r="L100" s="1">
        <f ca="1">IFERROR(__xludf.DUMMYFUNCTION("""COMPUTED_VALUE"""),1.25)</f>
        <v>1.25</v>
      </c>
      <c r="T100" s="1">
        <f ca="1">IFERROR(__xludf.DUMMYFUNCTION("""COMPUTED_VALUE"""),489442)</f>
        <v>489442</v>
      </c>
      <c r="U100" s="1">
        <f ca="1">IFERROR(__xludf.DUMMYFUNCTION("""COMPUTED_VALUE"""),60)</f>
        <v>60</v>
      </c>
    </row>
    <row r="101" spans="1:21" ht="12.75" x14ac:dyDescent="0.2">
      <c r="A101" s="3">
        <f ca="1">IFERROR(__xludf.DUMMYFUNCTION("""COMPUTED_VALUE"""),40148.4069444444)</f>
        <v>40148.406944444403</v>
      </c>
      <c r="B101" s="1">
        <f ca="1">IFERROR(__xludf.DUMMYFUNCTION("""COMPUTED_VALUE"""),0.42)</f>
        <v>0.42</v>
      </c>
      <c r="E101" s="1" t="str">
        <f ca="1">IFERROR(__xludf.DUMMYFUNCTION("""COMPUTED_VALUE"""),"VICTORIAN GLASS HANGING T-LIGHT")</f>
        <v>VICTORIAN GLASS HANGING T-LIGHT</v>
      </c>
      <c r="F101" s="1">
        <f ca="1">IFERROR(__xludf.DUMMYFUNCTION("""COMPUTED_VALUE"""),12)</f>
        <v>12</v>
      </c>
      <c r="G101" s="1">
        <f ca="1">IFERROR(__xludf.DUMMYFUNCTION("""COMPUTED_VALUE"""),1.25)</f>
        <v>1.25</v>
      </c>
      <c r="J101" s="1" t="str">
        <f ca="1">IFERROR(__xludf.DUMMYFUNCTION("""COMPUTED_VALUE"""),"SET 12 RETRO WHITE CHALK STICKS")</f>
        <v>SET 12 RETRO WHITE CHALK STICKS</v>
      </c>
      <c r="K101" s="1">
        <f ca="1">IFERROR(__xludf.DUMMYFUNCTION("""COMPUTED_VALUE"""),24)</f>
        <v>24</v>
      </c>
      <c r="L101" s="1">
        <f ca="1">IFERROR(__xludf.DUMMYFUNCTION("""COMPUTED_VALUE"""),0.42)</f>
        <v>0.42</v>
      </c>
      <c r="T101" s="1">
        <f ca="1">IFERROR(__xludf.DUMMYFUNCTION("""COMPUTED_VALUE"""),489442)</f>
        <v>489442</v>
      </c>
      <c r="U101" s="1">
        <f ca="1">IFERROR(__xludf.DUMMYFUNCTION("""COMPUTED_VALUE"""),10.08)</f>
        <v>10.08</v>
      </c>
    </row>
    <row r="102" spans="1:21" ht="12.75" x14ac:dyDescent="0.2">
      <c r="A102" s="3">
        <f ca="1">IFERROR(__xludf.DUMMYFUNCTION("""COMPUTED_VALUE"""),40148.4069444444)</f>
        <v>40148.406944444403</v>
      </c>
      <c r="B102" s="1">
        <f ca="1">IFERROR(__xludf.DUMMYFUNCTION("""COMPUTED_VALUE"""),1.65)</f>
        <v>1.65</v>
      </c>
      <c r="E102" s="1" t="str">
        <f ca="1">IFERROR(__xludf.DUMMYFUNCTION("""COMPUTED_VALUE"""),"RED SPOT CERAMIC DRAWER KNOB")</f>
        <v>RED SPOT CERAMIC DRAWER KNOB</v>
      </c>
      <c r="F102" s="1">
        <f ca="1">IFERROR(__xludf.DUMMYFUNCTION("""COMPUTED_VALUE"""),12)</f>
        <v>12</v>
      </c>
      <c r="G102" s="1">
        <f ca="1">IFERROR(__xludf.DUMMYFUNCTION("""COMPUTED_VALUE"""),1.25)</f>
        <v>1.25</v>
      </c>
      <c r="J102" s="1" t="str">
        <f ca="1">IFERROR(__xludf.DUMMYFUNCTION("""COMPUTED_VALUE"""),"KINGS CHOICE SMALL TUBE MATCHES")</f>
        <v>KINGS CHOICE SMALL TUBE MATCHES</v>
      </c>
      <c r="K102" s="1">
        <f ca="1">IFERROR(__xludf.DUMMYFUNCTION("""COMPUTED_VALUE"""),20)</f>
        <v>20</v>
      </c>
      <c r="L102" s="1">
        <f ca="1">IFERROR(__xludf.DUMMYFUNCTION("""COMPUTED_VALUE"""),1.65)</f>
        <v>1.65</v>
      </c>
      <c r="T102" s="1">
        <f ca="1">IFERROR(__xludf.DUMMYFUNCTION("""COMPUTED_VALUE"""),489442)</f>
        <v>489442</v>
      </c>
      <c r="U102" s="1">
        <f ca="1">IFERROR(__xludf.DUMMYFUNCTION("""COMPUTED_VALUE"""),33)</f>
        <v>33</v>
      </c>
    </row>
    <row r="103" spans="1:21" ht="12.75" x14ac:dyDescent="0.2">
      <c r="A103" s="3">
        <f ca="1">IFERROR(__xludf.DUMMYFUNCTION("""COMPUTED_VALUE"""),40148.4069444444)</f>
        <v>40148.406944444403</v>
      </c>
      <c r="B103" s="1">
        <f ca="1">IFERROR(__xludf.DUMMYFUNCTION("""COMPUTED_VALUE"""),1.65)</f>
        <v>1.65</v>
      </c>
      <c r="E103" s="1" t="str">
        <f ca="1">IFERROR(__xludf.DUMMYFUNCTION("""COMPUTED_VALUE"""),"PAPER CHAIN KIT 50'S CHRISTMAS")</f>
        <v>PAPER CHAIN KIT 50'S CHRISTMAS</v>
      </c>
      <c r="F103" s="1">
        <f ca="1">IFERROR(__xludf.DUMMYFUNCTION("""COMPUTED_VALUE"""),12)</f>
        <v>12</v>
      </c>
      <c r="G103" s="1">
        <f ca="1">IFERROR(__xludf.DUMMYFUNCTION("""COMPUTED_VALUE"""),2.95)</f>
        <v>2.95</v>
      </c>
      <c r="J103" s="1" t="str">
        <f ca="1">IFERROR(__xludf.DUMMYFUNCTION("""COMPUTED_VALUE"""),"HEART IVORY TRELLIS LARGE")</f>
        <v>HEART IVORY TRELLIS LARGE</v>
      </c>
      <c r="K103" s="1">
        <f ca="1">IFERROR(__xludf.DUMMYFUNCTION("""COMPUTED_VALUE"""),12)</f>
        <v>12</v>
      </c>
      <c r="L103" s="1">
        <f ca="1">IFERROR(__xludf.DUMMYFUNCTION("""COMPUTED_VALUE"""),1.65)</f>
        <v>1.65</v>
      </c>
      <c r="T103" s="1">
        <f ca="1">IFERROR(__xludf.DUMMYFUNCTION("""COMPUTED_VALUE"""),489442)</f>
        <v>489442</v>
      </c>
      <c r="U103" s="1">
        <f ca="1">IFERROR(__xludf.DUMMYFUNCTION("""COMPUTED_VALUE"""),19.7999999999999)</f>
        <v>19.799999999999901</v>
      </c>
    </row>
    <row r="104" spans="1:21" ht="12.75" x14ac:dyDescent="0.2">
      <c r="A104" s="3">
        <f ca="1">IFERROR(__xludf.DUMMYFUNCTION("""COMPUTED_VALUE"""),40148.4069444444)</f>
        <v>40148.406944444403</v>
      </c>
      <c r="B104" s="1">
        <f ca="1">IFERROR(__xludf.DUMMYFUNCTION("""COMPUTED_VALUE"""),1.25)</f>
        <v>1.25</v>
      </c>
      <c r="E104" s="1" t="str">
        <f ca="1">IFERROR(__xludf.DUMMYFUNCTION("""COMPUTED_VALUE"""),"CHOCOLATE HOT WATER BOTTLE")</f>
        <v>CHOCOLATE HOT WATER BOTTLE</v>
      </c>
      <c r="F104" s="1">
        <f ca="1">IFERROR(__xludf.DUMMYFUNCTION("""COMPUTED_VALUE"""),12)</f>
        <v>12</v>
      </c>
      <c r="G104" s="1">
        <f ca="1">IFERROR(__xludf.DUMMYFUNCTION("""COMPUTED_VALUE"""),4.95)</f>
        <v>4.95</v>
      </c>
      <c r="J104" s="1" t="str">
        <f ca="1">IFERROR(__xludf.DUMMYFUNCTION("""COMPUTED_VALUE"""),"YELLOW + BROWN BEAR FELT PURSE KIT")</f>
        <v>YELLOW + BROWN BEAR FELT PURSE KIT</v>
      </c>
      <c r="K104" s="1">
        <f ca="1">IFERROR(__xludf.DUMMYFUNCTION("""COMPUTED_VALUE"""),12)</f>
        <v>12</v>
      </c>
      <c r="L104" s="1">
        <f ca="1">IFERROR(__xludf.DUMMYFUNCTION("""COMPUTED_VALUE"""),1.25)</f>
        <v>1.25</v>
      </c>
      <c r="T104" s="1">
        <f ca="1">IFERROR(__xludf.DUMMYFUNCTION("""COMPUTED_VALUE"""),489442)</f>
        <v>489442</v>
      </c>
      <c r="U104" s="1">
        <f ca="1">IFERROR(__xludf.DUMMYFUNCTION("""COMPUTED_VALUE"""),15)</f>
        <v>15</v>
      </c>
    </row>
    <row r="105" spans="1:21" ht="12.75" x14ac:dyDescent="0.2">
      <c r="A105" s="3">
        <f ca="1">IFERROR(__xludf.DUMMYFUNCTION("""COMPUTED_VALUE"""),40148.4069444444)</f>
        <v>40148.406944444403</v>
      </c>
      <c r="B105" s="1">
        <f ca="1">IFERROR(__xludf.DUMMYFUNCTION("""COMPUTED_VALUE"""),2.55)</f>
        <v>2.5499999999999998</v>
      </c>
      <c r="E105" s="1" t="str">
        <f ca="1">IFERROR(__xludf.DUMMYFUNCTION("""COMPUTED_VALUE"""),"HOT WATER BOTTLE TEA AND SYMPATHY")</f>
        <v>HOT WATER BOTTLE TEA AND SYMPATHY</v>
      </c>
      <c r="F105" s="1">
        <f ca="1">IFERROR(__xludf.DUMMYFUNCTION("""COMPUTED_VALUE"""),12)</f>
        <v>12</v>
      </c>
      <c r="G105" s="1">
        <f ca="1">IFERROR(__xludf.DUMMYFUNCTION("""COMPUTED_VALUE"""),3.95)</f>
        <v>3.95</v>
      </c>
      <c r="J105" s="1" t="str">
        <f ca="1">IFERROR(__xludf.DUMMYFUNCTION("""COMPUTED_VALUE"""),"KINGS CHOICE GIANT TUBE MATCHES")</f>
        <v>KINGS CHOICE GIANT TUBE MATCHES</v>
      </c>
      <c r="K105" s="1">
        <f ca="1">IFERROR(__xludf.DUMMYFUNCTION("""COMPUTED_VALUE"""),12)</f>
        <v>12</v>
      </c>
      <c r="L105" s="1">
        <f ca="1">IFERROR(__xludf.DUMMYFUNCTION("""COMPUTED_VALUE"""),2.55)</f>
        <v>2.5499999999999998</v>
      </c>
      <c r="T105" s="1">
        <f ca="1">IFERROR(__xludf.DUMMYFUNCTION("""COMPUTED_VALUE"""),489442)</f>
        <v>489442</v>
      </c>
      <c r="U105" s="1">
        <f ca="1">IFERROR(__xludf.DUMMYFUNCTION("""COMPUTED_VALUE"""),30.5999999999999)</f>
        <v>30.599999999999898</v>
      </c>
    </row>
    <row r="106" spans="1:21" ht="12.75" x14ac:dyDescent="0.2">
      <c r="A106" s="3">
        <f ca="1">IFERROR(__xludf.DUMMYFUNCTION("""COMPUTED_VALUE"""),40148.4069444444)</f>
        <v>40148.406944444403</v>
      </c>
      <c r="B106" s="1">
        <f ca="1">IFERROR(__xludf.DUMMYFUNCTION("""COMPUTED_VALUE"""),1.25)</f>
        <v>1.25</v>
      </c>
      <c r="E106" s="1" t="str">
        <f ca="1">IFERROR(__xludf.DUMMYFUNCTION("""COMPUTED_VALUE"""),"RED SPOT HEART HOT WATER BOTTLE")</f>
        <v>RED SPOT HEART HOT WATER BOTTLE</v>
      </c>
      <c r="F106" s="1">
        <f ca="1">IFERROR(__xludf.DUMMYFUNCTION("""COMPUTED_VALUE"""),12)</f>
        <v>12</v>
      </c>
      <c r="G106" s="1">
        <f ca="1">IFERROR(__xludf.DUMMYFUNCTION("""COMPUTED_VALUE"""),4.95)</f>
        <v>4.95</v>
      </c>
      <c r="J106" s="1" t="str">
        <f ca="1">IFERROR(__xludf.DUMMYFUNCTION("""COMPUTED_VALUE"""),"EMPIRE TISSUE BOX")</f>
        <v>EMPIRE TISSUE BOX</v>
      </c>
      <c r="K106" s="1">
        <f ca="1">IFERROR(__xludf.DUMMYFUNCTION("""COMPUTED_VALUE"""),12)</f>
        <v>12</v>
      </c>
      <c r="L106" s="1">
        <f ca="1">IFERROR(__xludf.DUMMYFUNCTION("""COMPUTED_VALUE"""),1.25)</f>
        <v>1.25</v>
      </c>
      <c r="T106" s="1">
        <f ca="1">IFERROR(__xludf.DUMMYFUNCTION("""COMPUTED_VALUE"""),489442)</f>
        <v>489442</v>
      </c>
      <c r="U106" s="1">
        <f ca="1">IFERROR(__xludf.DUMMYFUNCTION("""COMPUTED_VALUE"""),15)</f>
        <v>15</v>
      </c>
    </row>
    <row r="107" spans="1:21" ht="12.75" x14ac:dyDescent="0.2">
      <c r="A107" s="3">
        <f ca="1">IFERROR(__xludf.DUMMYFUNCTION("""COMPUTED_VALUE"""),40148.4069444444)</f>
        <v>40148.406944444403</v>
      </c>
      <c r="B107" s="1">
        <f ca="1">IFERROR(__xludf.DUMMYFUNCTION("""COMPUTED_VALUE"""),0.42)</f>
        <v>0.42</v>
      </c>
      <c r="E107" s="1" t="str">
        <f ca="1">IFERROR(__xludf.DUMMYFUNCTION("""COMPUTED_VALUE"""),"RETRO RED SPOTTY WASHING UP GLOVES")</f>
        <v>RETRO RED SPOTTY WASHING UP GLOVES</v>
      </c>
      <c r="F107" s="1">
        <f ca="1">IFERROR(__xludf.DUMMYFUNCTION("""COMPUTED_VALUE"""),12)</f>
        <v>12</v>
      </c>
      <c r="G107" s="1">
        <f ca="1">IFERROR(__xludf.DUMMYFUNCTION("""COMPUTED_VALUE"""),2.1)</f>
        <v>2.1</v>
      </c>
      <c r="J107" s="1" t="str">
        <f ca="1">IFERROR(__xludf.DUMMYFUNCTION("""COMPUTED_VALUE"""),"GREETING CARD, THE BLACK CAT")</f>
        <v>GREETING CARD, THE BLACK CAT</v>
      </c>
      <c r="K107" s="1">
        <f ca="1">IFERROR(__xludf.DUMMYFUNCTION("""COMPUTED_VALUE"""),12)</f>
        <v>12</v>
      </c>
      <c r="L107" s="1">
        <f ca="1">IFERROR(__xludf.DUMMYFUNCTION("""COMPUTED_VALUE"""),0.42)</f>
        <v>0.42</v>
      </c>
      <c r="T107" s="1">
        <f ca="1">IFERROR(__xludf.DUMMYFUNCTION("""COMPUTED_VALUE"""),489442)</f>
        <v>489442</v>
      </c>
      <c r="U107" s="1">
        <f ca="1">IFERROR(__xludf.DUMMYFUNCTION("""COMPUTED_VALUE"""),5.04)</f>
        <v>5.04</v>
      </c>
    </row>
    <row r="108" spans="1:21" ht="12.75" x14ac:dyDescent="0.2">
      <c r="A108" s="3">
        <f ca="1">IFERROR(__xludf.DUMMYFUNCTION("""COMPUTED_VALUE"""),40148.4069444444)</f>
        <v>40148.406944444403</v>
      </c>
      <c r="B108" s="1">
        <f ca="1">IFERROR(__xludf.DUMMYFUNCTION("""COMPUTED_VALUE"""),0.42)</f>
        <v>0.42</v>
      </c>
      <c r="E108" s="1" t="str">
        <f ca="1">IFERROR(__xludf.DUMMYFUNCTION("""COMPUTED_VALUE"""),"LARGE HEART MEASURING SPOONS")</f>
        <v>LARGE HEART MEASURING SPOONS</v>
      </c>
      <c r="F108" s="1">
        <f ca="1">IFERROR(__xludf.DUMMYFUNCTION("""COMPUTED_VALUE"""),12)</f>
        <v>12</v>
      </c>
      <c r="G108" s="1">
        <f ca="1">IFERROR(__xludf.DUMMYFUNCTION("""COMPUTED_VALUE"""),1.65)</f>
        <v>1.65</v>
      </c>
      <c r="J108" s="1" t="str">
        <f ca="1">IFERROR(__xludf.DUMMYFUNCTION("""COMPUTED_VALUE"""),"RAINY LADIES BIRTHDAY CARD")</f>
        <v>RAINY LADIES BIRTHDAY CARD</v>
      </c>
      <c r="K108" s="1">
        <f ca="1">IFERROR(__xludf.DUMMYFUNCTION("""COMPUTED_VALUE"""),12)</f>
        <v>12</v>
      </c>
      <c r="L108" s="1">
        <f ca="1">IFERROR(__xludf.DUMMYFUNCTION("""COMPUTED_VALUE"""),0.42)</f>
        <v>0.42</v>
      </c>
      <c r="T108" s="1">
        <f ca="1">IFERROR(__xludf.DUMMYFUNCTION("""COMPUTED_VALUE"""),489442)</f>
        <v>489442</v>
      </c>
      <c r="U108" s="1">
        <f ca="1">IFERROR(__xludf.DUMMYFUNCTION("""COMPUTED_VALUE"""),5.04)</f>
        <v>5.04</v>
      </c>
    </row>
    <row r="109" spans="1:21" ht="12.75" x14ac:dyDescent="0.2">
      <c r="A109" s="3">
        <f ca="1">IFERROR(__xludf.DUMMYFUNCTION("""COMPUTED_VALUE"""),40148.4069444444)</f>
        <v>40148.406944444403</v>
      </c>
      <c r="B109" s="1">
        <f ca="1">IFERROR(__xludf.DUMMYFUNCTION("""COMPUTED_VALUE"""),0.42)</f>
        <v>0.42</v>
      </c>
      <c r="E109" s="1" t="str">
        <f ca="1">IFERROR(__xludf.DUMMYFUNCTION("""COMPUTED_VALUE"""),"JUMBO BAG SCANDINAVIAN PAISLEY")</f>
        <v>JUMBO BAG SCANDINAVIAN PAISLEY</v>
      </c>
      <c r="F109" s="1">
        <f ca="1">IFERROR(__xludf.DUMMYFUNCTION("""COMPUTED_VALUE"""),10)</f>
        <v>10</v>
      </c>
      <c r="G109" s="1">
        <f ca="1">IFERROR(__xludf.DUMMYFUNCTION("""COMPUTED_VALUE"""),1.95)</f>
        <v>1.95</v>
      </c>
      <c r="J109" s="1" t="str">
        <f ca="1">IFERROR(__xludf.DUMMYFUNCTION("""COMPUTED_VALUE"""),"BANQUET BIRTHDAY  CARD")</f>
        <v>BANQUET BIRTHDAY  CARD</v>
      </c>
      <c r="K109" s="1">
        <f ca="1">IFERROR(__xludf.DUMMYFUNCTION("""COMPUTED_VALUE"""),12)</f>
        <v>12</v>
      </c>
      <c r="L109" s="1">
        <f ca="1">IFERROR(__xludf.DUMMYFUNCTION("""COMPUTED_VALUE"""),0.42)</f>
        <v>0.42</v>
      </c>
      <c r="T109" s="1">
        <f ca="1">IFERROR(__xludf.DUMMYFUNCTION("""COMPUTED_VALUE"""),489442)</f>
        <v>489442</v>
      </c>
      <c r="U109" s="1">
        <f ca="1">IFERROR(__xludf.DUMMYFUNCTION("""COMPUTED_VALUE"""),5.04)</f>
        <v>5.04</v>
      </c>
    </row>
    <row r="110" spans="1:21" ht="12.75" x14ac:dyDescent="0.2">
      <c r="A110" s="3">
        <f ca="1">IFERROR(__xludf.DUMMYFUNCTION("""COMPUTED_VALUE"""),40148.4069444444)</f>
        <v>40148.406944444403</v>
      </c>
      <c r="B110" s="1">
        <f ca="1">IFERROR(__xludf.DUMMYFUNCTION("""COMPUTED_VALUE"""),0.42)</f>
        <v>0.42</v>
      </c>
      <c r="E110" s="1" t="str">
        <f ca="1">IFERROR(__xludf.DUMMYFUNCTION("""COMPUTED_VALUE"""),"JUMBO BAG PINK VINTAGE PAISLEY")</f>
        <v>JUMBO BAG PINK VINTAGE PAISLEY</v>
      </c>
      <c r="F110" s="1">
        <f ca="1">IFERROR(__xludf.DUMMYFUNCTION("""COMPUTED_VALUE"""),10)</f>
        <v>10</v>
      </c>
      <c r="G110" s="1">
        <f ca="1">IFERROR(__xludf.DUMMYFUNCTION("""COMPUTED_VALUE"""),1.95)</f>
        <v>1.95</v>
      </c>
      <c r="J110" s="1" t="str">
        <f ca="1">IFERROR(__xludf.DUMMYFUNCTION("""COMPUTED_VALUE"""),"SPACE BOY BIRTHDAY CARD")</f>
        <v>SPACE BOY BIRTHDAY CARD</v>
      </c>
      <c r="K110" s="1">
        <f ca="1">IFERROR(__xludf.DUMMYFUNCTION("""COMPUTED_VALUE"""),12)</f>
        <v>12</v>
      </c>
      <c r="L110" s="1">
        <f ca="1">IFERROR(__xludf.DUMMYFUNCTION("""COMPUTED_VALUE"""),0.42)</f>
        <v>0.42</v>
      </c>
      <c r="T110" s="1">
        <f ca="1">IFERROR(__xludf.DUMMYFUNCTION("""COMPUTED_VALUE"""),489442)</f>
        <v>489442</v>
      </c>
      <c r="U110" s="1">
        <f ca="1">IFERROR(__xludf.DUMMYFUNCTION("""COMPUTED_VALUE"""),5.04)</f>
        <v>5.04</v>
      </c>
    </row>
    <row r="111" spans="1:21" ht="12.75" x14ac:dyDescent="0.2">
      <c r="A111" s="3">
        <f ca="1">IFERROR(__xludf.DUMMYFUNCTION("""COMPUTED_VALUE"""),40148.4069444444)</f>
        <v>40148.406944444403</v>
      </c>
      <c r="B111" s="1">
        <f ca="1">IFERROR(__xludf.DUMMYFUNCTION("""COMPUTED_VALUE"""),0.42)</f>
        <v>0.42</v>
      </c>
      <c r="E111" s="1" t="str">
        <f ca="1">IFERROR(__xludf.DUMMYFUNCTION("""COMPUTED_VALUE"""),"LUNCH BAG RED SPOTTY")</f>
        <v>LUNCH BAG RED SPOTTY</v>
      </c>
      <c r="F111" s="1">
        <f ca="1">IFERROR(__xludf.DUMMYFUNCTION("""COMPUTED_VALUE"""),10)</f>
        <v>10</v>
      </c>
      <c r="G111" s="1">
        <f ca="1">IFERROR(__xludf.DUMMYFUNCTION("""COMPUTED_VALUE"""),1.65)</f>
        <v>1.65</v>
      </c>
      <c r="J111" s="1" t="str">
        <f ca="1">IFERROR(__xludf.DUMMYFUNCTION("""COMPUTED_VALUE"""),"RING OF ROSES BIRTHDAY CARD")</f>
        <v>RING OF ROSES BIRTHDAY CARD</v>
      </c>
      <c r="K111" s="1">
        <f ca="1">IFERROR(__xludf.DUMMYFUNCTION("""COMPUTED_VALUE"""),12)</f>
        <v>12</v>
      </c>
      <c r="L111" s="1">
        <f ca="1">IFERROR(__xludf.DUMMYFUNCTION("""COMPUTED_VALUE"""),0.42)</f>
        <v>0.42</v>
      </c>
      <c r="T111" s="1">
        <f ca="1">IFERROR(__xludf.DUMMYFUNCTION("""COMPUTED_VALUE"""),489442)</f>
        <v>489442</v>
      </c>
      <c r="U111" s="1">
        <f ca="1">IFERROR(__xludf.DUMMYFUNCTION("""COMPUTED_VALUE"""),5.04)</f>
        <v>5.04</v>
      </c>
    </row>
    <row r="112" spans="1:21" ht="12.75" x14ac:dyDescent="0.2">
      <c r="A112" s="3">
        <f ca="1">IFERROR(__xludf.DUMMYFUNCTION("""COMPUTED_VALUE"""),40148.4069444444)</f>
        <v>40148.406944444403</v>
      </c>
      <c r="B112" s="1">
        <f ca="1">IFERROR(__xludf.DUMMYFUNCTION("""COMPUTED_VALUE"""),0.42)</f>
        <v>0.42</v>
      </c>
      <c r="E112" s="1" t="str">
        <f ca="1">IFERROR(__xludf.DUMMYFUNCTION("""COMPUTED_VALUE"""),"LUNCH BAG CARS BLUE")</f>
        <v>LUNCH BAG CARS BLUE</v>
      </c>
      <c r="F112" s="1">
        <f ca="1">IFERROR(__xludf.DUMMYFUNCTION("""COMPUTED_VALUE"""),10)</f>
        <v>10</v>
      </c>
      <c r="G112" s="1">
        <f ca="1">IFERROR(__xludf.DUMMYFUNCTION("""COMPUTED_VALUE"""),1.65)</f>
        <v>1.65</v>
      </c>
      <c r="J112" s="1" t="str">
        <f ca="1">IFERROR(__xludf.DUMMYFUNCTION("""COMPUTED_VALUE"""),"BOTANICAL LAVENDER BIRTHDAY CARD")</f>
        <v>BOTANICAL LAVENDER BIRTHDAY CARD</v>
      </c>
      <c r="K112" s="1">
        <f ca="1">IFERROR(__xludf.DUMMYFUNCTION("""COMPUTED_VALUE"""),12)</f>
        <v>12</v>
      </c>
      <c r="L112" s="1">
        <f ca="1">IFERROR(__xludf.DUMMYFUNCTION("""COMPUTED_VALUE"""),0.42)</f>
        <v>0.42</v>
      </c>
      <c r="T112" s="1">
        <f ca="1">IFERROR(__xludf.DUMMYFUNCTION("""COMPUTED_VALUE"""),489442)</f>
        <v>489442</v>
      </c>
      <c r="U112" s="1">
        <f ca="1">IFERROR(__xludf.DUMMYFUNCTION("""COMPUTED_VALUE"""),5.04)</f>
        <v>5.04</v>
      </c>
    </row>
    <row r="113" spans="1:21" ht="12.75" x14ac:dyDescent="0.2">
      <c r="A113" s="3">
        <f ca="1">IFERROR(__xludf.DUMMYFUNCTION("""COMPUTED_VALUE"""),40148.4069444444)</f>
        <v>40148.406944444403</v>
      </c>
      <c r="B113" s="1">
        <f ca="1">IFERROR(__xludf.DUMMYFUNCTION("""COMPUTED_VALUE"""),0.85)</f>
        <v>0.85</v>
      </c>
      <c r="E113" s="1" t="str">
        <f ca="1">IFERROR(__xludf.DUMMYFUNCTION("""COMPUTED_VALUE"""),"LUNCH BAG WOODLAND")</f>
        <v>LUNCH BAG WOODLAND</v>
      </c>
      <c r="F113" s="1">
        <f ca="1">IFERROR(__xludf.DUMMYFUNCTION("""COMPUTED_VALUE"""),10)</f>
        <v>10</v>
      </c>
      <c r="G113" s="1">
        <f ca="1">IFERROR(__xludf.DUMMYFUNCTION("""COMPUTED_VALUE"""),1.65)</f>
        <v>1.65</v>
      </c>
      <c r="J113" s="1" t="str">
        <f ca="1">IFERROR(__xludf.DUMMYFUNCTION("""COMPUTED_VALUE"""),"VINTAGE SNAP CARDS")</f>
        <v>VINTAGE SNAP CARDS</v>
      </c>
      <c r="K113" s="1">
        <f ca="1">IFERROR(__xludf.DUMMYFUNCTION("""COMPUTED_VALUE"""),12)</f>
        <v>12</v>
      </c>
      <c r="L113" s="1">
        <f ca="1">IFERROR(__xludf.DUMMYFUNCTION("""COMPUTED_VALUE"""),0.85)</f>
        <v>0.85</v>
      </c>
      <c r="T113" s="1">
        <f ca="1">IFERROR(__xludf.DUMMYFUNCTION("""COMPUTED_VALUE"""),489442)</f>
        <v>489442</v>
      </c>
      <c r="U113" s="1">
        <f ca="1">IFERROR(__xludf.DUMMYFUNCTION("""COMPUTED_VALUE"""),10.2)</f>
        <v>10.199999999999999</v>
      </c>
    </row>
    <row r="114" spans="1:21" ht="12.75" x14ac:dyDescent="0.2">
      <c r="A114" s="3">
        <f ca="1">IFERROR(__xludf.DUMMYFUNCTION("""COMPUTED_VALUE"""),40148.4069444444)</f>
        <v>40148.406944444403</v>
      </c>
      <c r="B114" s="1">
        <f ca="1">IFERROR(__xludf.DUMMYFUNCTION("""COMPUTED_VALUE"""),1.25)</f>
        <v>1.25</v>
      </c>
      <c r="E114" s="1" t="str">
        <f ca="1">IFERROR(__xludf.DUMMYFUNCTION("""COMPUTED_VALUE"""),"SCOTTIE DOG HOT WATER BOTTLE")</f>
        <v>SCOTTIE DOG HOT WATER BOTTLE</v>
      </c>
      <c r="F114" s="1">
        <f ca="1">IFERROR(__xludf.DUMMYFUNCTION("""COMPUTED_VALUE"""),6)</f>
        <v>6</v>
      </c>
      <c r="G114" s="1">
        <f ca="1">IFERROR(__xludf.DUMMYFUNCTION("""COMPUTED_VALUE"""),4.95)</f>
        <v>4.95</v>
      </c>
      <c r="J114" s="1" t="str">
        <f ca="1">IFERROR(__xludf.DUMMYFUNCTION("""COMPUTED_VALUE"""),"VICTORIAN SEWING KIT")</f>
        <v>VICTORIAN SEWING KIT</v>
      </c>
      <c r="K114" s="1">
        <f ca="1">IFERROR(__xludf.DUMMYFUNCTION("""COMPUTED_VALUE"""),12)</f>
        <v>12</v>
      </c>
      <c r="L114" s="1">
        <f ca="1">IFERROR(__xludf.DUMMYFUNCTION("""COMPUTED_VALUE"""),1.25)</f>
        <v>1.25</v>
      </c>
      <c r="T114" s="1">
        <f ca="1">IFERROR(__xludf.DUMMYFUNCTION("""COMPUTED_VALUE"""),489442)</f>
        <v>489442</v>
      </c>
      <c r="U114" s="1">
        <f ca="1">IFERROR(__xludf.DUMMYFUNCTION("""COMPUTED_VALUE"""),15)</f>
        <v>15</v>
      </c>
    </row>
    <row r="115" spans="1:21" ht="12.75" x14ac:dyDescent="0.2">
      <c r="A115" s="3">
        <f ca="1">IFERROR(__xludf.DUMMYFUNCTION("""COMPUTED_VALUE"""),40148.4069444444)</f>
        <v>40148.406944444403</v>
      </c>
      <c r="B115" s="1">
        <f ca="1">IFERROR(__xludf.DUMMYFUNCTION("""COMPUTED_VALUE"""),3.75)</f>
        <v>3.75</v>
      </c>
      <c r="E115" s="1" t="str">
        <f ca="1">IFERROR(__xludf.DUMMYFUNCTION("""COMPUTED_VALUE"""),"FRYING PAN RED POLKADOT")</f>
        <v>FRYING PAN RED POLKADOT</v>
      </c>
      <c r="F115" s="1">
        <f ca="1">IFERROR(__xludf.DUMMYFUNCTION("""COMPUTED_VALUE"""),4)</f>
        <v>4</v>
      </c>
      <c r="G115" s="1">
        <f ca="1">IFERROR(__xludf.DUMMYFUNCTION("""COMPUTED_VALUE"""),4.25)</f>
        <v>4.25</v>
      </c>
      <c r="J115" s="1" t="str">
        <f ca="1">IFERROR(__xludf.DUMMYFUNCTION("""COMPUTED_VALUE"""),"BINGO SET")</f>
        <v>BINGO SET</v>
      </c>
      <c r="K115" s="1">
        <f ca="1">IFERROR(__xludf.DUMMYFUNCTION("""COMPUTED_VALUE"""),8)</f>
        <v>8</v>
      </c>
      <c r="L115" s="1">
        <f ca="1">IFERROR(__xludf.DUMMYFUNCTION("""COMPUTED_VALUE"""),3.75)</f>
        <v>3.75</v>
      </c>
      <c r="T115" s="1">
        <f ca="1">IFERROR(__xludf.DUMMYFUNCTION("""COMPUTED_VALUE"""),489442)</f>
        <v>489442</v>
      </c>
      <c r="U115" s="1">
        <f ca="1">IFERROR(__xludf.DUMMYFUNCTION("""COMPUTED_VALUE"""),30)</f>
        <v>30</v>
      </c>
    </row>
    <row r="116" spans="1:21" ht="12.75" x14ac:dyDescent="0.2">
      <c r="A116" s="3">
        <f ca="1">IFERROR(__xludf.DUMMYFUNCTION("""COMPUTED_VALUE"""),40148.4069444444)</f>
        <v>40148.406944444403</v>
      </c>
      <c r="B116" s="1">
        <f ca="1">IFERROR(__xludf.DUMMYFUNCTION("""COMPUTED_VALUE"""),2.95)</f>
        <v>2.95</v>
      </c>
      <c r="E116" s="1" t="str">
        <f ca="1">IFERROR(__xludf.DUMMYFUNCTION("""COMPUTED_VALUE"""),"GOLD APERITIF GLASS")</f>
        <v>GOLD APERITIF GLASS</v>
      </c>
      <c r="F116" s="1">
        <f ca="1">IFERROR(__xludf.DUMMYFUNCTION("""COMPUTED_VALUE"""),48)</f>
        <v>48</v>
      </c>
      <c r="G116" s="1">
        <f ca="1">IFERROR(__xludf.DUMMYFUNCTION("""COMPUTED_VALUE"""),2.12)</f>
        <v>2.12</v>
      </c>
      <c r="J116" s="1" t="str">
        <f ca="1">IFERROR(__xludf.DUMMYFUNCTION("""COMPUTED_VALUE"""),"FELTCRAFT DOLL ROSIE")</f>
        <v>FELTCRAFT DOLL ROSIE</v>
      </c>
      <c r="K116" s="1">
        <f ca="1">IFERROR(__xludf.DUMMYFUNCTION("""COMPUTED_VALUE"""),6)</f>
        <v>6</v>
      </c>
      <c r="L116" s="1">
        <f ca="1">IFERROR(__xludf.DUMMYFUNCTION("""COMPUTED_VALUE"""),2.95)</f>
        <v>2.95</v>
      </c>
      <c r="T116" s="1">
        <f ca="1">IFERROR(__xludf.DUMMYFUNCTION("""COMPUTED_VALUE"""),489442)</f>
        <v>489442</v>
      </c>
      <c r="U116" s="1">
        <f ca="1">IFERROR(__xludf.DUMMYFUNCTION("""COMPUTED_VALUE"""),17.7)</f>
        <v>17.7</v>
      </c>
    </row>
    <row r="117" spans="1:21" ht="12.75" x14ac:dyDescent="0.2">
      <c r="A117" s="3">
        <f ca="1">IFERROR(__xludf.DUMMYFUNCTION("""COMPUTED_VALUE"""),40148.4069444444)</f>
        <v>40148.406944444403</v>
      </c>
      <c r="B117" s="1">
        <f ca="1">IFERROR(__xludf.DUMMYFUNCTION("""COMPUTED_VALUE"""),2.95)</f>
        <v>2.95</v>
      </c>
      <c r="E117" s="1" t="str">
        <f ca="1">IFERROR(__xludf.DUMMYFUNCTION("""COMPUTED_VALUE"""),"GOLD WINE GLASS")</f>
        <v>GOLD WINE GLASS</v>
      </c>
      <c r="F117" s="1">
        <f ca="1">IFERROR(__xludf.DUMMYFUNCTION("""COMPUTED_VALUE"""),48)</f>
        <v>48</v>
      </c>
      <c r="G117" s="1">
        <f ca="1">IFERROR(__xludf.DUMMYFUNCTION("""COMPUTED_VALUE"""),3.39)</f>
        <v>3.39</v>
      </c>
      <c r="J117" s="1" t="str">
        <f ca="1">IFERROR(__xludf.DUMMYFUNCTION("""COMPUTED_VALUE"""),"FELTCRAFT DOLL MARIA")</f>
        <v>FELTCRAFT DOLL MARIA</v>
      </c>
      <c r="K117" s="1">
        <f ca="1">IFERROR(__xludf.DUMMYFUNCTION("""COMPUTED_VALUE"""),6)</f>
        <v>6</v>
      </c>
      <c r="L117" s="1">
        <f ca="1">IFERROR(__xludf.DUMMYFUNCTION("""COMPUTED_VALUE"""),2.95)</f>
        <v>2.95</v>
      </c>
      <c r="T117" s="1">
        <f ca="1">IFERROR(__xludf.DUMMYFUNCTION("""COMPUTED_VALUE"""),489442)</f>
        <v>489442</v>
      </c>
      <c r="U117" s="1">
        <f ca="1">IFERROR(__xludf.DUMMYFUNCTION("""COMPUTED_VALUE"""),17.7)</f>
        <v>17.7</v>
      </c>
    </row>
    <row r="118" spans="1:21" ht="12.75" x14ac:dyDescent="0.2">
      <c r="A118" s="3">
        <f ca="1">IFERROR(__xludf.DUMMYFUNCTION("""COMPUTED_VALUE"""),40148.4069444444)</f>
        <v>40148.406944444403</v>
      </c>
      <c r="B118" s="1">
        <f ca="1">IFERROR(__xludf.DUMMYFUNCTION("""COMPUTED_VALUE"""),2.95)</f>
        <v>2.95</v>
      </c>
      <c r="E118" s="1" t="str">
        <f ca="1">IFERROR(__xludf.DUMMYFUNCTION("""COMPUTED_VALUE"""),"GOLD WINE GOBLET")</f>
        <v>GOLD WINE GOBLET</v>
      </c>
      <c r="F118" s="1">
        <f ca="1">IFERROR(__xludf.DUMMYFUNCTION("""COMPUTED_VALUE"""),48)</f>
        <v>48</v>
      </c>
      <c r="G118" s="1">
        <f ca="1">IFERROR(__xludf.DUMMYFUNCTION("""COMPUTED_VALUE"""),4.25)</f>
        <v>4.25</v>
      </c>
      <c r="J118" s="1" t="str">
        <f ca="1">IFERROR(__xludf.DUMMYFUNCTION("""COMPUTED_VALUE"""),"WHITE HANGING HEART T-LIGHT HOLDER")</f>
        <v>WHITE HANGING HEART T-LIGHT HOLDER</v>
      </c>
      <c r="K118" s="1">
        <f ca="1">IFERROR(__xludf.DUMMYFUNCTION("""COMPUTED_VALUE"""),6)</f>
        <v>6</v>
      </c>
      <c r="L118" s="1">
        <f ca="1">IFERROR(__xludf.DUMMYFUNCTION("""COMPUTED_VALUE"""),2.95)</f>
        <v>2.95</v>
      </c>
      <c r="T118" s="1">
        <f ca="1">IFERROR(__xludf.DUMMYFUNCTION("""COMPUTED_VALUE"""),489442)</f>
        <v>489442</v>
      </c>
      <c r="U118" s="1">
        <f ca="1">IFERROR(__xludf.DUMMYFUNCTION("""COMPUTED_VALUE"""),17.7)</f>
        <v>17.7</v>
      </c>
    </row>
    <row r="119" spans="1:21" ht="12.75" x14ac:dyDescent="0.2">
      <c r="A119" s="3">
        <f ca="1">IFERROR(__xludf.DUMMYFUNCTION("""COMPUTED_VALUE"""),40148.4069444444)</f>
        <v>40148.406944444403</v>
      </c>
      <c r="B119" s="1">
        <f ca="1">IFERROR(__xludf.DUMMYFUNCTION("""COMPUTED_VALUE"""),4.25)</f>
        <v>4.25</v>
      </c>
      <c r="E119" s="1" t="str">
        <f ca="1">IFERROR(__xludf.DUMMYFUNCTION("""COMPUTED_VALUE"""),"SILVER APERITIF GLASS")</f>
        <v>SILVER APERITIF GLASS</v>
      </c>
      <c r="F119" s="1">
        <f ca="1">IFERROR(__xludf.DUMMYFUNCTION("""COMPUTED_VALUE"""),48)</f>
        <v>48</v>
      </c>
      <c r="G119" s="1">
        <f ca="1">IFERROR(__xludf.DUMMYFUNCTION("""COMPUTED_VALUE"""),2.12)</f>
        <v>2.12</v>
      </c>
      <c r="J119" s="1" t="str">
        <f ca="1">IFERROR(__xludf.DUMMYFUNCTION("""COMPUTED_VALUE"""),"SET3 BOOK BOX GREEN GINGHAM FLOWER")</f>
        <v>SET3 BOOK BOX GREEN GINGHAM FLOWER</v>
      </c>
      <c r="K119" s="1">
        <f ca="1">IFERROR(__xludf.DUMMYFUNCTION("""COMPUTED_VALUE"""),4)</f>
        <v>4</v>
      </c>
      <c r="L119" s="1">
        <f ca="1">IFERROR(__xludf.DUMMYFUNCTION("""COMPUTED_VALUE"""),4.25)</f>
        <v>4.25</v>
      </c>
      <c r="T119" s="1">
        <f ca="1">IFERROR(__xludf.DUMMYFUNCTION("""COMPUTED_VALUE"""),489442)</f>
        <v>489442</v>
      </c>
      <c r="U119" s="1">
        <f ca="1">IFERROR(__xludf.DUMMYFUNCTION("""COMPUTED_VALUE"""),17)</f>
        <v>17</v>
      </c>
    </row>
    <row r="120" spans="1:21" ht="12.75" x14ac:dyDescent="0.2">
      <c r="A120" s="3">
        <f ca="1">IFERROR(__xludf.DUMMYFUNCTION("""COMPUTED_VALUE"""),40148.4069444444)</f>
        <v>40148.406944444403</v>
      </c>
      <c r="B120" s="1">
        <f ca="1">IFERROR(__xludf.DUMMYFUNCTION("""COMPUTED_VALUE"""),3.75)</f>
        <v>3.75</v>
      </c>
      <c r="E120" s="1" t="str">
        <f ca="1">IFERROR(__xludf.DUMMYFUNCTION("""COMPUTED_VALUE"""),"POTTING SHED SOW 'N' GROW SET")</f>
        <v>POTTING SHED SOW 'N' GROW SET</v>
      </c>
      <c r="F120" s="1">
        <f ca="1">IFERROR(__xludf.DUMMYFUNCTION("""COMPUTED_VALUE"""),-4)</f>
        <v>-4</v>
      </c>
      <c r="G120" s="1">
        <f ca="1">IFERROR(__xludf.DUMMYFUNCTION("""COMPUTED_VALUE"""),4.25)</f>
        <v>4.25</v>
      </c>
      <c r="J120" s="1" t="str">
        <f ca="1">IFERROR(__xludf.DUMMYFUNCTION("""COMPUTED_VALUE"""),"SET/3 RED GINGHAM ROSE STORAGE BOX")</f>
        <v>SET/3 RED GINGHAM ROSE STORAGE BOX</v>
      </c>
      <c r="K120" s="1">
        <f ca="1">IFERROR(__xludf.DUMMYFUNCTION("""COMPUTED_VALUE"""),4)</f>
        <v>4</v>
      </c>
      <c r="L120" s="1">
        <f ca="1">IFERROR(__xludf.DUMMYFUNCTION("""COMPUTED_VALUE"""),3.75)</f>
        <v>3.75</v>
      </c>
      <c r="T120" s="1">
        <f ca="1">IFERROR(__xludf.DUMMYFUNCTION("""COMPUTED_VALUE"""),489442)</f>
        <v>489442</v>
      </c>
      <c r="U120" s="1">
        <f ca="1">IFERROR(__xludf.DUMMYFUNCTION("""COMPUTED_VALUE"""),15)</f>
        <v>15</v>
      </c>
    </row>
    <row r="121" spans="1:21" ht="12.75" x14ac:dyDescent="0.2">
      <c r="A121" s="3">
        <f ca="1">IFERROR(__xludf.DUMMYFUNCTION("""COMPUTED_VALUE"""),40148.4069444444)</f>
        <v>40148.406944444403</v>
      </c>
      <c r="B121" s="1">
        <f ca="1">IFERROR(__xludf.DUMMYFUNCTION("""COMPUTED_VALUE"""),4.95)</f>
        <v>4.95</v>
      </c>
      <c r="E121" s="1" t="str">
        <f ca="1">IFERROR(__xludf.DUMMYFUNCTION("""COMPUTED_VALUE"""),"CREAM FELT EASTER EGG BASKET")</f>
        <v>CREAM FELT EASTER EGG BASKET</v>
      </c>
      <c r="F121" s="1">
        <f ca="1">IFERROR(__xludf.DUMMYFUNCTION("""COMPUTED_VALUE"""),-6)</f>
        <v>-6</v>
      </c>
      <c r="G121" s="1">
        <f ca="1">IFERROR(__xludf.DUMMYFUNCTION("""COMPUTED_VALUE"""),1.65)</f>
        <v>1.65</v>
      </c>
      <c r="J121" s="1" t="str">
        <f ca="1">IFERROR(__xludf.DUMMYFUNCTION("""COMPUTED_VALUE"""),"SCOTTIE DOG HOT WATER BOTTLE")</f>
        <v>SCOTTIE DOG HOT WATER BOTTLE</v>
      </c>
      <c r="K121" s="1">
        <f ca="1">IFERROR(__xludf.DUMMYFUNCTION("""COMPUTED_VALUE"""),3)</f>
        <v>3</v>
      </c>
      <c r="L121" s="1">
        <f ca="1">IFERROR(__xludf.DUMMYFUNCTION("""COMPUTED_VALUE"""),4.95)</f>
        <v>4.95</v>
      </c>
      <c r="T121" s="1">
        <f ca="1">IFERROR(__xludf.DUMMYFUNCTION("""COMPUTED_VALUE"""),489442)</f>
        <v>489442</v>
      </c>
      <c r="U121" s="1">
        <f ca="1">IFERROR(__xludf.DUMMYFUNCTION("""COMPUTED_VALUE"""),14.85)</f>
        <v>14.85</v>
      </c>
    </row>
    <row r="122" spans="1:21" ht="12.75" x14ac:dyDescent="0.2">
      <c r="A122" s="3">
        <f ca="1">IFERROR(__xludf.DUMMYFUNCTION("""COMPUTED_VALUE"""),40148.4069444444)</f>
        <v>40148.406944444403</v>
      </c>
      <c r="B122" s="1">
        <f ca="1">IFERROR(__xludf.DUMMYFUNCTION("""COMPUTED_VALUE"""),6.75)</f>
        <v>6.75</v>
      </c>
      <c r="E122" s="1" t="str">
        <f ca="1">IFERROR(__xludf.DUMMYFUNCTION("""COMPUTED_VALUE"""),"POTTING SHED TWINE")</f>
        <v>POTTING SHED TWINE</v>
      </c>
      <c r="F122" s="1">
        <f ca="1">IFERROR(__xludf.DUMMYFUNCTION("""COMPUTED_VALUE"""),-6)</f>
        <v>-6</v>
      </c>
      <c r="G122" s="1">
        <f ca="1">IFERROR(__xludf.DUMMYFUNCTION("""COMPUTED_VALUE"""),2.1)</f>
        <v>2.1</v>
      </c>
      <c r="J122" s="1" t="str">
        <f ca="1">IFERROR(__xludf.DUMMYFUNCTION("""COMPUTED_VALUE"""),"UNION JACK GUNS &amp; ROSES  DOORMAT")</f>
        <v>UNION JACK GUNS &amp; ROSES  DOORMAT</v>
      </c>
      <c r="K122" s="1">
        <f ca="1">IFERROR(__xludf.DUMMYFUNCTION("""COMPUTED_VALUE"""),2)</f>
        <v>2</v>
      </c>
      <c r="L122" s="1">
        <f ca="1">IFERROR(__xludf.DUMMYFUNCTION("""COMPUTED_VALUE"""),6.75)</f>
        <v>6.75</v>
      </c>
      <c r="T122" s="1">
        <f ca="1">IFERROR(__xludf.DUMMYFUNCTION("""COMPUTED_VALUE"""),489442)</f>
        <v>489442</v>
      </c>
      <c r="U122" s="1">
        <f ca="1">IFERROR(__xludf.DUMMYFUNCTION("""COMPUTED_VALUE"""),13.5)</f>
        <v>13.5</v>
      </c>
    </row>
    <row r="123" spans="1:21" ht="12.75" x14ac:dyDescent="0.2">
      <c r="A123" s="3">
        <f ca="1">IFERROR(__xludf.DUMMYFUNCTION("""COMPUTED_VALUE"""),40148.4097222222)</f>
        <v>40148.409722222197</v>
      </c>
      <c r="B123" s="1">
        <f ca="1">IFERROR(__xludf.DUMMYFUNCTION("""COMPUTED_VALUE"""),2.1)</f>
        <v>2.1</v>
      </c>
      <c r="E123" s="1" t="str">
        <f ca="1">IFERROR(__xludf.DUMMYFUNCTION("""COMPUTED_VALUE"""),"PAPER BUNTING WHITE LACE")</f>
        <v>PAPER BUNTING WHITE LACE</v>
      </c>
      <c r="F123" s="1">
        <f ca="1">IFERROR(__xludf.DUMMYFUNCTION("""COMPUTED_VALUE"""),-12)</f>
        <v>-12</v>
      </c>
      <c r="G123" s="1">
        <f ca="1">IFERROR(__xludf.DUMMYFUNCTION("""COMPUTED_VALUE"""),2.95)</f>
        <v>2.95</v>
      </c>
      <c r="J123" s="1" t="str">
        <f ca="1">IFERROR(__xludf.DUMMYFUNCTION("""COMPUTED_VALUE"""),"RECORD FRAME 7"" SINGLE SIZE ")</f>
        <v xml:space="preserve">RECORD FRAME 7" SINGLE SIZE </v>
      </c>
      <c r="K123" s="1">
        <f ca="1">IFERROR(__xludf.DUMMYFUNCTION("""COMPUTED_VALUE"""),48)</f>
        <v>48</v>
      </c>
      <c r="L123" s="1">
        <f ca="1">IFERROR(__xludf.DUMMYFUNCTION("""COMPUTED_VALUE"""),2.1)</f>
        <v>2.1</v>
      </c>
      <c r="T123" s="1">
        <f ca="1">IFERROR(__xludf.DUMMYFUNCTION("""COMPUTED_VALUE"""),489443)</f>
        <v>489443</v>
      </c>
      <c r="U123" s="1">
        <f ca="1">IFERROR(__xludf.DUMMYFUNCTION("""COMPUTED_VALUE"""),100.8)</f>
        <v>100.8</v>
      </c>
    </row>
    <row r="124" spans="1:21" ht="12.75" x14ac:dyDescent="0.2">
      <c r="A124" s="3">
        <f ca="1">IFERROR(__xludf.DUMMYFUNCTION("""COMPUTED_VALUE"""),40148.4097222222)</f>
        <v>40148.409722222197</v>
      </c>
      <c r="B124" s="1">
        <f ca="1">IFERROR(__xludf.DUMMYFUNCTION("""COMPUTED_VALUE"""),3.39)</f>
        <v>3.39</v>
      </c>
      <c r="E124" s="1" t="str">
        <f ca="1">IFERROR(__xludf.DUMMYFUNCTION("""COMPUTED_VALUE"""),"PAPER CHAIN KIT RETRO SPOT")</f>
        <v>PAPER CHAIN KIT RETRO SPOT</v>
      </c>
      <c r="F124" s="1">
        <f ca="1">IFERROR(__xludf.DUMMYFUNCTION("""COMPUTED_VALUE"""),-12)</f>
        <v>-12</v>
      </c>
      <c r="G124" s="1">
        <f ca="1">IFERROR(__xludf.DUMMYFUNCTION("""COMPUTED_VALUE"""),2.95)</f>
        <v>2.95</v>
      </c>
      <c r="J124" s="1" t="str">
        <f ca="1">IFERROR(__xludf.DUMMYFUNCTION("""COMPUTED_VALUE"""),"VINYL RECORD FRAME SILVER")</f>
        <v>VINYL RECORD FRAME SILVER</v>
      </c>
      <c r="K124" s="1">
        <f ca="1">IFERROR(__xludf.DUMMYFUNCTION("""COMPUTED_VALUE"""),24)</f>
        <v>24</v>
      </c>
      <c r="L124" s="1">
        <f ca="1">IFERROR(__xludf.DUMMYFUNCTION("""COMPUTED_VALUE"""),3.39)</f>
        <v>3.39</v>
      </c>
      <c r="T124" s="1">
        <f ca="1">IFERROR(__xludf.DUMMYFUNCTION("""COMPUTED_VALUE"""),489443)</f>
        <v>489443</v>
      </c>
      <c r="U124" s="1">
        <f ca="1">IFERROR(__xludf.DUMMYFUNCTION("""COMPUTED_VALUE"""),81.36)</f>
        <v>81.36</v>
      </c>
    </row>
    <row r="125" spans="1:21" ht="12.75" x14ac:dyDescent="0.2">
      <c r="A125" s="3">
        <f ca="1">IFERROR(__xludf.DUMMYFUNCTION("""COMPUTED_VALUE"""),40148.4097222222)</f>
        <v>40148.409722222197</v>
      </c>
      <c r="B125" s="1">
        <f ca="1">IFERROR(__xludf.DUMMYFUNCTION("""COMPUTED_VALUE"""),2.95)</f>
        <v>2.95</v>
      </c>
      <c r="E125" s="1" t="str">
        <f ca="1">IFERROR(__xludf.DUMMYFUNCTION("""COMPUTED_VALUE"""),"SAVE THE PLANET MUG")</f>
        <v>SAVE THE PLANET MUG</v>
      </c>
      <c r="F125" s="1">
        <f ca="1">IFERROR(__xludf.DUMMYFUNCTION("""COMPUTED_VALUE"""),-12)</f>
        <v>-12</v>
      </c>
      <c r="G125" s="1">
        <f ca="1">IFERROR(__xludf.DUMMYFUNCTION("""COMPUTED_VALUE"""),1.25)</f>
        <v>1.25</v>
      </c>
      <c r="J125" s="1" t="str">
        <f ca="1">IFERROR(__xludf.DUMMYFUNCTION("""COMPUTED_VALUE"""),"SET/2 RED SPOTTY TEA TOWELS")</f>
        <v>SET/2 RED SPOTTY TEA TOWELS</v>
      </c>
      <c r="K125" s="1">
        <f ca="1">IFERROR(__xludf.DUMMYFUNCTION("""COMPUTED_VALUE"""),12)</f>
        <v>12</v>
      </c>
      <c r="L125" s="1">
        <f ca="1">IFERROR(__xludf.DUMMYFUNCTION("""COMPUTED_VALUE"""),2.95)</f>
        <v>2.95</v>
      </c>
      <c r="T125" s="1">
        <f ca="1">IFERROR(__xludf.DUMMYFUNCTION("""COMPUTED_VALUE"""),489443)</f>
        <v>489443</v>
      </c>
      <c r="U125" s="1">
        <f ca="1">IFERROR(__xludf.DUMMYFUNCTION("""COMPUTED_VALUE"""),35.4)</f>
        <v>35.4</v>
      </c>
    </row>
    <row r="126" spans="1:21" ht="12.75" x14ac:dyDescent="0.2">
      <c r="A126" s="3">
        <f ca="1">IFERROR(__xludf.DUMMYFUNCTION("""COMPUTED_VALUE"""),40148.4097222222)</f>
        <v>40148.409722222197</v>
      </c>
      <c r="B126" s="1">
        <f ca="1">IFERROR(__xludf.DUMMYFUNCTION("""COMPUTED_VALUE"""),0.55)</f>
        <v>0.55000000000000004</v>
      </c>
      <c r="E126" s="1" t="str">
        <f ca="1">IFERROR(__xludf.DUMMYFUNCTION("""COMPUTED_VALUE"""),"ANTIQUE SILVER TEA GLASS ETCHED")</f>
        <v>ANTIQUE SILVER TEA GLASS ETCHED</v>
      </c>
      <c r="F126" s="1">
        <f ca="1">IFERROR(__xludf.DUMMYFUNCTION("""COMPUTED_VALUE"""),-12)</f>
        <v>-12</v>
      </c>
      <c r="G126" s="1">
        <f ca="1">IFERROR(__xludf.DUMMYFUNCTION("""COMPUTED_VALUE"""),1.25)</f>
        <v>1.25</v>
      </c>
      <c r="J126" s="1" t="str">
        <f ca="1">IFERROR(__xludf.DUMMYFUNCTION("""COMPUTED_VALUE"""),"BATHROOM METAL SIGN")</f>
        <v>BATHROOM METAL SIGN</v>
      </c>
      <c r="K126" s="1">
        <f ca="1">IFERROR(__xludf.DUMMYFUNCTION("""COMPUTED_VALUE"""),12)</f>
        <v>12</v>
      </c>
      <c r="L126" s="1">
        <f ca="1">IFERROR(__xludf.DUMMYFUNCTION("""COMPUTED_VALUE"""),0.55)</f>
        <v>0.55000000000000004</v>
      </c>
      <c r="T126" s="1">
        <f ca="1">IFERROR(__xludf.DUMMYFUNCTION("""COMPUTED_VALUE"""),489443)</f>
        <v>489443</v>
      </c>
      <c r="U126" s="1">
        <f ca="1">IFERROR(__xludf.DUMMYFUNCTION("""COMPUTED_VALUE"""),6.6)</f>
        <v>6.6</v>
      </c>
    </row>
    <row r="127" spans="1:21" ht="12.75" x14ac:dyDescent="0.2">
      <c r="A127" s="3">
        <f ca="1">IFERROR(__xludf.DUMMYFUNCTION("""COMPUTED_VALUE"""),40148.4097222222)</f>
        <v>40148.409722222197</v>
      </c>
      <c r="B127" s="1">
        <f ca="1">IFERROR(__xludf.DUMMYFUNCTION("""COMPUTED_VALUE"""),2.55)</f>
        <v>2.5499999999999998</v>
      </c>
      <c r="E127" s="1" t="str">
        <f ca="1">IFERROR(__xludf.DUMMYFUNCTION("""COMPUTED_VALUE"""),"PAPER BUNTING RETRO SPOTS")</f>
        <v>PAPER BUNTING RETRO SPOTS</v>
      </c>
      <c r="F127" s="1">
        <f ca="1">IFERROR(__xludf.DUMMYFUNCTION("""COMPUTED_VALUE"""),-12)</f>
        <v>-12</v>
      </c>
      <c r="G127" s="1">
        <f ca="1">IFERROR(__xludf.DUMMYFUNCTION("""COMPUTED_VALUE"""),2.95)</f>
        <v>2.95</v>
      </c>
      <c r="J127" s="1" t="str">
        <f ca="1">IFERROR(__xludf.DUMMYFUNCTION("""COMPUTED_VALUE"""),"LADIES &amp; GENTLEMEN METAL SIGN")</f>
        <v>LADIES &amp; GENTLEMEN METAL SIGN</v>
      </c>
      <c r="K127" s="1">
        <f ca="1">IFERROR(__xludf.DUMMYFUNCTION("""COMPUTED_VALUE"""),12)</f>
        <v>12</v>
      </c>
      <c r="L127" s="1">
        <f ca="1">IFERROR(__xludf.DUMMYFUNCTION("""COMPUTED_VALUE"""),2.55)</f>
        <v>2.5499999999999998</v>
      </c>
      <c r="T127" s="1">
        <f ca="1">IFERROR(__xludf.DUMMYFUNCTION("""COMPUTED_VALUE"""),489443)</f>
        <v>489443</v>
      </c>
      <c r="U127" s="1">
        <f ca="1">IFERROR(__xludf.DUMMYFUNCTION("""COMPUTED_VALUE"""),30.5999999999999)</f>
        <v>30.599999999999898</v>
      </c>
    </row>
    <row r="128" spans="1:21" ht="12.75" x14ac:dyDescent="0.2">
      <c r="A128" s="3">
        <f ca="1">IFERROR(__xludf.DUMMYFUNCTION("""COMPUTED_VALUE"""),40148.4097222222)</f>
        <v>40148.409722222197</v>
      </c>
      <c r="B128" s="1">
        <f ca="1">IFERROR(__xludf.DUMMYFUNCTION("""COMPUTED_VALUE"""),2.1)</f>
        <v>2.1</v>
      </c>
      <c r="E128" s="1" t="str">
        <f ca="1">IFERROR(__xludf.DUMMYFUNCTION("""COMPUTED_VALUE"""),"PAPER BUNTING WHITE LACE")</f>
        <v>PAPER BUNTING WHITE LACE</v>
      </c>
      <c r="F128" s="1">
        <f ca="1">IFERROR(__xludf.DUMMYFUNCTION("""COMPUTED_VALUE"""),12)</f>
        <v>12</v>
      </c>
      <c r="G128" s="1">
        <f ca="1">IFERROR(__xludf.DUMMYFUNCTION("""COMPUTED_VALUE"""),2.95)</f>
        <v>2.95</v>
      </c>
      <c r="J128" s="1" t="str">
        <f ca="1">IFERROR(__xludf.DUMMYFUNCTION("""COMPUTED_VALUE"""),"RETRO RED SPOTTY WASHING UP GLOVES")</f>
        <v>RETRO RED SPOTTY WASHING UP GLOVES</v>
      </c>
      <c r="K128" s="1">
        <f ca="1">IFERROR(__xludf.DUMMYFUNCTION("""COMPUTED_VALUE"""),6)</f>
        <v>6</v>
      </c>
      <c r="L128" s="1">
        <f ca="1">IFERROR(__xludf.DUMMYFUNCTION("""COMPUTED_VALUE"""),2.1)</f>
        <v>2.1</v>
      </c>
      <c r="T128" s="1">
        <f ca="1">IFERROR(__xludf.DUMMYFUNCTION("""COMPUTED_VALUE"""),489443)</f>
        <v>489443</v>
      </c>
      <c r="U128" s="1">
        <f ca="1">IFERROR(__xludf.DUMMYFUNCTION("""COMPUTED_VALUE"""),12.6)</f>
        <v>12.6</v>
      </c>
    </row>
    <row r="129" spans="1:21" ht="12.75" x14ac:dyDescent="0.2">
      <c r="A129" s="3">
        <f ca="1">IFERROR(__xludf.DUMMYFUNCTION("""COMPUTED_VALUE"""),40148.4097222222)</f>
        <v>40148.409722222197</v>
      </c>
      <c r="B129" s="1">
        <f ca="1">IFERROR(__xludf.DUMMYFUNCTION("""COMPUTED_VALUE"""),2.95)</f>
        <v>2.95</v>
      </c>
      <c r="E129" s="1" t="str">
        <f ca="1">IFERROR(__xludf.DUMMYFUNCTION("""COMPUTED_VALUE"""),"PAPER CHAIN KIT RETRO SPOT")</f>
        <v>PAPER CHAIN KIT RETRO SPOT</v>
      </c>
      <c r="F129" s="1">
        <f ca="1">IFERROR(__xludf.DUMMYFUNCTION("""COMPUTED_VALUE"""),12)</f>
        <v>12</v>
      </c>
      <c r="G129" s="1">
        <f ca="1">IFERROR(__xludf.DUMMYFUNCTION("""COMPUTED_VALUE"""),2.95)</f>
        <v>2.95</v>
      </c>
      <c r="J129" s="1" t="str">
        <f ca="1">IFERROR(__xludf.DUMMYFUNCTION("""COMPUTED_VALUE"""),"RED SPOTTY OVEN GLOVE DOUBLE")</f>
        <v>RED SPOTTY OVEN GLOVE DOUBLE</v>
      </c>
      <c r="K129" s="1">
        <f ca="1">IFERROR(__xludf.DUMMYFUNCTION("""COMPUTED_VALUE"""),6)</f>
        <v>6</v>
      </c>
      <c r="L129" s="1">
        <f ca="1">IFERROR(__xludf.DUMMYFUNCTION("""COMPUTED_VALUE"""),2.95)</f>
        <v>2.95</v>
      </c>
      <c r="T129" s="1">
        <f ca="1">IFERROR(__xludf.DUMMYFUNCTION("""COMPUTED_VALUE"""),489443)</f>
        <v>489443</v>
      </c>
      <c r="U129" s="1">
        <f ca="1">IFERROR(__xludf.DUMMYFUNCTION("""COMPUTED_VALUE"""),17.7)</f>
        <v>17.7</v>
      </c>
    </row>
    <row r="130" spans="1:21" ht="12.75" x14ac:dyDescent="0.2">
      <c r="A130" s="3">
        <f ca="1">IFERROR(__xludf.DUMMYFUNCTION("""COMPUTED_VALUE"""),40148.4131944444)</f>
        <v>40148.413194444402</v>
      </c>
      <c r="B130" s="1">
        <f ca="1">IFERROR(__xludf.DUMMYFUNCTION("""COMPUTED_VALUE"""),141)</f>
        <v>141</v>
      </c>
      <c r="E130" s="1" t="str">
        <f ca="1">IFERROR(__xludf.DUMMYFUNCTION("""COMPUTED_VALUE"""),"SAVE THE PLANET MUG")</f>
        <v>SAVE THE PLANET MUG</v>
      </c>
      <c r="F130" s="1">
        <f ca="1">IFERROR(__xludf.DUMMYFUNCTION("""COMPUTED_VALUE"""),12)</f>
        <v>12</v>
      </c>
      <c r="G130" s="1">
        <f ca="1">IFERROR(__xludf.DUMMYFUNCTION("""COMPUTED_VALUE"""),1.25)</f>
        <v>1.25</v>
      </c>
      <c r="J130" s="1" t="str">
        <f ca="1">IFERROR(__xludf.DUMMYFUNCTION("""COMPUTED_VALUE"""),"POSTAGE")</f>
        <v>POSTAGE</v>
      </c>
      <c r="K130" s="1">
        <f ca="1">IFERROR(__xludf.DUMMYFUNCTION("""COMPUTED_VALUE"""),1)</f>
        <v>1</v>
      </c>
      <c r="L130" s="1">
        <f ca="1">IFERROR(__xludf.DUMMYFUNCTION("""COMPUTED_VALUE"""),141)</f>
        <v>141</v>
      </c>
      <c r="T130" s="1">
        <f ca="1">IFERROR(__xludf.DUMMYFUNCTION("""COMPUTED_VALUE"""),489444)</f>
        <v>489444</v>
      </c>
      <c r="U130" s="1">
        <f ca="1">IFERROR(__xludf.DUMMYFUNCTION("""COMPUTED_VALUE"""),141)</f>
        <v>141</v>
      </c>
    </row>
    <row r="131" spans="1:21" ht="12.75" x14ac:dyDescent="0.2">
      <c r="A131" s="3">
        <f ca="1">IFERROR(__xludf.DUMMYFUNCTION("""COMPUTED_VALUE"""),40148.4145833333)</f>
        <v>40148.414583333302</v>
      </c>
      <c r="B131" s="1">
        <f ca="1">IFERROR(__xludf.DUMMYFUNCTION("""COMPUTED_VALUE"""),0.38)</f>
        <v>0.38</v>
      </c>
      <c r="E131" s="1" t="str">
        <f ca="1">IFERROR(__xludf.DUMMYFUNCTION("""COMPUTED_VALUE"""),"ANTIQUE SILVER TEA GLASS ETCHED")</f>
        <v>ANTIQUE SILVER TEA GLASS ETCHED</v>
      </c>
      <c r="F131" s="1">
        <f ca="1">IFERROR(__xludf.DUMMYFUNCTION("""COMPUTED_VALUE"""),12)</f>
        <v>12</v>
      </c>
      <c r="G131" s="1">
        <f ca="1">IFERROR(__xludf.DUMMYFUNCTION("""COMPUTED_VALUE"""),1.25)</f>
        <v>1.25</v>
      </c>
      <c r="J131" s="1" t="str">
        <f ca="1">IFERROR(__xludf.DUMMYFUNCTION("""COMPUTED_VALUE"""),"FOLKART BAUBLE CHRISTMAS DECORATION")</f>
        <v>FOLKART BAUBLE CHRISTMAS DECORATION</v>
      </c>
      <c r="K131" s="1">
        <f ca="1">IFERROR(__xludf.DUMMYFUNCTION("""COMPUTED_VALUE"""),48)</f>
        <v>48</v>
      </c>
      <c r="L131" s="1">
        <f ca="1">IFERROR(__xludf.DUMMYFUNCTION("""COMPUTED_VALUE"""),0.38)</f>
        <v>0.38</v>
      </c>
      <c r="T131" s="1">
        <f ca="1">IFERROR(__xludf.DUMMYFUNCTION("""COMPUTED_VALUE"""),489445)</f>
        <v>489445</v>
      </c>
      <c r="U131" s="1">
        <f ca="1">IFERROR(__xludf.DUMMYFUNCTION("""COMPUTED_VALUE"""),18.24)</f>
        <v>18.239999999999998</v>
      </c>
    </row>
    <row r="132" spans="1:21" ht="12.75" x14ac:dyDescent="0.2">
      <c r="A132" s="3">
        <f ca="1">IFERROR(__xludf.DUMMYFUNCTION("""COMPUTED_VALUE"""),40148.4145833333)</f>
        <v>40148.414583333302</v>
      </c>
      <c r="B132" s="1">
        <f ca="1">IFERROR(__xludf.DUMMYFUNCTION("""COMPUTED_VALUE"""),0.85)</f>
        <v>0.85</v>
      </c>
      <c r="E132" s="1" t="str">
        <f ca="1">IFERROR(__xludf.DUMMYFUNCTION("""COMPUTED_VALUE"""),"PAPER BUNTING RETRO SPOTS")</f>
        <v>PAPER BUNTING RETRO SPOTS</v>
      </c>
      <c r="F132" s="1">
        <f ca="1">IFERROR(__xludf.DUMMYFUNCTION("""COMPUTED_VALUE"""),12)</f>
        <v>12</v>
      </c>
      <c r="G132" s="1">
        <f ca="1">IFERROR(__xludf.DUMMYFUNCTION("""COMPUTED_VALUE"""),2.95)</f>
        <v>2.95</v>
      </c>
      <c r="J132" s="1" t="str">
        <f ca="1">IFERROR(__xludf.DUMMYFUNCTION("""COMPUTED_VALUE"""),"BIRD DECORATION RED SPOT")</f>
        <v>BIRD DECORATION RED SPOT</v>
      </c>
      <c r="K132" s="1">
        <f ca="1">IFERROR(__xludf.DUMMYFUNCTION("""COMPUTED_VALUE"""),24)</f>
        <v>24</v>
      </c>
      <c r="L132" s="1">
        <f ca="1">IFERROR(__xludf.DUMMYFUNCTION("""COMPUTED_VALUE"""),0.85)</f>
        <v>0.85</v>
      </c>
      <c r="T132" s="1">
        <f ca="1">IFERROR(__xludf.DUMMYFUNCTION("""COMPUTED_VALUE"""),489445)</f>
        <v>489445</v>
      </c>
      <c r="U132" s="1">
        <f ca="1">IFERROR(__xludf.DUMMYFUNCTION("""COMPUTED_VALUE"""),20.4)</f>
        <v>20.399999999999999</v>
      </c>
    </row>
    <row r="133" spans="1:21" ht="12.75" x14ac:dyDescent="0.2">
      <c r="A133" s="3">
        <f ca="1">IFERROR(__xludf.DUMMYFUNCTION("""COMPUTED_VALUE"""),40148.4145833333)</f>
        <v>40148.414583333302</v>
      </c>
      <c r="B133" s="1">
        <f ca="1">IFERROR(__xludf.DUMMYFUNCTION("""COMPUTED_VALUE"""),0.85)</f>
        <v>0.85</v>
      </c>
      <c r="E133" s="1" t="str">
        <f ca="1">IFERROR(__xludf.DUMMYFUNCTION("""COMPUTED_VALUE"""),"CREAM FELT EASTER EGG BASKET")</f>
        <v>CREAM FELT EASTER EGG BASKET</v>
      </c>
      <c r="F133" s="1">
        <f ca="1">IFERROR(__xludf.DUMMYFUNCTION("""COMPUTED_VALUE"""),6)</f>
        <v>6</v>
      </c>
      <c r="G133" s="1">
        <f ca="1">IFERROR(__xludf.DUMMYFUNCTION("""COMPUTED_VALUE"""),1.65)</f>
        <v>1.65</v>
      </c>
      <c r="J133" s="1" t="str">
        <f ca="1">IFERROR(__xludf.DUMMYFUNCTION("""COMPUTED_VALUE"""),"LOVEBIRD HANGING DECORATION WHITE")</f>
        <v>LOVEBIRD HANGING DECORATION WHITE</v>
      </c>
      <c r="K133" s="1">
        <f ca="1">IFERROR(__xludf.DUMMYFUNCTION("""COMPUTED_VALUE"""),24)</f>
        <v>24</v>
      </c>
      <c r="L133" s="1">
        <f ca="1">IFERROR(__xludf.DUMMYFUNCTION("""COMPUTED_VALUE"""),0.85)</f>
        <v>0.85</v>
      </c>
      <c r="T133" s="1">
        <f ca="1">IFERROR(__xludf.DUMMYFUNCTION("""COMPUTED_VALUE"""),489445)</f>
        <v>489445</v>
      </c>
      <c r="U133" s="1">
        <f ca="1">IFERROR(__xludf.DUMMYFUNCTION("""COMPUTED_VALUE"""),20.4)</f>
        <v>20.399999999999999</v>
      </c>
    </row>
    <row r="134" spans="1:21" ht="12.75" x14ac:dyDescent="0.2">
      <c r="A134" s="3">
        <f ca="1">IFERROR(__xludf.DUMMYFUNCTION("""COMPUTED_VALUE"""),40148.4145833333)</f>
        <v>40148.414583333302</v>
      </c>
      <c r="B134" s="1">
        <f ca="1">IFERROR(__xludf.DUMMYFUNCTION("""COMPUTED_VALUE"""),0.65)</f>
        <v>0.65</v>
      </c>
      <c r="E134" s="1" t="str">
        <f ca="1">IFERROR(__xludf.DUMMYFUNCTION("""COMPUTED_VALUE"""),"POTTING SHED TWINE")</f>
        <v>POTTING SHED TWINE</v>
      </c>
      <c r="F134" s="1">
        <f ca="1">IFERROR(__xludf.DUMMYFUNCTION("""COMPUTED_VALUE"""),6)</f>
        <v>6</v>
      </c>
      <c r="G134" s="1">
        <f ca="1">IFERROR(__xludf.DUMMYFUNCTION("""COMPUTED_VALUE"""),2.1)</f>
        <v>2.1</v>
      </c>
      <c r="J134" s="1" t="str">
        <f ca="1">IFERROR(__xludf.DUMMYFUNCTION("""COMPUTED_VALUE"""),"SET/6 STRAWBERRY PAPER CUPS")</f>
        <v>SET/6 STRAWBERRY PAPER CUPS</v>
      </c>
      <c r="K134" s="1">
        <f ca="1">IFERROR(__xludf.DUMMYFUNCTION("""COMPUTED_VALUE"""),24)</f>
        <v>24</v>
      </c>
      <c r="L134" s="1">
        <f ca="1">IFERROR(__xludf.DUMMYFUNCTION("""COMPUTED_VALUE"""),0.65)</f>
        <v>0.65</v>
      </c>
      <c r="T134" s="1">
        <f ca="1">IFERROR(__xludf.DUMMYFUNCTION("""COMPUTED_VALUE"""),489445)</f>
        <v>489445</v>
      </c>
      <c r="U134" s="1">
        <f ca="1">IFERROR(__xludf.DUMMYFUNCTION("""COMPUTED_VALUE"""),15.6)</f>
        <v>15.6</v>
      </c>
    </row>
    <row r="135" spans="1:21" ht="12.75" x14ac:dyDescent="0.2">
      <c r="A135" s="3">
        <f ca="1">IFERROR(__xludf.DUMMYFUNCTION("""COMPUTED_VALUE"""),40148.4145833333)</f>
        <v>40148.414583333302</v>
      </c>
      <c r="B135" s="1">
        <f ca="1">IFERROR(__xludf.DUMMYFUNCTION("""COMPUTED_VALUE"""),0.65)</f>
        <v>0.65</v>
      </c>
      <c r="E135" s="1" t="str">
        <f ca="1">IFERROR(__xludf.DUMMYFUNCTION("""COMPUTED_VALUE"""),"POTTING SHED SOW 'N' GROW SET")</f>
        <v>POTTING SHED SOW 'N' GROW SET</v>
      </c>
      <c r="F135" s="1">
        <f ca="1">IFERROR(__xludf.DUMMYFUNCTION("""COMPUTED_VALUE"""),4)</f>
        <v>4</v>
      </c>
      <c r="G135" s="1">
        <f ca="1">IFERROR(__xludf.DUMMYFUNCTION("""COMPUTED_VALUE"""),4.25)</f>
        <v>4.25</v>
      </c>
      <c r="J135" s="1" t="str">
        <f ca="1">IFERROR(__xludf.DUMMYFUNCTION("""COMPUTED_VALUE"""),"SET/6 WOODLAND PAPER CUPS")</f>
        <v>SET/6 WOODLAND PAPER CUPS</v>
      </c>
      <c r="K135" s="1">
        <f ca="1">IFERROR(__xludf.DUMMYFUNCTION("""COMPUTED_VALUE"""),24)</f>
        <v>24</v>
      </c>
      <c r="L135" s="1">
        <f ca="1">IFERROR(__xludf.DUMMYFUNCTION("""COMPUTED_VALUE"""),0.65)</f>
        <v>0.65</v>
      </c>
      <c r="T135" s="1">
        <f ca="1">IFERROR(__xludf.DUMMYFUNCTION("""COMPUTED_VALUE"""),489445)</f>
        <v>489445</v>
      </c>
      <c r="U135" s="1">
        <f ca="1">IFERROR(__xludf.DUMMYFUNCTION("""COMPUTED_VALUE"""),15.6)</f>
        <v>15.6</v>
      </c>
    </row>
    <row r="136" spans="1:21" ht="12.75" x14ac:dyDescent="0.2">
      <c r="A136" s="3">
        <f ca="1">IFERROR(__xludf.DUMMYFUNCTION("""COMPUTED_VALUE"""),40148.4145833333)</f>
        <v>40148.414583333302</v>
      </c>
      <c r="B136" s="1">
        <f ca="1">IFERROR(__xludf.DUMMYFUNCTION("""COMPUTED_VALUE"""),1.25)</f>
        <v>1.25</v>
      </c>
      <c r="E136" s="1" t="str">
        <f ca="1">IFERROR(__xludf.DUMMYFUNCTION("""COMPUTED_VALUE"""),"PURPLE SWEETHEART BRACELET")</f>
        <v>PURPLE SWEETHEART BRACELET</v>
      </c>
      <c r="F136" s="1">
        <f ca="1">IFERROR(__xludf.DUMMYFUNCTION("""COMPUTED_VALUE"""),-3)</f>
        <v>-3</v>
      </c>
      <c r="G136" s="1">
        <f ca="1">IFERROR(__xludf.DUMMYFUNCTION("""COMPUTED_VALUE"""),4.25)</f>
        <v>4.25</v>
      </c>
      <c r="J136" s="1" t="str">
        <f ca="1">IFERROR(__xludf.DUMMYFUNCTION("""COMPUTED_VALUE"""),"GARLAND , WOODEN  "" HAPPY EASTER""")</f>
        <v>GARLAND , WOODEN  " HAPPY EASTER"</v>
      </c>
      <c r="K136" s="1">
        <f ca="1">IFERROR(__xludf.DUMMYFUNCTION("""COMPUTED_VALUE"""),24)</f>
        <v>24</v>
      </c>
      <c r="L136" s="1">
        <f ca="1">IFERROR(__xludf.DUMMYFUNCTION("""COMPUTED_VALUE"""),1.25)</f>
        <v>1.25</v>
      </c>
      <c r="T136" s="1">
        <f ca="1">IFERROR(__xludf.DUMMYFUNCTION("""COMPUTED_VALUE"""),489445)</f>
        <v>489445</v>
      </c>
      <c r="U136" s="1">
        <f ca="1">IFERROR(__xludf.DUMMYFUNCTION("""COMPUTED_VALUE"""),30)</f>
        <v>30</v>
      </c>
    </row>
    <row r="137" spans="1:21" ht="12.75" x14ac:dyDescent="0.2">
      <c r="A137" s="3">
        <f ca="1">IFERROR(__xludf.DUMMYFUNCTION("""COMPUTED_VALUE"""),40148.4145833333)</f>
        <v>40148.414583333302</v>
      </c>
      <c r="B137" s="1">
        <f ca="1">IFERROR(__xludf.DUMMYFUNCTION("""COMPUTED_VALUE"""),0.85)</f>
        <v>0.85</v>
      </c>
      <c r="E137" s="1" t="str">
        <f ca="1">IFERROR(__xludf.DUMMYFUNCTION("""COMPUTED_VALUE"""),"PINK SWEETHEART BRACELET")</f>
        <v>PINK SWEETHEART BRACELET</v>
      </c>
      <c r="F137" s="1">
        <f ca="1">IFERROR(__xludf.DUMMYFUNCTION("""COMPUTED_VALUE"""),-3)</f>
        <v>-3</v>
      </c>
      <c r="G137" s="1">
        <f ca="1">IFERROR(__xludf.DUMMYFUNCTION("""COMPUTED_VALUE"""),4.25)</f>
        <v>4.25</v>
      </c>
      <c r="J137" s="1" t="str">
        <f ca="1">IFERROR(__xludf.DUMMYFUNCTION("""COMPUTED_VALUE"""),"PINK FELT HANGING HEART W FLOWER")</f>
        <v>PINK FELT HANGING HEART W FLOWER</v>
      </c>
      <c r="K137" s="1">
        <f ca="1">IFERROR(__xludf.DUMMYFUNCTION("""COMPUTED_VALUE"""),12)</f>
        <v>12</v>
      </c>
      <c r="L137" s="1">
        <f ca="1">IFERROR(__xludf.DUMMYFUNCTION("""COMPUTED_VALUE"""),0.85)</f>
        <v>0.85</v>
      </c>
      <c r="T137" s="1">
        <f ca="1">IFERROR(__xludf.DUMMYFUNCTION("""COMPUTED_VALUE"""),489445)</f>
        <v>489445</v>
      </c>
      <c r="U137" s="1">
        <f ca="1">IFERROR(__xludf.DUMMYFUNCTION("""COMPUTED_VALUE"""),10.2)</f>
        <v>10.199999999999999</v>
      </c>
    </row>
    <row r="138" spans="1:21" ht="12.75" x14ac:dyDescent="0.2">
      <c r="A138" s="3">
        <f ca="1">IFERROR(__xludf.DUMMYFUNCTION("""COMPUTED_VALUE"""),40148.4145833333)</f>
        <v>40148.414583333302</v>
      </c>
      <c r="B138" s="1">
        <f ca="1">IFERROR(__xludf.DUMMYFUNCTION("""COMPUTED_VALUE"""),0.85)</f>
        <v>0.85</v>
      </c>
      <c r="E138" s="1" t="str">
        <f ca="1">IFERROR(__xludf.DUMMYFUNCTION("""COMPUTED_VALUE"""),"BLACK SWEETHEART BRACELET")</f>
        <v>BLACK SWEETHEART BRACELET</v>
      </c>
      <c r="F138" s="1">
        <f ca="1">IFERROR(__xludf.DUMMYFUNCTION("""COMPUTED_VALUE"""),-3)</f>
        <v>-3</v>
      </c>
      <c r="G138" s="1">
        <f ca="1">IFERROR(__xludf.DUMMYFUNCTION("""COMPUTED_VALUE"""),4.25)</f>
        <v>4.25</v>
      </c>
      <c r="J138" s="1" t="str">
        <f ca="1">IFERROR(__xludf.DUMMYFUNCTION("""COMPUTED_VALUE"""),"BLUE FELT HANGING HEART W FLOWER")</f>
        <v>BLUE FELT HANGING HEART W FLOWER</v>
      </c>
      <c r="K138" s="1">
        <f ca="1">IFERROR(__xludf.DUMMYFUNCTION("""COMPUTED_VALUE"""),12)</f>
        <v>12</v>
      </c>
      <c r="L138" s="1">
        <f ca="1">IFERROR(__xludf.DUMMYFUNCTION("""COMPUTED_VALUE"""),0.85)</f>
        <v>0.85</v>
      </c>
      <c r="T138" s="1">
        <f ca="1">IFERROR(__xludf.DUMMYFUNCTION("""COMPUTED_VALUE"""),489445)</f>
        <v>489445</v>
      </c>
      <c r="U138" s="1">
        <f ca="1">IFERROR(__xludf.DUMMYFUNCTION("""COMPUTED_VALUE"""),10.2)</f>
        <v>10.199999999999999</v>
      </c>
    </row>
    <row r="139" spans="1:21" ht="12.75" x14ac:dyDescent="0.2">
      <c r="A139" s="3">
        <f ca="1">IFERROR(__xludf.DUMMYFUNCTION("""COMPUTED_VALUE"""),40148.4145833333)</f>
        <v>40148.414583333302</v>
      </c>
      <c r="B139" s="1">
        <f ca="1">IFERROR(__xludf.DUMMYFUNCTION("""COMPUTED_VALUE"""),0.85)</f>
        <v>0.85</v>
      </c>
      <c r="E139" s="1" t="str">
        <f ca="1">IFERROR(__xludf.DUMMYFUNCTION("""COMPUTED_VALUE"""),"GREEN SWEETHEART BRACELET")</f>
        <v>GREEN SWEETHEART BRACELET</v>
      </c>
      <c r="F139" s="1">
        <f ca="1">IFERROR(__xludf.DUMMYFUNCTION("""COMPUTED_VALUE"""),-3)</f>
        <v>-3</v>
      </c>
      <c r="G139" s="1">
        <f ca="1">IFERROR(__xludf.DUMMYFUNCTION("""COMPUTED_VALUE"""),4.25)</f>
        <v>4.25</v>
      </c>
      <c r="J139" s="1" t="str">
        <f ca="1">IFERROR(__xludf.DUMMYFUNCTION("""COMPUTED_VALUE"""),"PARTY CONE CHRISTMAS DECORATION")</f>
        <v>PARTY CONE CHRISTMAS DECORATION</v>
      </c>
      <c r="K139" s="1">
        <f ca="1">IFERROR(__xludf.DUMMYFUNCTION("""COMPUTED_VALUE"""),12)</f>
        <v>12</v>
      </c>
      <c r="L139" s="1">
        <f ca="1">IFERROR(__xludf.DUMMYFUNCTION("""COMPUTED_VALUE"""),0.85)</f>
        <v>0.85</v>
      </c>
      <c r="T139" s="1">
        <f ca="1">IFERROR(__xludf.DUMMYFUNCTION("""COMPUTED_VALUE"""),489445)</f>
        <v>489445</v>
      </c>
      <c r="U139" s="1">
        <f ca="1">IFERROR(__xludf.DUMMYFUNCTION("""COMPUTED_VALUE"""),10.2)</f>
        <v>10.199999999999999</v>
      </c>
    </row>
    <row r="140" spans="1:21" ht="12.75" x14ac:dyDescent="0.2">
      <c r="A140" s="3">
        <f ca="1">IFERROR(__xludf.DUMMYFUNCTION("""COMPUTED_VALUE"""),40148.4145833333)</f>
        <v>40148.414583333302</v>
      </c>
      <c r="B140" s="1">
        <f ca="1">IFERROR(__xludf.DUMMYFUNCTION("""COMPUTED_VALUE"""),1.25)</f>
        <v>1.25</v>
      </c>
      <c r="E140" s="1" t="str">
        <f ca="1">IFERROR(__xludf.DUMMYFUNCTION("""COMPUTED_VALUE"""),"BLUE SWEETHEART BRACELET")</f>
        <v>BLUE SWEETHEART BRACELET</v>
      </c>
      <c r="F140" s="1">
        <f ca="1">IFERROR(__xludf.DUMMYFUNCTION("""COMPUTED_VALUE"""),-3)</f>
        <v>-3</v>
      </c>
      <c r="G140" s="1">
        <f ca="1">IFERROR(__xludf.DUMMYFUNCTION("""COMPUTED_VALUE"""),4.25)</f>
        <v>4.25</v>
      </c>
      <c r="J140" s="1" t="str">
        <f ca="1">IFERROR(__xludf.DUMMYFUNCTION("""COMPUTED_VALUE"""),"PARTY CONES CANDY ASSORTED")</f>
        <v>PARTY CONES CANDY ASSORTED</v>
      </c>
      <c r="K140" s="1">
        <f ca="1">IFERROR(__xludf.DUMMYFUNCTION("""COMPUTED_VALUE"""),12)</f>
        <v>12</v>
      </c>
      <c r="L140" s="1">
        <f ca="1">IFERROR(__xludf.DUMMYFUNCTION("""COMPUTED_VALUE"""),1.25)</f>
        <v>1.25</v>
      </c>
      <c r="T140" s="1">
        <f ca="1">IFERROR(__xludf.DUMMYFUNCTION("""COMPUTED_VALUE"""),489445)</f>
        <v>489445</v>
      </c>
      <c r="U140" s="1">
        <f ca="1">IFERROR(__xludf.DUMMYFUNCTION("""COMPUTED_VALUE"""),15)</f>
        <v>15</v>
      </c>
    </row>
    <row r="141" spans="1:21" ht="12.75" x14ac:dyDescent="0.2">
      <c r="A141" s="3">
        <f ca="1">IFERROR(__xludf.DUMMYFUNCTION("""COMPUTED_VALUE"""),40148.4145833333)</f>
        <v>40148.414583333302</v>
      </c>
      <c r="B141" s="1">
        <f ca="1">IFERROR(__xludf.DUMMYFUNCTION("""COMPUTED_VALUE"""),1.25)</f>
        <v>1.25</v>
      </c>
      <c r="E141" s="1" t="str">
        <f ca="1">IFERROR(__xludf.DUMMYFUNCTION("""COMPUTED_VALUE"""),"BLACK DIAMANTE EXPANDABLE RING")</f>
        <v>BLACK DIAMANTE EXPANDABLE RING</v>
      </c>
      <c r="F141" s="1">
        <f ca="1">IFERROR(__xludf.DUMMYFUNCTION("""COMPUTED_VALUE"""),-3)</f>
        <v>-3</v>
      </c>
      <c r="G141" s="1">
        <f ca="1">IFERROR(__xludf.DUMMYFUNCTION("""COMPUTED_VALUE"""),4.25)</f>
        <v>4.25</v>
      </c>
      <c r="J141" s="1" t="str">
        <f ca="1">IFERROR(__xludf.DUMMYFUNCTION("""COMPUTED_VALUE"""),"6 CROCHET STRAWBERRIES")</f>
        <v>6 CROCHET STRAWBERRIES</v>
      </c>
      <c r="K141" s="1">
        <f ca="1">IFERROR(__xludf.DUMMYFUNCTION("""COMPUTED_VALUE"""),12)</f>
        <v>12</v>
      </c>
      <c r="L141" s="1">
        <f ca="1">IFERROR(__xludf.DUMMYFUNCTION("""COMPUTED_VALUE"""),1.25)</f>
        <v>1.25</v>
      </c>
      <c r="T141" s="1">
        <f ca="1">IFERROR(__xludf.DUMMYFUNCTION("""COMPUTED_VALUE"""),489445)</f>
        <v>489445</v>
      </c>
      <c r="U141" s="1">
        <f ca="1">IFERROR(__xludf.DUMMYFUNCTION("""COMPUTED_VALUE"""),15)</f>
        <v>15</v>
      </c>
    </row>
    <row r="142" spans="1:21" ht="12.75" x14ac:dyDescent="0.2">
      <c r="A142" s="3">
        <f ca="1">IFERROR(__xludf.DUMMYFUNCTION("""COMPUTED_VALUE"""),40148.4145833333)</f>
        <v>40148.414583333302</v>
      </c>
      <c r="B142" s="1">
        <f ca="1">IFERROR(__xludf.DUMMYFUNCTION("""COMPUTED_VALUE"""),1.45)</f>
        <v>1.45</v>
      </c>
      <c r="E142" s="1" t="str">
        <f ca="1">IFERROR(__xludf.DUMMYFUNCTION("""COMPUTED_VALUE"""),"AMETHYST DIAMANTE EXPANDABLE RING")</f>
        <v>AMETHYST DIAMANTE EXPANDABLE RING</v>
      </c>
      <c r="F142" s="1">
        <f ca="1">IFERROR(__xludf.DUMMYFUNCTION("""COMPUTED_VALUE"""),-3)</f>
        <v>-3</v>
      </c>
      <c r="G142" s="1">
        <f ca="1">IFERROR(__xludf.DUMMYFUNCTION("""COMPUTED_VALUE"""),4.25)</f>
        <v>4.25</v>
      </c>
      <c r="J142" s="1" t="str">
        <f ca="1">IFERROR(__xludf.DUMMYFUNCTION("""COMPUTED_VALUE"""),"SET OF 72 PINK HEART PAPER DOILIES")</f>
        <v>SET OF 72 PINK HEART PAPER DOILIES</v>
      </c>
      <c r="K142" s="1">
        <f ca="1">IFERROR(__xludf.DUMMYFUNCTION("""COMPUTED_VALUE"""),12)</f>
        <v>12</v>
      </c>
      <c r="L142" s="1">
        <f ca="1">IFERROR(__xludf.DUMMYFUNCTION("""COMPUTED_VALUE"""),1.45)</f>
        <v>1.45</v>
      </c>
      <c r="T142" s="1">
        <f ca="1">IFERROR(__xludf.DUMMYFUNCTION("""COMPUTED_VALUE"""),489445)</f>
        <v>489445</v>
      </c>
      <c r="U142" s="1">
        <f ca="1">IFERROR(__xludf.DUMMYFUNCTION("""COMPUTED_VALUE"""),17.4)</f>
        <v>17.399999999999999</v>
      </c>
    </row>
    <row r="143" spans="1:21" ht="12.75" x14ac:dyDescent="0.2">
      <c r="A143" s="3">
        <f ca="1">IFERROR(__xludf.DUMMYFUNCTION("""COMPUTED_VALUE"""),40148.4145833333)</f>
        <v>40148.414583333302</v>
      </c>
      <c r="B143" s="1">
        <f ca="1">IFERROR(__xludf.DUMMYFUNCTION("""COMPUTED_VALUE"""),0.85)</f>
        <v>0.85</v>
      </c>
      <c r="E143" s="1" t="str">
        <f ca="1">IFERROR(__xludf.DUMMYFUNCTION("""COMPUTED_VALUE"""),"MIDNIGHT BLUE PAIR HEART HAIR SLIDE")</f>
        <v>MIDNIGHT BLUE PAIR HEART HAIR SLIDE</v>
      </c>
      <c r="F143" s="1">
        <f ca="1">IFERROR(__xludf.DUMMYFUNCTION("""COMPUTED_VALUE"""),-3)</f>
        <v>-3</v>
      </c>
      <c r="G143" s="1">
        <f ca="1">IFERROR(__xludf.DUMMYFUNCTION("""COMPUTED_VALUE"""),3.75)</f>
        <v>3.75</v>
      </c>
      <c r="J143" s="1" t="str">
        <f ca="1">IFERROR(__xludf.DUMMYFUNCTION("""COMPUTED_VALUE"""),"SET/6 WOODLAND PAPER PLATES")</f>
        <v>SET/6 WOODLAND PAPER PLATES</v>
      </c>
      <c r="K143" s="1">
        <f ca="1">IFERROR(__xludf.DUMMYFUNCTION("""COMPUTED_VALUE"""),12)</f>
        <v>12</v>
      </c>
      <c r="L143" s="1">
        <f ca="1">IFERROR(__xludf.DUMMYFUNCTION("""COMPUTED_VALUE"""),0.85)</f>
        <v>0.85</v>
      </c>
      <c r="T143" s="1">
        <f ca="1">IFERROR(__xludf.DUMMYFUNCTION("""COMPUTED_VALUE"""),489445)</f>
        <v>489445</v>
      </c>
      <c r="U143" s="1">
        <f ca="1">IFERROR(__xludf.DUMMYFUNCTION("""COMPUTED_VALUE"""),10.2)</f>
        <v>10.199999999999999</v>
      </c>
    </row>
    <row r="144" spans="1:21" ht="12.75" x14ac:dyDescent="0.2">
      <c r="A144" s="3">
        <f ca="1">IFERROR(__xludf.DUMMYFUNCTION("""COMPUTED_VALUE"""),40148.4145833333)</f>
        <v>40148.414583333302</v>
      </c>
      <c r="B144" s="1">
        <f ca="1">IFERROR(__xludf.DUMMYFUNCTION("""COMPUTED_VALUE"""),1.95)</f>
        <v>1.95</v>
      </c>
      <c r="E144" s="1" t="str">
        <f ca="1">IFERROR(__xludf.DUMMYFUNCTION("""COMPUTED_VALUE"""),"CRYSTAL PAIR HEART HAIR SLIDES")</f>
        <v>CRYSTAL PAIR HEART HAIR SLIDES</v>
      </c>
      <c r="F144" s="1">
        <f ca="1">IFERROR(__xludf.DUMMYFUNCTION("""COMPUTED_VALUE"""),-3)</f>
        <v>-3</v>
      </c>
      <c r="G144" s="1">
        <f ca="1">IFERROR(__xludf.DUMMYFUNCTION("""COMPUTED_VALUE"""),3.75)</f>
        <v>3.75</v>
      </c>
      <c r="J144" s="1" t="str">
        <f ca="1">IFERROR(__xludf.DUMMYFUNCTION("""COMPUTED_VALUE"""),"JUMBO BAG PINK VINTAGE PAISLEY")</f>
        <v>JUMBO BAG PINK VINTAGE PAISLEY</v>
      </c>
      <c r="K144" s="1">
        <f ca="1">IFERROR(__xludf.DUMMYFUNCTION("""COMPUTED_VALUE"""),10)</f>
        <v>10</v>
      </c>
      <c r="L144" s="1">
        <f ca="1">IFERROR(__xludf.DUMMYFUNCTION("""COMPUTED_VALUE"""),1.95)</f>
        <v>1.95</v>
      </c>
      <c r="T144" s="1">
        <f ca="1">IFERROR(__xludf.DUMMYFUNCTION("""COMPUTED_VALUE"""),489445)</f>
        <v>489445</v>
      </c>
      <c r="U144" s="1">
        <f ca="1">IFERROR(__xludf.DUMMYFUNCTION("""COMPUTED_VALUE"""),19.5)</f>
        <v>19.5</v>
      </c>
    </row>
    <row r="145" spans="1:21" ht="12.75" x14ac:dyDescent="0.2">
      <c r="A145" s="3">
        <f ca="1">IFERROR(__xludf.DUMMYFUNCTION("""COMPUTED_VALUE"""),40148.4145833333)</f>
        <v>40148.414583333302</v>
      </c>
      <c r="B145" s="1">
        <f ca="1">IFERROR(__xludf.DUMMYFUNCTION("""COMPUTED_VALUE"""),2.95)</f>
        <v>2.95</v>
      </c>
      <c r="E145" s="1" t="str">
        <f ca="1">IFERROR(__xludf.DUMMYFUNCTION("""COMPUTED_VALUE"""),"ROSE COLOUR PAIR HEART HAIR SLIDES")</f>
        <v>ROSE COLOUR PAIR HEART HAIR SLIDES</v>
      </c>
      <c r="F145" s="1">
        <f ca="1">IFERROR(__xludf.DUMMYFUNCTION("""COMPUTED_VALUE"""),-3)</f>
        <v>-3</v>
      </c>
      <c r="G145" s="1">
        <f ca="1">IFERROR(__xludf.DUMMYFUNCTION("""COMPUTED_VALUE"""),3.75)</f>
        <v>3.75</v>
      </c>
      <c r="J145" s="1" t="str">
        <f ca="1">IFERROR(__xludf.DUMMYFUNCTION("""COMPUTED_VALUE"""),"HEART STRING MEMO HOLDER HANGING")</f>
        <v>HEART STRING MEMO HOLDER HANGING</v>
      </c>
      <c r="K145" s="1">
        <f ca="1">IFERROR(__xludf.DUMMYFUNCTION("""COMPUTED_VALUE"""),6)</f>
        <v>6</v>
      </c>
      <c r="L145" s="1">
        <f ca="1">IFERROR(__xludf.DUMMYFUNCTION("""COMPUTED_VALUE"""),2.95)</f>
        <v>2.95</v>
      </c>
      <c r="T145" s="1">
        <f ca="1">IFERROR(__xludf.DUMMYFUNCTION("""COMPUTED_VALUE"""),489445)</f>
        <v>489445</v>
      </c>
      <c r="U145" s="1">
        <f ca="1">IFERROR(__xludf.DUMMYFUNCTION("""COMPUTED_VALUE"""),17.7)</f>
        <v>17.7</v>
      </c>
    </row>
    <row r="146" spans="1:21" ht="12.75" x14ac:dyDescent="0.2">
      <c r="A146" s="3">
        <f ca="1">IFERROR(__xludf.DUMMYFUNCTION("""COMPUTED_VALUE"""),40148.4145833333)</f>
        <v>40148.414583333302</v>
      </c>
      <c r="B146" s="1">
        <f ca="1">IFERROR(__xludf.DUMMYFUNCTION("""COMPUTED_VALUE"""),2.55)</f>
        <v>2.5499999999999998</v>
      </c>
      <c r="E146" s="1" t="str">
        <f ca="1">IFERROR(__xludf.DUMMYFUNCTION("""COMPUTED_VALUE"""),"PINK ENAMEL+GLASS HAIR COMB")</f>
        <v>PINK ENAMEL+GLASS HAIR COMB</v>
      </c>
      <c r="F146" s="1">
        <f ca="1">IFERROR(__xludf.DUMMYFUNCTION("""COMPUTED_VALUE"""),-3)</f>
        <v>-3</v>
      </c>
      <c r="G146" s="1">
        <f ca="1">IFERROR(__xludf.DUMMYFUNCTION("""COMPUTED_VALUE"""),2.1)</f>
        <v>2.1</v>
      </c>
      <c r="J146" s="1" t="str">
        <f ca="1">IFERROR(__xludf.DUMMYFUNCTION("""COMPUTED_VALUE"""),"WHITE TALL PORCELAIN T-LIGHT HOLDER")</f>
        <v>WHITE TALL PORCELAIN T-LIGHT HOLDER</v>
      </c>
      <c r="K146" s="1">
        <f ca="1">IFERROR(__xludf.DUMMYFUNCTION("""COMPUTED_VALUE"""),6)</f>
        <v>6</v>
      </c>
      <c r="L146" s="1">
        <f ca="1">IFERROR(__xludf.DUMMYFUNCTION("""COMPUTED_VALUE"""),2.55)</f>
        <v>2.5499999999999998</v>
      </c>
      <c r="T146" s="1">
        <f ca="1">IFERROR(__xludf.DUMMYFUNCTION("""COMPUTED_VALUE"""),489445)</f>
        <v>489445</v>
      </c>
      <c r="U146" s="1">
        <f ca="1">IFERROR(__xludf.DUMMYFUNCTION("""COMPUTED_VALUE"""),15.2999999999999)</f>
        <v>15.299999999999899</v>
      </c>
    </row>
    <row r="147" spans="1:21" ht="12.75" x14ac:dyDescent="0.2">
      <c r="A147" s="3">
        <f ca="1">IFERROR(__xludf.DUMMYFUNCTION("""COMPUTED_VALUE"""),40148.4145833333)</f>
        <v>40148.414583333302</v>
      </c>
      <c r="B147" s="1">
        <f ca="1">IFERROR(__xludf.DUMMYFUNCTION("""COMPUTED_VALUE"""),4.95)</f>
        <v>4.95</v>
      </c>
      <c r="E147" s="1" t="str">
        <f ca="1">IFERROR(__xludf.DUMMYFUNCTION("""COMPUTED_VALUE"""),"PURPLE ENAMEL+GLASS HAIR COMB")</f>
        <v>PURPLE ENAMEL+GLASS HAIR COMB</v>
      </c>
      <c r="F147" s="1">
        <f ca="1">IFERROR(__xludf.DUMMYFUNCTION("""COMPUTED_VALUE"""),-3)</f>
        <v>-3</v>
      </c>
      <c r="G147" s="1">
        <f ca="1">IFERROR(__xludf.DUMMYFUNCTION("""COMPUTED_VALUE"""),2.1)</f>
        <v>2.1</v>
      </c>
      <c r="J147" s="1" t="str">
        <f ca="1">IFERROR(__xludf.DUMMYFUNCTION("""COMPUTED_VALUE"""),"BAKING SET 9 PIECE RETROSPOT")</f>
        <v>BAKING SET 9 PIECE RETROSPOT</v>
      </c>
      <c r="K147" s="1">
        <f ca="1">IFERROR(__xludf.DUMMYFUNCTION("""COMPUTED_VALUE"""),3)</f>
        <v>3</v>
      </c>
      <c r="L147" s="1">
        <f ca="1">IFERROR(__xludf.DUMMYFUNCTION("""COMPUTED_VALUE"""),4.95)</f>
        <v>4.95</v>
      </c>
      <c r="T147" s="1">
        <f ca="1">IFERROR(__xludf.DUMMYFUNCTION("""COMPUTED_VALUE"""),489445)</f>
        <v>489445</v>
      </c>
      <c r="U147" s="1">
        <f ca="1">IFERROR(__xludf.DUMMYFUNCTION("""COMPUTED_VALUE"""),14.85)</f>
        <v>14.85</v>
      </c>
    </row>
    <row r="148" spans="1:21" ht="12.75" x14ac:dyDescent="0.2">
      <c r="A148" s="3">
        <f ca="1">IFERROR(__xludf.DUMMYFUNCTION("""COMPUTED_VALUE"""),40148.4145833333)</f>
        <v>40148.414583333302</v>
      </c>
      <c r="B148" s="1">
        <f ca="1">IFERROR(__xludf.DUMMYFUNCTION("""COMPUTED_VALUE"""),9.95)</f>
        <v>9.9499999999999993</v>
      </c>
      <c r="E148" s="1" t="str">
        <f ca="1">IFERROR(__xludf.DUMMYFUNCTION("""COMPUTED_VALUE"""),"RED TOADSTOOL LED NIGHT LIGHT")</f>
        <v>RED TOADSTOOL LED NIGHT LIGHT</v>
      </c>
      <c r="F148" s="1">
        <f ca="1">IFERROR(__xludf.DUMMYFUNCTION("""COMPUTED_VALUE"""),12)</f>
        <v>12</v>
      </c>
      <c r="G148" s="1">
        <f ca="1">IFERROR(__xludf.DUMMYFUNCTION("""COMPUTED_VALUE"""),1.65)</f>
        <v>1.65</v>
      </c>
      <c r="J148" s="1" t="str">
        <f ca="1">IFERROR(__xludf.DUMMYFUNCTION("""COMPUTED_VALUE"""),"RETRO SPOT LAMP")</f>
        <v>RETRO SPOT LAMP</v>
      </c>
      <c r="K148" s="1">
        <f ca="1">IFERROR(__xludf.DUMMYFUNCTION("""COMPUTED_VALUE"""),2)</f>
        <v>2</v>
      </c>
      <c r="L148" s="1">
        <f ca="1">IFERROR(__xludf.DUMMYFUNCTION("""COMPUTED_VALUE"""),9.95)</f>
        <v>9.9499999999999993</v>
      </c>
      <c r="T148" s="1">
        <f ca="1">IFERROR(__xludf.DUMMYFUNCTION("""COMPUTED_VALUE"""),489445)</f>
        <v>489445</v>
      </c>
      <c r="U148" s="1">
        <f ca="1">IFERROR(__xludf.DUMMYFUNCTION("""COMPUTED_VALUE"""),19.9)</f>
        <v>19.899999999999999</v>
      </c>
    </row>
    <row r="149" spans="1:21" ht="12.75" x14ac:dyDescent="0.2">
      <c r="A149" s="3">
        <f ca="1">IFERROR(__xludf.DUMMYFUNCTION("""COMPUTED_VALUE"""),40148.4145833333)</f>
        <v>40148.414583333302</v>
      </c>
      <c r="B149" s="1">
        <f ca="1">IFERROR(__xludf.DUMMYFUNCTION("""COMPUTED_VALUE"""),12.75)</f>
        <v>12.75</v>
      </c>
      <c r="E149" s="1" t="str">
        <f ca="1">IFERROR(__xludf.DUMMYFUNCTION("""COMPUTED_VALUE"""),"3 PIECE JIGSAW TOADSTOOLS")</f>
        <v>3 PIECE JIGSAW TOADSTOOLS</v>
      </c>
      <c r="F149" s="1">
        <f ca="1">IFERROR(__xludf.DUMMYFUNCTION("""COMPUTED_VALUE"""),8)</f>
        <v>8</v>
      </c>
      <c r="G149" s="1">
        <f ca="1">IFERROR(__xludf.DUMMYFUNCTION("""COMPUTED_VALUE"""),1.65)</f>
        <v>1.65</v>
      </c>
      <c r="J149" s="1" t="str">
        <f ca="1">IFERROR(__xludf.DUMMYFUNCTION("""COMPUTED_VALUE"""),"EDWARDIAN TOILET ROLL UNIT")</f>
        <v>EDWARDIAN TOILET ROLL UNIT</v>
      </c>
      <c r="K149" s="1">
        <f ca="1">IFERROR(__xludf.DUMMYFUNCTION("""COMPUTED_VALUE"""),1)</f>
        <v>1</v>
      </c>
      <c r="L149" s="1">
        <f ca="1">IFERROR(__xludf.DUMMYFUNCTION("""COMPUTED_VALUE"""),12.75)</f>
        <v>12.75</v>
      </c>
      <c r="T149" s="1">
        <f ca="1">IFERROR(__xludf.DUMMYFUNCTION("""COMPUTED_VALUE"""),489445)</f>
        <v>489445</v>
      </c>
      <c r="U149" s="1">
        <f ca="1">IFERROR(__xludf.DUMMYFUNCTION("""COMPUTED_VALUE"""),12.75)</f>
        <v>12.75</v>
      </c>
    </row>
    <row r="150" spans="1:21" ht="12.75" x14ac:dyDescent="0.2">
      <c r="A150" s="3">
        <f ca="1">IFERROR(__xludf.DUMMYFUNCTION("""COMPUTED_VALUE"""),40148.4208333333)</f>
        <v>40148.420833333301</v>
      </c>
      <c r="B150" s="1">
        <f ca="1">IFERROR(__xludf.DUMMYFUNCTION("""COMPUTED_VALUE"""),2.55)</f>
        <v>2.5499999999999998</v>
      </c>
      <c r="E150" s="1" t="str">
        <f ca="1">IFERROR(__xludf.DUMMYFUNCTION("""COMPUTED_VALUE"""),"FELTCRAFT DOLL EMILY")</f>
        <v>FELTCRAFT DOLL EMILY</v>
      </c>
      <c r="F150" s="1">
        <f ca="1">IFERROR(__xludf.DUMMYFUNCTION("""COMPUTED_VALUE"""),6)</f>
        <v>6</v>
      </c>
      <c r="G150" s="1">
        <f ca="1">IFERROR(__xludf.DUMMYFUNCTION("""COMPUTED_VALUE"""),2.95)</f>
        <v>2.95</v>
      </c>
      <c r="J150" s="1" t="str">
        <f ca="1">IFERROR(__xludf.DUMMYFUNCTION("""COMPUTED_VALUE"""),"RED HANGING HEART T-LIGHT HOLDER")</f>
        <v>RED HANGING HEART T-LIGHT HOLDER</v>
      </c>
      <c r="K150" s="1">
        <f ca="1">IFERROR(__xludf.DUMMYFUNCTION("""COMPUTED_VALUE"""),32)</f>
        <v>32</v>
      </c>
      <c r="L150" s="1">
        <f ca="1">IFERROR(__xludf.DUMMYFUNCTION("""COMPUTED_VALUE"""),2.55)</f>
        <v>2.5499999999999998</v>
      </c>
      <c r="T150" s="1">
        <f ca="1">IFERROR(__xludf.DUMMYFUNCTION("""COMPUTED_VALUE"""),489446)</f>
        <v>489446</v>
      </c>
      <c r="U150" s="1">
        <f ca="1">IFERROR(__xludf.DUMMYFUNCTION("""COMPUTED_VALUE"""),81.6)</f>
        <v>81.599999999999994</v>
      </c>
    </row>
    <row r="151" spans="1:21" ht="12.75" x14ac:dyDescent="0.2">
      <c r="A151" s="3">
        <f ca="1">IFERROR(__xludf.DUMMYFUNCTION("""COMPUTED_VALUE"""),40148.4208333333)</f>
        <v>40148.420833333301</v>
      </c>
      <c r="B151" s="1">
        <f ca="1">IFERROR(__xludf.DUMMYFUNCTION("""COMPUTED_VALUE"""),2.55)</f>
        <v>2.5499999999999998</v>
      </c>
      <c r="E151" s="1" t="str">
        <f ca="1">IFERROR(__xludf.DUMMYFUNCTION("""COMPUTED_VALUE"""),"FELTCRAFT DOLL MOLLY")</f>
        <v>FELTCRAFT DOLL MOLLY</v>
      </c>
      <c r="F151" s="1">
        <f ca="1">IFERROR(__xludf.DUMMYFUNCTION("""COMPUTED_VALUE"""),6)</f>
        <v>6</v>
      </c>
      <c r="G151" s="1">
        <f ca="1">IFERROR(__xludf.DUMMYFUNCTION("""COMPUTED_VALUE"""),2.95)</f>
        <v>2.95</v>
      </c>
      <c r="J151" s="1" t="str">
        <f ca="1">IFERROR(__xludf.DUMMYFUNCTION("""COMPUTED_VALUE"""),"WHITE HANGING HEART T-LIGHT HOLDER")</f>
        <v>WHITE HANGING HEART T-LIGHT HOLDER</v>
      </c>
      <c r="K151" s="1">
        <f ca="1">IFERROR(__xludf.DUMMYFUNCTION("""COMPUTED_VALUE"""),32)</f>
        <v>32</v>
      </c>
      <c r="L151" s="1">
        <f ca="1">IFERROR(__xludf.DUMMYFUNCTION("""COMPUTED_VALUE"""),2.55)</f>
        <v>2.5499999999999998</v>
      </c>
      <c r="T151" s="1">
        <f ca="1">IFERROR(__xludf.DUMMYFUNCTION("""COMPUTED_VALUE"""),489446)</f>
        <v>489446</v>
      </c>
      <c r="U151" s="1">
        <f ca="1">IFERROR(__xludf.DUMMYFUNCTION("""COMPUTED_VALUE"""),81.6)</f>
        <v>81.599999999999994</v>
      </c>
    </row>
    <row r="152" spans="1:21" ht="12.75" x14ac:dyDescent="0.2">
      <c r="A152" s="3">
        <f ca="1">IFERROR(__xludf.DUMMYFUNCTION("""COMPUTED_VALUE"""),40148.4208333333)</f>
        <v>40148.420833333301</v>
      </c>
      <c r="B152" s="1">
        <f ca="1">IFERROR(__xludf.DUMMYFUNCTION("""COMPUTED_VALUE"""),1.25)</f>
        <v>1.25</v>
      </c>
      <c r="E152" s="1" t="str">
        <f ca="1">IFERROR(__xludf.DUMMYFUNCTION("""COMPUTED_VALUE"""),"BAKING SET 9 PIECE RETROSPOT")</f>
        <v>BAKING SET 9 PIECE RETROSPOT</v>
      </c>
      <c r="F152" s="1">
        <f ca="1">IFERROR(__xludf.DUMMYFUNCTION("""COMPUTED_VALUE"""),3)</f>
        <v>3</v>
      </c>
      <c r="G152" s="1">
        <f ca="1">IFERROR(__xludf.DUMMYFUNCTION("""COMPUTED_VALUE"""),4.95)</f>
        <v>4.95</v>
      </c>
      <c r="J152" s="1" t="str">
        <f ca="1">IFERROR(__xludf.DUMMYFUNCTION("""COMPUTED_VALUE"""),"HEART FILIGREE DOVE  SMALL")</f>
        <v>HEART FILIGREE DOVE  SMALL</v>
      </c>
      <c r="K152" s="1">
        <f ca="1">IFERROR(__xludf.DUMMYFUNCTION("""COMPUTED_VALUE"""),24)</f>
        <v>24</v>
      </c>
      <c r="L152" s="1">
        <f ca="1">IFERROR(__xludf.DUMMYFUNCTION("""COMPUTED_VALUE"""),1.25)</f>
        <v>1.25</v>
      </c>
      <c r="T152" s="1">
        <f ca="1">IFERROR(__xludf.DUMMYFUNCTION("""COMPUTED_VALUE"""),489446)</f>
        <v>489446</v>
      </c>
      <c r="U152" s="1">
        <f ca="1">IFERROR(__xludf.DUMMYFUNCTION("""COMPUTED_VALUE"""),30)</f>
        <v>30</v>
      </c>
    </row>
    <row r="153" spans="1:21" ht="12.75" x14ac:dyDescent="0.2">
      <c r="A153" s="3">
        <f ca="1">IFERROR(__xludf.DUMMYFUNCTION("""COMPUTED_VALUE"""),40148.4208333333)</f>
        <v>40148.420833333301</v>
      </c>
      <c r="B153" s="1">
        <f ca="1">IFERROR(__xludf.DUMMYFUNCTION("""COMPUTED_VALUE"""),2.95)</f>
        <v>2.95</v>
      </c>
      <c r="E153" s="1" t="str">
        <f ca="1">IFERROR(__xludf.DUMMYFUNCTION("""COMPUTED_VALUE"""),"RETRO SPOT TEA SET CERAMIC 11 PC")</f>
        <v>RETRO SPOT TEA SET CERAMIC 11 PC</v>
      </c>
      <c r="F153" s="1">
        <f ca="1">IFERROR(__xludf.DUMMYFUNCTION("""COMPUTED_VALUE"""),3)</f>
        <v>3</v>
      </c>
      <c r="G153" s="1">
        <f ca="1">IFERROR(__xludf.DUMMYFUNCTION("""COMPUTED_VALUE"""),4.95)</f>
        <v>4.95</v>
      </c>
      <c r="J153" s="1" t="str">
        <f ca="1">IFERROR(__xludf.DUMMYFUNCTION("""COMPUTED_VALUE"""),"PAPER CHAIN KIT RETRO SPOT")</f>
        <v>PAPER CHAIN KIT RETRO SPOT</v>
      </c>
      <c r="K153" s="1">
        <f ca="1">IFERROR(__xludf.DUMMYFUNCTION("""COMPUTED_VALUE"""),24)</f>
        <v>24</v>
      </c>
      <c r="L153" s="1">
        <f ca="1">IFERROR(__xludf.DUMMYFUNCTION("""COMPUTED_VALUE"""),2.95)</f>
        <v>2.95</v>
      </c>
      <c r="T153" s="1">
        <f ca="1">IFERROR(__xludf.DUMMYFUNCTION("""COMPUTED_VALUE"""),489446)</f>
        <v>489446</v>
      </c>
      <c r="U153" s="1">
        <f ca="1">IFERROR(__xludf.DUMMYFUNCTION("""COMPUTED_VALUE"""),70.8)</f>
        <v>70.8</v>
      </c>
    </row>
    <row r="154" spans="1:21" ht="12.75" x14ac:dyDescent="0.2">
      <c r="A154" s="3">
        <f ca="1">IFERROR(__xludf.DUMMYFUNCTION("""COMPUTED_VALUE"""),40148.4208333333)</f>
        <v>40148.420833333301</v>
      </c>
      <c r="B154" s="1">
        <f ca="1">IFERROR(__xludf.DUMMYFUNCTION("""COMPUTED_VALUE"""),1.25)</f>
        <v>1.25</v>
      </c>
      <c r="E154" s="1" t="str">
        <f ca="1">IFERROR(__xludf.DUMMYFUNCTION("""COMPUTED_VALUE"""),"STRAWBERRY CERAMIC TRINKET BOX")</f>
        <v>STRAWBERRY CERAMIC TRINKET BOX</v>
      </c>
      <c r="F154" s="1">
        <f ca="1">IFERROR(__xludf.DUMMYFUNCTION("""COMPUTED_VALUE"""),48)</f>
        <v>48</v>
      </c>
      <c r="G154" s="1">
        <f ca="1">IFERROR(__xludf.DUMMYFUNCTION("""COMPUTED_VALUE"""),1.25)</f>
        <v>1.25</v>
      </c>
      <c r="J154" s="1" t="str">
        <f ca="1">IFERROR(__xludf.DUMMYFUNCTION("""COMPUTED_VALUE"""),"KINGS CHOICE CIGAR BOX MATCHES")</f>
        <v>KINGS CHOICE CIGAR BOX MATCHES</v>
      </c>
      <c r="K154" s="1">
        <f ca="1">IFERROR(__xludf.DUMMYFUNCTION("""COMPUTED_VALUE"""),24)</f>
        <v>24</v>
      </c>
      <c r="L154" s="1">
        <f ca="1">IFERROR(__xludf.DUMMYFUNCTION("""COMPUTED_VALUE"""),1.25)</f>
        <v>1.25</v>
      </c>
      <c r="T154" s="1">
        <f ca="1">IFERROR(__xludf.DUMMYFUNCTION("""COMPUTED_VALUE"""),489446)</f>
        <v>489446</v>
      </c>
      <c r="U154" s="1">
        <f ca="1">IFERROR(__xludf.DUMMYFUNCTION("""COMPUTED_VALUE"""),30)</f>
        <v>30</v>
      </c>
    </row>
    <row r="155" spans="1:21" ht="12.75" x14ac:dyDescent="0.2">
      <c r="A155" s="3">
        <f ca="1">IFERROR(__xludf.DUMMYFUNCTION("""COMPUTED_VALUE"""),40148.4208333333)</f>
        <v>40148.420833333301</v>
      </c>
      <c r="B155" s="1">
        <f ca="1">IFERROR(__xludf.DUMMYFUNCTION("""COMPUTED_VALUE"""),1.25)</f>
        <v>1.25</v>
      </c>
      <c r="E155" s="1" t="str">
        <f ca="1">IFERROR(__xludf.DUMMYFUNCTION("""COMPUTED_VALUE"""),"FAIRY CAKE CANDLES")</f>
        <v>FAIRY CAKE CANDLES</v>
      </c>
      <c r="F155" s="1">
        <f ca="1">IFERROR(__xludf.DUMMYFUNCTION("""COMPUTED_VALUE"""),27)</f>
        <v>27</v>
      </c>
      <c r="G155" s="1">
        <f ca="1">IFERROR(__xludf.DUMMYFUNCTION("""COMPUTED_VALUE"""),1.49)</f>
        <v>1.49</v>
      </c>
      <c r="J155" s="1" t="str">
        <f ca="1">IFERROR(__xludf.DUMMYFUNCTION("""COMPUTED_VALUE"""),"RETRO SPOT  CIGAR BOX MATCHES")</f>
        <v>RETRO SPOT  CIGAR BOX MATCHES</v>
      </c>
      <c r="K155" s="1">
        <f ca="1">IFERROR(__xludf.DUMMYFUNCTION("""COMPUTED_VALUE"""),24)</f>
        <v>24</v>
      </c>
      <c r="L155" s="1">
        <f ca="1">IFERROR(__xludf.DUMMYFUNCTION("""COMPUTED_VALUE"""),1.25)</f>
        <v>1.25</v>
      </c>
      <c r="T155" s="1">
        <f ca="1">IFERROR(__xludf.DUMMYFUNCTION("""COMPUTED_VALUE"""),489446)</f>
        <v>489446</v>
      </c>
      <c r="U155" s="1">
        <f ca="1">IFERROR(__xludf.DUMMYFUNCTION("""COMPUTED_VALUE"""),30)</f>
        <v>30</v>
      </c>
    </row>
    <row r="156" spans="1:21" ht="12.75" x14ac:dyDescent="0.2">
      <c r="A156" s="3">
        <f ca="1">IFERROR(__xludf.DUMMYFUNCTION("""COMPUTED_VALUE"""),40148.4208333333)</f>
        <v>40148.420833333301</v>
      </c>
      <c r="B156" s="1">
        <f ca="1">IFERROR(__xludf.DUMMYFUNCTION("""COMPUTED_VALUE"""),1.95)</f>
        <v>1.95</v>
      </c>
      <c r="E156" s="1" t="str">
        <f ca="1">IFERROR(__xludf.DUMMYFUNCTION("""COMPUTED_VALUE"""),"RED STRIPE CERAMIC DRAWER KNOB")</f>
        <v>RED STRIPE CERAMIC DRAWER KNOB</v>
      </c>
      <c r="F156" s="1">
        <f ca="1">IFERROR(__xludf.DUMMYFUNCTION("""COMPUTED_VALUE"""),24)</f>
        <v>24</v>
      </c>
      <c r="G156" s="1">
        <f ca="1">IFERROR(__xludf.DUMMYFUNCTION("""COMPUTED_VALUE"""),1.25)</f>
        <v>1.25</v>
      </c>
      <c r="J156" s="1" t="str">
        <f ca="1">IFERROR(__xludf.DUMMYFUNCTION("""COMPUTED_VALUE"""),"JUMBO BAG RED WHITE SPOTTY")</f>
        <v>JUMBO BAG RED WHITE SPOTTY</v>
      </c>
      <c r="K156" s="1">
        <f ca="1">IFERROR(__xludf.DUMMYFUNCTION("""COMPUTED_VALUE"""),20)</f>
        <v>20</v>
      </c>
      <c r="L156" s="1">
        <f ca="1">IFERROR(__xludf.DUMMYFUNCTION("""COMPUTED_VALUE"""),1.95)</f>
        <v>1.95</v>
      </c>
      <c r="T156" s="1">
        <f ca="1">IFERROR(__xludf.DUMMYFUNCTION("""COMPUTED_VALUE"""),489446)</f>
        <v>489446</v>
      </c>
      <c r="U156" s="1">
        <f ca="1">IFERROR(__xludf.DUMMYFUNCTION("""COMPUTED_VALUE"""),39)</f>
        <v>39</v>
      </c>
    </row>
    <row r="157" spans="1:21" ht="12.75" x14ac:dyDescent="0.2">
      <c r="A157" s="3">
        <f ca="1">IFERROR(__xludf.DUMMYFUNCTION("""COMPUTED_VALUE"""),40148.4208333333)</f>
        <v>40148.420833333301</v>
      </c>
      <c r="B157" s="1">
        <f ca="1">IFERROR(__xludf.DUMMYFUNCTION("""COMPUTED_VALUE"""),1.25)</f>
        <v>1.25</v>
      </c>
      <c r="E157" s="1" t="str">
        <f ca="1">IFERROR(__xludf.DUMMYFUNCTION("""COMPUTED_VALUE"""),"BLUE STRIPE CERAMIC DRAWER KNOB")</f>
        <v>BLUE STRIPE CERAMIC DRAWER KNOB</v>
      </c>
      <c r="F157" s="1">
        <f ca="1">IFERROR(__xludf.DUMMYFUNCTION("""COMPUTED_VALUE"""),24)</f>
        <v>24</v>
      </c>
      <c r="G157" s="1">
        <f ca="1">IFERROR(__xludf.DUMMYFUNCTION("""COMPUTED_VALUE"""),1.25)</f>
        <v>1.25</v>
      </c>
      <c r="J157" s="1" t="str">
        <f ca="1">IFERROR(__xludf.DUMMYFUNCTION("""COMPUTED_VALUE"""),"VICTORIAN GLASS HANGING T-LIGHT")</f>
        <v>VICTORIAN GLASS HANGING T-LIGHT</v>
      </c>
      <c r="K157" s="1">
        <f ca="1">IFERROR(__xludf.DUMMYFUNCTION("""COMPUTED_VALUE"""),12)</f>
        <v>12</v>
      </c>
      <c r="L157" s="1">
        <f ca="1">IFERROR(__xludf.DUMMYFUNCTION("""COMPUTED_VALUE"""),1.25)</f>
        <v>1.25</v>
      </c>
      <c r="T157" s="1">
        <f ca="1">IFERROR(__xludf.DUMMYFUNCTION("""COMPUTED_VALUE"""),489446)</f>
        <v>489446</v>
      </c>
      <c r="U157" s="1">
        <f ca="1">IFERROR(__xludf.DUMMYFUNCTION("""COMPUTED_VALUE"""),15)</f>
        <v>15</v>
      </c>
    </row>
    <row r="158" spans="1:21" ht="12.75" x14ac:dyDescent="0.2">
      <c r="A158" s="3">
        <f ca="1">IFERROR(__xludf.DUMMYFUNCTION("""COMPUTED_VALUE"""),40148.4208333333)</f>
        <v>40148.420833333301</v>
      </c>
      <c r="B158" s="1">
        <f ca="1">IFERROR(__xludf.DUMMYFUNCTION("""COMPUTED_VALUE"""),5.95)</f>
        <v>5.95</v>
      </c>
      <c r="E158" s="1" t="str">
        <f ca="1">IFERROR(__xludf.DUMMYFUNCTION("""COMPUTED_VALUE"""),"BLUE SPOT CERAMIC DRAWER KNOB")</f>
        <v>BLUE SPOT CERAMIC DRAWER KNOB</v>
      </c>
      <c r="F158" s="1">
        <f ca="1">IFERROR(__xludf.DUMMYFUNCTION("""COMPUTED_VALUE"""),24)</f>
        <v>24</v>
      </c>
      <c r="G158" s="1">
        <f ca="1">IFERROR(__xludf.DUMMYFUNCTION("""COMPUTED_VALUE"""),1.25)</f>
        <v>1.25</v>
      </c>
      <c r="J158" s="1" t="str">
        <f ca="1">IFERROR(__xludf.DUMMYFUNCTION("""COMPUTED_VALUE"""),"UNION JACK HOT WATER BOTTLE")</f>
        <v>UNION JACK HOT WATER BOTTLE</v>
      </c>
      <c r="K158" s="1">
        <f ca="1">IFERROR(__xludf.DUMMYFUNCTION("""COMPUTED_VALUE"""),12)</f>
        <v>12</v>
      </c>
      <c r="L158" s="1">
        <f ca="1">IFERROR(__xludf.DUMMYFUNCTION("""COMPUTED_VALUE"""),5.95)</f>
        <v>5.95</v>
      </c>
      <c r="T158" s="1">
        <f ca="1">IFERROR(__xludf.DUMMYFUNCTION("""COMPUTED_VALUE"""),489446)</f>
        <v>489446</v>
      </c>
      <c r="U158" s="1">
        <f ca="1">IFERROR(__xludf.DUMMYFUNCTION("""COMPUTED_VALUE"""),71.4)</f>
        <v>71.400000000000006</v>
      </c>
    </row>
    <row r="159" spans="1:21" ht="12.75" x14ac:dyDescent="0.2">
      <c r="A159" s="3">
        <f ca="1">IFERROR(__xludf.DUMMYFUNCTION("""COMPUTED_VALUE"""),40148.4208333333)</f>
        <v>40148.420833333301</v>
      </c>
      <c r="B159" s="1">
        <f ca="1">IFERROR(__xludf.DUMMYFUNCTION("""COMPUTED_VALUE"""),1.25)</f>
        <v>1.25</v>
      </c>
      <c r="E159" s="1" t="str">
        <f ca="1">IFERROR(__xludf.DUMMYFUNCTION("""COMPUTED_VALUE"""),"RED SPOT CERAMIC DRAWER KNOB")</f>
        <v>RED SPOT CERAMIC DRAWER KNOB</v>
      </c>
      <c r="F159" s="1">
        <f ca="1">IFERROR(__xludf.DUMMYFUNCTION("""COMPUTED_VALUE"""),24)</f>
        <v>24</v>
      </c>
      <c r="G159" s="1">
        <f ca="1">IFERROR(__xludf.DUMMYFUNCTION("""COMPUTED_VALUE"""),1.25)</f>
        <v>1.25</v>
      </c>
      <c r="J159" s="1" t="str">
        <f ca="1">IFERROR(__xludf.DUMMYFUNCTION("""COMPUTED_VALUE"""),"RED SPOT CERAMIC DRAWER KNOB")</f>
        <v>RED SPOT CERAMIC DRAWER KNOB</v>
      </c>
      <c r="K159" s="1">
        <f ca="1">IFERROR(__xludf.DUMMYFUNCTION("""COMPUTED_VALUE"""),12)</f>
        <v>12</v>
      </c>
      <c r="L159" s="1">
        <f ca="1">IFERROR(__xludf.DUMMYFUNCTION("""COMPUTED_VALUE"""),1.25)</f>
        <v>1.25</v>
      </c>
      <c r="T159" s="1">
        <f ca="1">IFERROR(__xludf.DUMMYFUNCTION("""COMPUTED_VALUE"""),489446)</f>
        <v>489446</v>
      </c>
      <c r="U159" s="1">
        <f ca="1">IFERROR(__xludf.DUMMYFUNCTION("""COMPUTED_VALUE"""),15)</f>
        <v>15</v>
      </c>
    </row>
    <row r="160" spans="1:21" ht="12.75" x14ac:dyDescent="0.2">
      <c r="A160" s="3">
        <f ca="1">IFERROR(__xludf.DUMMYFUNCTION("""COMPUTED_VALUE"""),40148.4208333333)</f>
        <v>40148.420833333301</v>
      </c>
      <c r="B160" s="1">
        <f ca="1">IFERROR(__xludf.DUMMYFUNCTION("""COMPUTED_VALUE"""),2.95)</f>
        <v>2.95</v>
      </c>
      <c r="E160" s="1" t="str">
        <f ca="1">IFERROR(__xludf.DUMMYFUNCTION("""COMPUTED_VALUE"""),"WHITE SPOT RED CERAMIC DRAWER KNOB")</f>
        <v>WHITE SPOT RED CERAMIC DRAWER KNOB</v>
      </c>
      <c r="F160" s="1">
        <f ca="1">IFERROR(__xludf.DUMMYFUNCTION("""COMPUTED_VALUE"""),24)</f>
        <v>24</v>
      </c>
      <c r="G160" s="1">
        <f ca="1">IFERROR(__xludf.DUMMYFUNCTION("""COMPUTED_VALUE"""),1.25)</f>
        <v>1.25</v>
      </c>
      <c r="J160" s="1" t="str">
        <f ca="1">IFERROR(__xludf.DUMMYFUNCTION("""COMPUTED_VALUE"""),"PAPER CHAIN KIT 50'S CHRISTMAS")</f>
        <v>PAPER CHAIN KIT 50'S CHRISTMAS</v>
      </c>
      <c r="K160" s="1">
        <f ca="1">IFERROR(__xludf.DUMMYFUNCTION("""COMPUTED_VALUE"""),12)</f>
        <v>12</v>
      </c>
      <c r="L160" s="1">
        <f ca="1">IFERROR(__xludf.DUMMYFUNCTION("""COMPUTED_VALUE"""),2.95)</f>
        <v>2.95</v>
      </c>
      <c r="T160" s="1">
        <f ca="1">IFERROR(__xludf.DUMMYFUNCTION("""COMPUTED_VALUE"""),489446)</f>
        <v>489446</v>
      </c>
      <c r="U160" s="1">
        <f ca="1">IFERROR(__xludf.DUMMYFUNCTION("""COMPUTED_VALUE"""),35.4)</f>
        <v>35.4</v>
      </c>
    </row>
    <row r="161" spans="1:21" ht="12.75" x14ac:dyDescent="0.2">
      <c r="A161" s="3">
        <f ca="1">IFERROR(__xludf.DUMMYFUNCTION("""COMPUTED_VALUE"""),40148.4208333333)</f>
        <v>40148.420833333301</v>
      </c>
      <c r="B161" s="1">
        <f ca="1">IFERROR(__xludf.DUMMYFUNCTION("""COMPUTED_VALUE"""),4.95)</f>
        <v>4.95</v>
      </c>
      <c r="E161" s="1" t="str">
        <f ca="1">IFERROR(__xludf.DUMMYFUNCTION("""COMPUTED_VALUE"""),"WHITE SPOT BLUE CERAMIC DRAWER KNOB")</f>
        <v>WHITE SPOT BLUE CERAMIC DRAWER KNOB</v>
      </c>
      <c r="F161" s="1">
        <f ca="1">IFERROR(__xludf.DUMMYFUNCTION("""COMPUTED_VALUE"""),24)</f>
        <v>24</v>
      </c>
      <c r="G161" s="1">
        <f ca="1">IFERROR(__xludf.DUMMYFUNCTION("""COMPUTED_VALUE"""),1.25)</f>
        <v>1.25</v>
      </c>
      <c r="J161" s="1" t="str">
        <f ca="1">IFERROR(__xludf.DUMMYFUNCTION("""COMPUTED_VALUE"""),"CHOCOLATE HOT WATER BOTTLE")</f>
        <v>CHOCOLATE HOT WATER BOTTLE</v>
      </c>
      <c r="K161" s="1">
        <f ca="1">IFERROR(__xludf.DUMMYFUNCTION("""COMPUTED_VALUE"""),12)</f>
        <v>12</v>
      </c>
      <c r="L161" s="1">
        <f ca="1">IFERROR(__xludf.DUMMYFUNCTION("""COMPUTED_VALUE"""),4.95)</f>
        <v>4.95</v>
      </c>
      <c r="T161" s="1">
        <f ca="1">IFERROR(__xludf.DUMMYFUNCTION("""COMPUTED_VALUE"""),489446)</f>
        <v>489446</v>
      </c>
      <c r="U161" s="1">
        <f ca="1">IFERROR(__xludf.DUMMYFUNCTION("""COMPUTED_VALUE"""),59.4)</f>
        <v>59.4</v>
      </c>
    </row>
    <row r="162" spans="1:21" ht="12.75" x14ac:dyDescent="0.2">
      <c r="A162" s="3">
        <f ca="1">IFERROR(__xludf.DUMMYFUNCTION("""COMPUTED_VALUE"""),40148.4208333333)</f>
        <v>40148.420833333301</v>
      </c>
      <c r="B162" s="1">
        <f ca="1">IFERROR(__xludf.DUMMYFUNCTION("""COMPUTED_VALUE"""),3.95)</f>
        <v>3.95</v>
      </c>
      <c r="E162" s="1" t="str">
        <f ca="1">IFERROR(__xludf.DUMMYFUNCTION("""COMPUTED_VALUE"""),"KEEP OUT BOYS DOOR HANGER")</f>
        <v>KEEP OUT BOYS DOOR HANGER</v>
      </c>
      <c r="F162" s="1">
        <f ca="1">IFERROR(__xludf.DUMMYFUNCTION("""COMPUTED_VALUE"""),12)</f>
        <v>12</v>
      </c>
      <c r="G162" s="1">
        <f ca="1">IFERROR(__xludf.DUMMYFUNCTION("""COMPUTED_VALUE"""),1.45)</f>
        <v>1.45</v>
      </c>
      <c r="J162" s="1" t="str">
        <f ca="1">IFERROR(__xludf.DUMMYFUNCTION("""COMPUTED_VALUE"""),"HOT WATER BOTTLE TEA AND SYMPATHY")</f>
        <v>HOT WATER BOTTLE TEA AND SYMPATHY</v>
      </c>
      <c r="K162" s="1">
        <f ca="1">IFERROR(__xludf.DUMMYFUNCTION("""COMPUTED_VALUE"""),12)</f>
        <v>12</v>
      </c>
      <c r="L162" s="1">
        <f ca="1">IFERROR(__xludf.DUMMYFUNCTION("""COMPUTED_VALUE"""),3.95)</f>
        <v>3.95</v>
      </c>
      <c r="T162" s="1">
        <f ca="1">IFERROR(__xludf.DUMMYFUNCTION("""COMPUTED_VALUE"""),489446)</f>
        <v>489446</v>
      </c>
      <c r="U162" s="1">
        <f ca="1">IFERROR(__xludf.DUMMYFUNCTION("""COMPUTED_VALUE"""),47.4)</f>
        <v>47.4</v>
      </c>
    </row>
    <row r="163" spans="1:21" ht="12.75" x14ac:dyDescent="0.2">
      <c r="A163" s="3">
        <f ca="1">IFERROR(__xludf.DUMMYFUNCTION("""COMPUTED_VALUE"""),40148.4208333333)</f>
        <v>40148.420833333301</v>
      </c>
      <c r="B163" s="1">
        <f ca="1">IFERROR(__xludf.DUMMYFUNCTION("""COMPUTED_VALUE"""),4.95)</f>
        <v>4.95</v>
      </c>
      <c r="E163" s="1" t="str">
        <f ca="1">IFERROR(__xludf.DUMMYFUNCTION("""COMPUTED_VALUE"""),"TOXIC AREA  DOOR HANGER")</f>
        <v>TOXIC AREA  DOOR HANGER</v>
      </c>
      <c r="F163" s="1">
        <f ca="1">IFERROR(__xludf.DUMMYFUNCTION("""COMPUTED_VALUE"""),12)</f>
        <v>12</v>
      </c>
      <c r="G163" s="1">
        <f ca="1">IFERROR(__xludf.DUMMYFUNCTION("""COMPUTED_VALUE"""),1.45)</f>
        <v>1.45</v>
      </c>
      <c r="J163" s="1" t="str">
        <f ca="1">IFERROR(__xludf.DUMMYFUNCTION("""COMPUTED_VALUE"""),"RED SPOT HEART HOT WATER BOTTLE")</f>
        <v>RED SPOT HEART HOT WATER BOTTLE</v>
      </c>
      <c r="K163" s="1">
        <f ca="1">IFERROR(__xludf.DUMMYFUNCTION("""COMPUTED_VALUE"""),12)</f>
        <v>12</v>
      </c>
      <c r="L163" s="1">
        <f ca="1">IFERROR(__xludf.DUMMYFUNCTION("""COMPUTED_VALUE"""),4.95)</f>
        <v>4.95</v>
      </c>
      <c r="T163" s="1">
        <f ca="1">IFERROR(__xludf.DUMMYFUNCTION("""COMPUTED_VALUE"""),489446)</f>
        <v>489446</v>
      </c>
      <c r="U163" s="1">
        <f ca="1">IFERROR(__xludf.DUMMYFUNCTION("""COMPUTED_VALUE"""),59.4)</f>
        <v>59.4</v>
      </c>
    </row>
    <row r="164" spans="1:21" ht="12.75" x14ac:dyDescent="0.2">
      <c r="A164" s="3">
        <f ca="1">IFERROR(__xludf.DUMMYFUNCTION("""COMPUTED_VALUE"""),40148.4208333333)</f>
        <v>40148.420833333301</v>
      </c>
      <c r="B164" s="1">
        <f ca="1">IFERROR(__xludf.DUMMYFUNCTION("""COMPUTED_VALUE"""),2.1)</f>
        <v>2.1</v>
      </c>
      <c r="E164" s="1" t="str">
        <f ca="1">IFERROR(__xludf.DUMMYFUNCTION("""COMPUTED_VALUE"""),"DOOR HANGER  MUM + DADS ROOM")</f>
        <v>DOOR HANGER  MUM + DADS ROOM</v>
      </c>
      <c r="F164" s="1">
        <f ca="1">IFERROR(__xludf.DUMMYFUNCTION("""COMPUTED_VALUE"""),12)</f>
        <v>12</v>
      </c>
      <c r="G164" s="1">
        <f ca="1">IFERROR(__xludf.DUMMYFUNCTION("""COMPUTED_VALUE"""),1.45)</f>
        <v>1.45</v>
      </c>
      <c r="J164" s="1" t="str">
        <f ca="1">IFERROR(__xludf.DUMMYFUNCTION("""COMPUTED_VALUE"""),"RETRO RED SPOTTY WASHING UP GLOVES")</f>
        <v>RETRO RED SPOTTY WASHING UP GLOVES</v>
      </c>
      <c r="K164" s="1">
        <f ca="1">IFERROR(__xludf.DUMMYFUNCTION("""COMPUTED_VALUE"""),12)</f>
        <v>12</v>
      </c>
      <c r="L164" s="1">
        <f ca="1">IFERROR(__xludf.DUMMYFUNCTION("""COMPUTED_VALUE"""),2.1)</f>
        <v>2.1</v>
      </c>
      <c r="T164" s="1">
        <f ca="1">IFERROR(__xludf.DUMMYFUNCTION("""COMPUTED_VALUE"""),489446)</f>
        <v>489446</v>
      </c>
      <c r="U164" s="1">
        <f ca="1">IFERROR(__xludf.DUMMYFUNCTION("""COMPUTED_VALUE"""),25.2)</f>
        <v>25.2</v>
      </c>
    </row>
    <row r="165" spans="1:21" ht="12.75" x14ac:dyDescent="0.2">
      <c r="A165" s="3">
        <f ca="1">IFERROR(__xludf.DUMMYFUNCTION("""COMPUTED_VALUE"""),40148.4208333333)</f>
        <v>40148.420833333301</v>
      </c>
      <c r="B165" s="1">
        <f ca="1">IFERROR(__xludf.DUMMYFUNCTION("""COMPUTED_VALUE"""),8.95)</f>
        <v>8.9499999999999993</v>
      </c>
      <c r="E165" s="1" t="str">
        <f ca="1">IFERROR(__xludf.DUMMYFUNCTION("""COMPUTED_VALUE"""),"MOODY BOY  DOOR HANGER")</f>
        <v>MOODY BOY  DOOR HANGER</v>
      </c>
      <c r="F165" s="1">
        <f ca="1">IFERROR(__xludf.DUMMYFUNCTION("""COMPUTED_VALUE"""),12)</f>
        <v>12</v>
      </c>
      <c r="G165" s="1">
        <f ca="1">IFERROR(__xludf.DUMMYFUNCTION("""COMPUTED_VALUE"""),1.45)</f>
        <v>1.45</v>
      </c>
      <c r="J165" s="1" t="str">
        <f ca="1">IFERROR(__xludf.DUMMYFUNCTION("""COMPUTED_VALUE"""),"RED SPOTTY ROUND CAKE TINS")</f>
        <v>RED SPOTTY ROUND CAKE TINS</v>
      </c>
      <c r="K165" s="1">
        <f ca="1">IFERROR(__xludf.DUMMYFUNCTION("""COMPUTED_VALUE"""),12)</f>
        <v>12</v>
      </c>
      <c r="L165" s="1">
        <f ca="1">IFERROR(__xludf.DUMMYFUNCTION("""COMPUTED_VALUE"""),8.95)</f>
        <v>8.9499999999999993</v>
      </c>
      <c r="T165" s="1">
        <f ca="1">IFERROR(__xludf.DUMMYFUNCTION("""COMPUTED_VALUE"""),489446)</f>
        <v>489446</v>
      </c>
      <c r="U165" s="1">
        <f ca="1">IFERROR(__xludf.DUMMYFUNCTION("""COMPUTED_VALUE"""),107.399999999999)</f>
        <v>107.399999999999</v>
      </c>
    </row>
    <row r="166" spans="1:21" ht="12.75" x14ac:dyDescent="0.2">
      <c r="A166" s="3">
        <f ca="1">IFERROR(__xludf.DUMMYFUNCTION("""COMPUTED_VALUE"""),40148.4208333333)</f>
        <v>40148.420833333301</v>
      </c>
      <c r="B166" s="1">
        <f ca="1">IFERROR(__xludf.DUMMYFUNCTION("""COMPUTED_VALUE"""),1.65)</f>
        <v>1.65</v>
      </c>
      <c r="E166" s="1" t="str">
        <f ca="1">IFERROR(__xludf.DUMMYFUNCTION("""COMPUTED_VALUE"""),"AREA PATROLLED METAL SIGN")</f>
        <v>AREA PATROLLED METAL SIGN</v>
      </c>
      <c r="F166" s="1">
        <f ca="1">IFERROR(__xludf.DUMMYFUNCTION("""COMPUTED_VALUE"""),12)</f>
        <v>12</v>
      </c>
      <c r="G166" s="1">
        <f ca="1">IFERROR(__xludf.DUMMYFUNCTION("""COMPUTED_VALUE"""),2.1)</f>
        <v>2.1</v>
      </c>
      <c r="J166" s="1" t="str">
        <f ca="1">IFERROR(__xludf.DUMMYFUNCTION("""COMPUTED_VALUE"""),"LARGE HEART MEASURING SPOONS")</f>
        <v>LARGE HEART MEASURING SPOONS</v>
      </c>
      <c r="K166" s="1">
        <f ca="1">IFERROR(__xludf.DUMMYFUNCTION("""COMPUTED_VALUE"""),12)</f>
        <v>12</v>
      </c>
      <c r="L166" s="1">
        <f ca="1">IFERROR(__xludf.DUMMYFUNCTION("""COMPUTED_VALUE"""),1.65)</f>
        <v>1.65</v>
      </c>
      <c r="T166" s="1">
        <f ca="1">IFERROR(__xludf.DUMMYFUNCTION("""COMPUTED_VALUE"""),489446)</f>
        <v>489446</v>
      </c>
      <c r="U166" s="1">
        <f ca="1">IFERROR(__xludf.DUMMYFUNCTION("""COMPUTED_VALUE"""),19.7999999999999)</f>
        <v>19.799999999999901</v>
      </c>
    </row>
    <row r="167" spans="1:21" ht="12.75" x14ac:dyDescent="0.2">
      <c r="A167" s="3">
        <f ca="1">IFERROR(__xludf.DUMMYFUNCTION("""COMPUTED_VALUE"""),40148.4208333333)</f>
        <v>40148.420833333301</v>
      </c>
      <c r="B167" s="1">
        <f ca="1">IFERROR(__xludf.DUMMYFUNCTION("""COMPUTED_VALUE"""),1.95)</f>
        <v>1.95</v>
      </c>
      <c r="E167" s="1" t="str">
        <f ca="1">IFERROR(__xludf.DUMMYFUNCTION("""COMPUTED_VALUE"""),"BLUE CHARLIE+LOLA PERSONAL DOORSIGN")</f>
        <v>BLUE CHARLIE+LOLA PERSONAL DOORSIGN</v>
      </c>
      <c r="F167" s="1">
        <f ca="1">IFERROR(__xludf.DUMMYFUNCTION("""COMPUTED_VALUE"""),6)</f>
        <v>6</v>
      </c>
      <c r="G167" s="1">
        <f ca="1">IFERROR(__xludf.DUMMYFUNCTION("""COMPUTED_VALUE"""),2.95)</f>
        <v>2.95</v>
      </c>
      <c r="J167" s="1" t="str">
        <f ca="1">IFERROR(__xludf.DUMMYFUNCTION("""COMPUTED_VALUE"""),"JUMBO BAG SCANDINAVIAN PAISLEY")</f>
        <v>JUMBO BAG SCANDINAVIAN PAISLEY</v>
      </c>
      <c r="K167" s="1">
        <f ca="1">IFERROR(__xludf.DUMMYFUNCTION("""COMPUTED_VALUE"""),10)</f>
        <v>10</v>
      </c>
      <c r="L167" s="1">
        <f ca="1">IFERROR(__xludf.DUMMYFUNCTION("""COMPUTED_VALUE"""),1.95)</f>
        <v>1.95</v>
      </c>
      <c r="T167" s="1">
        <f ca="1">IFERROR(__xludf.DUMMYFUNCTION("""COMPUTED_VALUE"""),489446)</f>
        <v>489446</v>
      </c>
      <c r="U167" s="1">
        <f ca="1">IFERROR(__xludf.DUMMYFUNCTION("""COMPUTED_VALUE"""),19.5)</f>
        <v>19.5</v>
      </c>
    </row>
    <row r="168" spans="1:21" ht="12.75" x14ac:dyDescent="0.2">
      <c r="A168" s="3">
        <f ca="1">IFERROR(__xludf.DUMMYFUNCTION("""COMPUTED_VALUE"""),40148.4208333333)</f>
        <v>40148.420833333301</v>
      </c>
      <c r="B168" s="1">
        <f ca="1">IFERROR(__xludf.DUMMYFUNCTION("""COMPUTED_VALUE"""),1.95)</f>
        <v>1.95</v>
      </c>
      <c r="E168" s="1" t="str">
        <f ca="1">IFERROR(__xludf.DUMMYFUNCTION("""COMPUTED_VALUE"""),"RED CHARLIE+LOLA PERSONAL DOORSIGN")</f>
        <v>RED CHARLIE+LOLA PERSONAL DOORSIGN</v>
      </c>
      <c r="F168" s="1">
        <f ca="1">IFERROR(__xludf.DUMMYFUNCTION("""COMPUTED_VALUE"""),6)</f>
        <v>6</v>
      </c>
      <c r="G168" s="1">
        <f ca="1">IFERROR(__xludf.DUMMYFUNCTION("""COMPUTED_VALUE"""),2.95)</f>
        <v>2.95</v>
      </c>
      <c r="J168" s="1" t="str">
        <f ca="1">IFERROR(__xludf.DUMMYFUNCTION("""COMPUTED_VALUE"""),"JUMBO BAG PINK VINTAGE PAISLEY")</f>
        <v>JUMBO BAG PINK VINTAGE PAISLEY</v>
      </c>
      <c r="K168" s="1">
        <f ca="1">IFERROR(__xludf.DUMMYFUNCTION("""COMPUTED_VALUE"""),10)</f>
        <v>10</v>
      </c>
      <c r="L168" s="1">
        <f ca="1">IFERROR(__xludf.DUMMYFUNCTION("""COMPUTED_VALUE"""),1.95)</f>
        <v>1.95</v>
      </c>
      <c r="T168" s="1">
        <f ca="1">IFERROR(__xludf.DUMMYFUNCTION("""COMPUTED_VALUE"""),489446)</f>
        <v>489446</v>
      </c>
      <c r="U168" s="1">
        <f ca="1">IFERROR(__xludf.DUMMYFUNCTION("""COMPUTED_VALUE"""),19.5)</f>
        <v>19.5</v>
      </c>
    </row>
    <row r="169" spans="1:21" ht="12.75" x14ac:dyDescent="0.2">
      <c r="A169" s="3">
        <f ca="1">IFERROR(__xludf.DUMMYFUNCTION("""COMPUTED_VALUE"""),40148.4208333333)</f>
        <v>40148.420833333301</v>
      </c>
      <c r="B169" s="1">
        <f ca="1">IFERROR(__xludf.DUMMYFUNCTION("""COMPUTED_VALUE"""),0.85)</f>
        <v>0.85</v>
      </c>
      <c r="E169" s="1" t="str">
        <f ca="1">IFERROR(__xludf.DUMMYFUNCTION("""COMPUTED_VALUE"""),"PLEASE ONE PERSON  METAL SIGN")</f>
        <v>PLEASE ONE PERSON  METAL SIGN</v>
      </c>
      <c r="F169" s="1">
        <f ca="1">IFERROR(__xludf.DUMMYFUNCTION("""COMPUTED_VALUE"""),6)</f>
        <v>6</v>
      </c>
      <c r="G169" s="1">
        <f ca="1">IFERROR(__xludf.DUMMYFUNCTION("""COMPUTED_VALUE"""),2.1)</f>
        <v>2.1</v>
      </c>
      <c r="J169" s="1" t="str">
        <f ca="1">IFERROR(__xludf.DUMMYFUNCTION("""COMPUTED_VALUE"""),"CHARLOTTE BAG , PINK/WHITE SPOTS")</f>
        <v>CHARLOTTE BAG , PINK/WHITE SPOTS</v>
      </c>
      <c r="K169" s="1">
        <f ca="1">IFERROR(__xludf.DUMMYFUNCTION("""COMPUTED_VALUE"""),10)</f>
        <v>10</v>
      </c>
      <c r="L169" s="1">
        <f ca="1">IFERROR(__xludf.DUMMYFUNCTION("""COMPUTED_VALUE"""),0.85)</f>
        <v>0.85</v>
      </c>
      <c r="T169" s="1">
        <f ca="1">IFERROR(__xludf.DUMMYFUNCTION("""COMPUTED_VALUE"""),489446)</f>
        <v>489446</v>
      </c>
      <c r="U169" s="1">
        <f ca="1">IFERROR(__xludf.DUMMYFUNCTION("""COMPUTED_VALUE"""),8.5)</f>
        <v>8.5</v>
      </c>
    </row>
    <row r="170" spans="1:21" ht="12.75" x14ac:dyDescent="0.2">
      <c r="A170" s="3">
        <f ca="1">IFERROR(__xludf.DUMMYFUNCTION("""COMPUTED_VALUE"""),40148.4208333333)</f>
        <v>40148.420833333301</v>
      </c>
      <c r="B170" s="1">
        <f ca="1">IFERROR(__xludf.DUMMYFUNCTION("""COMPUTED_VALUE"""),0.85)</f>
        <v>0.85</v>
      </c>
      <c r="E170" s="1" t="str">
        <f ca="1">IFERROR(__xludf.DUMMYFUNCTION("""COMPUTED_VALUE"""),"LADIES &amp; GENTLEMEN METAL SIGN")</f>
        <v>LADIES &amp; GENTLEMEN METAL SIGN</v>
      </c>
      <c r="F170" s="1">
        <f ca="1">IFERROR(__xludf.DUMMYFUNCTION("""COMPUTED_VALUE"""),6)</f>
        <v>6</v>
      </c>
      <c r="G170" s="1">
        <f ca="1">IFERROR(__xludf.DUMMYFUNCTION("""COMPUTED_VALUE"""),2.55)</f>
        <v>2.5499999999999998</v>
      </c>
      <c r="J170" s="1" t="str">
        <f ca="1">IFERROR(__xludf.DUMMYFUNCTION("""COMPUTED_VALUE"""),"RED SPOTTY CHARLOTTE BAG")</f>
        <v>RED SPOTTY CHARLOTTE BAG</v>
      </c>
      <c r="K170" s="1">
        <f ca="1">IFERROR(__xludf.DUMMYFUNCTION("""COMPUTED_VALUE"""),10)</f>
        <v>10</v>
      </c>
      <c r="L170" s="1">
        <f ca="1">IFERROR(__xludf.DUMMYFUNCTION("""COMPUTED_VALUE"""),0.85)</f>
        <v>0.85</v>
      </c>
      <c r="T170" s="1">
        <f ca="1">IFERROR(__xludf.DUMMYFUNCTION("""COMPUTED_VALUE"""),489446)</f>
        <v>489446</v>
      </c>
      <c r="U170" s="1">
        <f ca="1">IFERROR(__xludf.DUMMYFUNCTION("""COMPUTED_VALUE"""),8.5)</f>
        <v>8.5</v>
      </c>
    </row>
    <row r="171" spans="1:21" ht="12.75" x14ac:dyDescent="0.2">
      <c r="A171" s="3">
        <f ca="1">IFERROR(__xludf.DUMMYFUNCTION("""COMPUTED_VALUE"""),40148.4208333333)</f>
        <v>40148.420833333301</v>
      </c>
      <c r="B171" s="1">
        <f ca="1">IFERROR(__xludf.DUMMYFUNCTION("""COMPUTED_VALUE"""),1.65)</f>
        <v>1.65</v>
      </c>
      <c r="E171" s="1" t="str">
        <f ca="1">IFERROR(__xludf.DUMMYFUNCTION("""COMPUTED_VALUE"""),"WOODEN FRAME ANTIQUE WHITE")</f>
        <v>WOODEN FRAME ANTIQUE WHITE</v>
      </c>
      <c r="F171" s="1">
        <f ca="1">IFERROR(__xludf.DUMMYFUNCTION("""COMPUTED_VALUE"""),6)</f>
        <v>6</v>
      </c>
      <c r="G171" s="1">
        <f ca="1">IFERROR(__xludf.DUMMYFUNCTION("""COMPUTED_VALUE"""),2.95)</f>
        <v>2.95</v>
      </c>
      <c r="J171" s="1" t="str">
        <f ca="1">IFERROR(__xludf.DUMMYFUNCTION("""COMPUTED_VALUE"""),"LUNCH BAG RED SPOTTY")</f>
        <v>LUNCH BAG RED SPOTTY</v>
      </c>
      <c r="K171" s="1">
        <f ca="1">IFERROR(__xludf.DUMMYFUNCTION("""COMPUTED_VALUE"""),10)</f>
        <v>10</v>
      </c>
      <c r="L171" s="1">
        <f ca="1">IFERROR(__xludf.DUMMYFUNCTION("""COMPUTED_VALUE"""),1.65)</f>
        <v>1.65</v>
      </c>
      <c r="T171" s="1">
        <f ca="1">IFERROR(__xludf.DUMMYFUNCTION("""COMPUTED_VALUE"""),489446)</f>
        <v>489446</v>
      </c>
      <c r="U171" s="1">
        <f ca="1">IFERROR(__xludf.DUMMYFUNCTION("""COMPUTED_VALUE"""),16.5)</f>
        <v>16.5</v>
      </c>
    </row>
    <row r="172" spans="1:21" ht="12.75" x14ac:dyDescent="0.2">
      <c r="A172" s="3">
        <f ca="1">IFERROR(__xludf.DUMMYFUNCTION("""COMPUTED_VALUE"""),40148.4208333333)</f>
        <v>40148.420833333301</v>
      </c>
      <c r="B172" s="1">
        <f ca="1">IFERROR(__xludf.DUMMYFUNCTION("""COMPUTED_VALUE"""),1.65)</f>
        <v>1.65</v>
      </c>
      <c r="E172" s="1" t="str">
        <f ca="1">IFERROR(__xludf.DUMMYFUNCTION("""COMPUTED_VALUE"""),"CERAMIC BOWL WITH STRAWBERRY DESIGN")</f>
        <v>CERAMIC BOWL WITH STRAWBERRY DESIGN</v>
      </c>
      <c r="F172" s="1">
        <f ca="1">IFERROR(__xludf.DUMMYFUNCTION("""COMPUTED_VALUE"""),6)</f>
        <v>6</v>
      </c>
      <c r="G172" s="1">
        <f ca="1">IFERROR(__xludf.DUMMYFUNCTION("""COMPUTED_VALUE"""),2.95)</f>
        <v>2.95</v>
      </c>
      <c r="J172" s="1" t="str">
        <f ca="1">IFERROR(__xludf.DUMMYFUNCTION("""COMPUTED_VALUE"""),"LUNCH BAG CARS BLUE")</f>
        <v>LUNCH BAG CARS BLUE</v>
      </c>
      <c r="K172" s="1">
        <f ca="1">IFERROR(__xludf.DUMMYFUNCTION("""COMPUTED_VALUE"""),10)</f>
        <v>10</v>
      </c>
      <c r="L172" s="1">
        <f ca="1">IFERROR(__xludf.DUMMYFUNCTION("""COMPUTED_VALUE"""),1.65)</f>
        <v>1.65</v>
      </c>
      <c r="T172" s="1">
        <f ca="1">IFERROR(__xludf.DUMMYFUNCTION("""COMPUTED_VALUE"""),489446)</f>
        <v>489446</v>
      </c>
      <c r="U172" s="1">
        <f ca="1">IFERROR(__xludf.DUMMYFUNCTION("""COMPUTED_VALUE"""),16.5)</f>
        <v>16.5</v>
      </c>
    </row>
    <row r="173" spans="1:21" ht="12.75" x14ac:dyDescent="0.2">
      <c r="A173" s="3">
        <f ca="1">IFERROR(__xludf.DUMMYFUNCTION("""COMPUTED_VALUE"""),40148.4208333333)</f>
        <v>40148.420833333301</v>
      </c>
      <c r="B173" s="1">
        <f ca="1">IFERROR(__xludf.DUMMYFUNCTION("""COMPUTED_VALUE"""),1.65)</f>
        <v>1.65</v>
      </c>
      <c r="E173" s="1" t="str">
        <f ca="1">IFERROR(__xludf.DUMMYFUNCTION("""COMPUTED_VALUE"""),"CERAMIC CAKE BOWL + HANGING CAKES")</f>
        <v>CERAMIC CAKE BOWL + HANGING CAKES</v>
      </c>
      <c r="F173" s="1">
        <f ca="1">IFERROR(__xludf.DUMMYFUNCTION("""COMPUTED_VALUE"""),6)</f>
        <v>6</v>
      </c>
      <c r="G173" s="1">
        <f ca="1">IFERROR(__xludf.DUMMYFUNCTION("""COMPUTED_VALUE"""),2.95)</f>
        <v>2.95</v>
      </c>
      <c r="J173" s="1" t="str">
        <f ca="1">IFERROR(__xludf.DUMMYFUNCTION("""COMPUTED_VALUE"""),"LUNCH BAG WOODLAND")</f>
        <v>LUNCH BAG WOODLAND</v>
      </c>
      <c r="K173" s="1">
        <f ca="1">IFERROR(__xludf.DUMMYFUNCTION("""COMPUTED_VALUE"""),10)</f>
        <v>10</v>
      </c>
      <c r="L173" s="1">
        <f ca="1">IFERROR(__xludf.DUMMYFUNCTION("""COMPUTED_VALUE"""),1.65)</f>
        <v>1.65</v>
      </c>
      <c r="T173" s="1">
        <f ca="1">IFERROR(__xludf.DUMMYFUNCTION("""COMPUTED_VALUE"""),489446)</f>
        <v>489446</v>
      </c>
      <c r="U173" s="1">
        <f ca="1">IFERROR(__xludf.DUMMYFUNCTION("""COMPUTED_VALUE"""),16.5)</f>
        <v>16.5</v>
      </c>
    </row>
    <row r="174" spans="1:21" ht="12.75" x14ac:dyDescent="0.2">
      <c r="A174" s="3">
        <f ca="1">IFERROR(__xludf.DUMMYFUNCTION("""COMPUTED_VALUE"""),40148.4208333333)</f>
        <v>40148.420833333301</v>
      </c>
      <c r="B174" s="1">
        <f ca="1">IFERROR(__xludf.DUMMYFUNCTION("""COMPUTED_VALUE"""),4.95)</f>
        <v>4.95</v>
      </c>
      <c r="E174" s="1" t="str">
        <f ca="1">IFERROR(__xludf.DUMMYFUNCTION("""COMPUTED_VALUE"""),"PINK SWEETHEART BRACELET")</f>
        <v>PINK SWEETHEART BRACELET</v>
      </c>
      <c r="F174" s="1">
        <f ca="1">IFERROR(__xludf.DUMMYFUNCTION("""COMPUTED_VALUE"""),3)</f>
        <v>3</v>
      </c>
      <c r="G174" s="1">
        <f ca="1">IFERROR(__xludf.DUMMYFUNCTION("""COMPUTED_VALUE"""),4.25)</f>
        <v>4.25</v>
      </c>
      <c r="J174" s="1" t="str">
        <f ca="1">IFERROR(__xludf.DUMMYFUNCTION("""COMPUTED_VALUE"""),"SCOTTIE DOG HOT WATER BOTTLE")</f>
        <v>SCOTTIE DOG HOT WATER BOTTLE</v>
      </c>
      <c r="K174" s="1">
        <f ca="1">IFERROR(__xludf.DUMMYFUNCTION("""COMPUTED_VALUE"""),6)</f>
        <v>6</v>
      </c>
      <c r="L174" s="1">
        <f ca="1">IFERROR(__xludf.DUMMYFUNCTION("""COMPUTED_VALUE"""),4.95)</f>
        <v>4.95</v>
      </c>
      <c r="T174" s="1">
        <f ca="1">IFERROR(__xludf.DUMMYFUNCTION("""COMPUTED_VALUE"""),489446)</f>
        <v>489446</v>
      </c>
      <c r="U174" s="1">
        <f ca="1">IFERROR(__xludf.DUMMYFUNCTION("""COMPUTED_VALUE"""),29.7)</f>
        <v>29.7</v>
      </c>
    </row>
    <row r="175" spans="1:21" ht="12.75" x14ac:dyDescent="0.2">
      <c r="A175" s="3">
        <f ca="1">IFERROR(__xludf.DUMMYFUNCTION("""COMPUTED_VALUE"""),40148.4208333333)</f>
        <v>40148.420833333301</v>
      </c>
      <c r="B175" s="1">
        <f ca="1">IFERROR(__xludf.DUMMYFUNCTION("""COMPUTED_VALUE"""),4.25)</f>
        <v>4.25</v>
      </c>
      <c r="E175" s="1" t="str">
        <f ca="1">IFERROR(__xludf.DUMMYFUNCTION("""COMPUTED_VALUE"""),"GREEN SWEETHEART BRACELET")</f>
        <v>GREEN SWEETHEART BRACELET</v>
      </c>
      <c r="F175" s="1">
        <f ca="1">IFERROR(__xludf.DUMMYFUNCTION("""COMPUTED_VALUE"""),3)</f>
        <v>3</v>
      </c>
      <c r="G175" s="1">
        <f ca="1">IFERROR(__xludf.DUMMYFUNCTION("""COMPUTED_VALUE"""),4.25)</f>
        <v>4.25</v>
      </c>
      <c r="J175" s="1" t="str">
        <f ca="1">IFERROR(__xludf.DUMMYFUNCTION("""COMPUTED_VALUE"""),"FRYING PAN RED POLKADOT")</f>
        <v>FRYING PAN RED POLKADOT</v>
      </c>
      <c r="K175" s="1">
        <f ca="1">IFERROR(__xludf.DUMMYFUNCTION("""COMPUTED_VALUE"""),4)</f>
        <v>4</v>
      </c>
      <c r="L175" s="1">
        <f ca="1">IFERROR(__xludf.DUMMYFUNCTION("""COMPUTED_VALUE"""),4.25)</f>
        <v>4.25</v>
      </c>
      <c r="T175" s="1">
        <f ca="1">IFERROR(__xludf.DUMMYFUNCTION("""COMPUTED_VALUE"""),489446)</f>
        <v>489446</v>
      </c>
      <c r="U175" s="1">
        <f ca="1">IFERROR(__xludf.DUMMYFUNCTION("""COMPUTED_VALUE"""),17)</f>
        <v>17</v>
      </c>
    </row>
    <row r="176" spans="1:21" ht="12.75" x14ac:dyDescent="0.2">
      <c r="A176" s="3">
        <f ca="1">IFERROR(__xludf.DUMMYFUNCTION("""COMPUTED_VALUE"""),40148.4208333333)</f>
        <v>40148.420833333301</v>
      </c>
      <c r="B176" s="1">
        <f ca="1">IFERROR(__xludf.DUMMYFUNCTION("""COMPUTED_VALUE"""),12.75)</f>
        <v>12.75</v>
      </c>
      <c r="E176" s="1" t="str">
        <f ca="1">IFERROR(__xludf.DUMMYFUNCTION("""COMPUTED_VALUE"""),"PURPLE SWEETHEART BRACELET")</f>
        <v>PURPLE SWEETHEART BRACELET</v>
      </c>
      <c r="F176" s="1">
        <f ca="1">IFERROR(__xludf.DUMMYFUNCTION("""COMPUTED_VALUE"""),3)</f>
        <v>3</v>
      </c>
      <c r="G176" s="1">
        <f ca="1">IFERROR(__xludf.DUMMYFUNCTION("""COMPUTED_VALUE"""),4.25)</f>
        <v>4.25</v>
      </c>
      <c r="J176" s="1" t="str">
        <f ca="1">IFERROR(__xludf.DUMMYFUNCTION("""COMPUTED_VALUE"""),"CREAM SWEETHEART MINI CHEST")</f>
        <v>CREAM SWEETHEART MINI CHEST</v>
      </c>
      <c r="K176" s="1">
        <f ca="1">IFERROR(__xludf.DUMMYFUNCTION("""COMPUTED_VALUE"""),2)</f>
        <v>2</v>
      </c>
      <c r="L176" s="1">
        <f ca="1">IFERROR(__xludf.DUMMYFUNCTION("""COMPUTED_VALUE"""),12.75)</f>
        <v>12.75</v>
      </c>
      <c r="T176" s="1">
        <f ca="1">IFERROR(__xludf.DUMMYFUNCTION("""COMPUTED_VALUE"""),489446)</f>
        <v>489446</v>
      </c>
      <c r="U176" s="1">
        <f ca="1">IFERROR(__xludf.DUMMYFUNCTION("""COMPUTED_VALUE"""),25.5)</f>
        <v>25.5</v>
      </c>
    </row>
    <row r="177" spans="1:21" ht="12.75" x14ac:dyDescent="0.2">
      <c r="A177" s="3">
        <f ca="1">IFERROR(__xludf.DUMMYFUNCTION("""COMPUTED_VALUE"""),40148.4236111111)</f>
        <v>40148.423611111102</v>
      </c>
      <c r="B177" s="1">
        <f ca="1">IFERROR(__xludf.DUMMYFUNCTION("""COMPUTED_VALUE"""),130)</f>
        <v>130</v>
      </c>
      <c r="E177" s="1" t="str">
        <f ca="1">IFERROR(__xludf.DUMMYFUNCTION("""COMPUTED_VALUE"""),"BLUE SWEETHEART BRACELET")</f>
        <v>BLUE SWEETHEART BRACELET</v>
      </c>
      <c r="F177" s="1">
        <f ca="1">IFERROR(__xludf.DUMMYFUNCTION("""COMPUTED_VALUE"""),3)</f>
        <v>3</v>
      </c>
      <c r="G177" s="1">
        <f ca="1">IFERROR(__xludf.DUMMYFUNCTION("""COMPUTED_VALUE"""),4.25)</f>
        <v>4.25</v>
      </c>
      <c r="J177" s="1" t="str">
        <f ca="1">IFERROR(__xludf.DUMMYFUNCTION("""COMPUTED_VALUE"""),"POSTAGE")</f>
        <v>POSTAGE</v>
      </c>
      <c r="K177" s="1">
        <f ca="1">IFERROR(__xludf.DUMMYFUNCTION("""COMPUTED_VALUE"""),1)</f>
        <v>1</v>
      </c>
      <c r="L177" s="1">
        <f ca="1">IFERROR(__xludf.DUMMYFUNCTION("""COMPUTED_VALUE"""),130)</f>
        <v>130</v>
      </c>
      <c r="T177" s="1">
        <f ca="1">IFERROR(__xludf.DUMMYFUNCTION("""COMPUTED_VALUE"""),489447)</f>
        <v>489447</v>
      </c>
      <c r="U177" s="1">
        <f ca="1">IFERROR(__xludf.DUMMYFUNCTION("""COMPUTED_VALUE"""),130)</f>
        <v>130</v>
      </c>
    </row>
    <row r="178" spans="1:21" ht="12.75" x14ac:dyDescent="0.2">
      <c r="A178" s="3">
        <f ca="1">IFERROR(__xludf.DUMMYFUNCTION("""COMPUTED_VALUE"""),40148.4291666666)</f>
        <v>40148.429166666603</v>
      </c>
      <c r="B178" s="1">
        <f ca="1">IFERROR(__xludf.DUMMYFUNCTION("""COMPUTED_VALUE"""),2.12)</f>
        <v>2.12</v>
      </c>
      <c r="E178" s="1" t="str">
        <f ca="1">IFERROR(__xludf.DUMMYFUNCTION("""COMPUTED_VALUE"""),"BLACK SWEETHEART BRACELET")</f>
        <v>BLACK SWEETHEART BRACELET</v>
      </c>
      <c r="F178" s="1">
        <f ca="1">IFERROR(__xludf.DUMMYFUNCTION("""COMPUTED_VALUE"""),3)</f>
        <v>3</v>
      </c>
      <c r="G178" s="1">
        <f ca="1">IFERROR(__xludf.DUMMYFUNCTION("""COMPUTED_VALUE"""),4.25)</f>
        <v>4.25</v>
      </c>
      <c r="J178" s="1" t="str">
        <f ca="1">IFERROR(__xludf.DUMMYFUNCTION("""COMPUTED_VALUE"""),"GOLD APERITIF GLASS")</f>
        <v>GOLD APERITIF GLASS</v>
      </c>
      <c r="K178" s="1">
        <f ca="1">IFERROR(__xludf.DUMMYFUNCTION("""COMPUTED_VALUE"""),48)</f>
        <v>48</v>
      </c>
      <c r="L178" s="1">
        <f ca="1">IFERROR(__xludf.DUMMYFUNCTION("""COMPUTED_VALUE"""),2.12)</f>
        <v>2.12</v>
      </c>
      <c r="T178" s="1">
        <f ca="1">IFERROR(__xludf.DUMMYFUNCTION("""COMPUTED_VALUE"""),489448)</f>
        <v>489448</v>
      </c>
      <c r="U178" s="1">
        <f ca="1">IFERROR(__xludf.DUMMYFUNCTION("""COMPUTED_VALUE"""),101.76)</f>
        <v>101.76</v>
      </c>
    </row>
    <row r="179" spans="1:21" ht="12.75" x14ac:dyDescent="0.2">
      <c r="A179" s="3">
        <f ca="1">IFERROR(__xludf.DUMMYFUNCTION("""COMPUTED_VALUE"""),40148.4291666666)</f>
        <v>40148.429166666603</v>
      </c>
      <c r="B179" s="1">
        <f ca="1">IFERROR(__xludf.DUMMYFUNCTION("""COMPUTED_VALUE"""),3.39)</f>
        <v>3.39</v>
      </c>
      <c r="E179" s="1" t="str">
        <f ca="1">IFERROR(__xludf.DUMMYFUNCTION("""COMPUTED_VALUE"""),"BLACK DIAMANTE EXPANDABLE RING")</f>
        <v>BLACK DIAMANTE EXPANDABLE RING</v>
      </c>
      <c r="F179" s="1">
        <f ca="1">IFERROR(__xludf.DUMMYFUNCTION("""COMPUTED_VALUE"""),3)</f>
        <v>3</v>
      </c>
      <c r="G179" s="1">
        <f ca="1">IFERROR(__xludf.DUMMYFUNCTION("""COMPUTED_VALUE"""),4.25)</f>
        <v>4.25</v>
      </c>
      <c r="J179" s="1" t="str">
        <f ca="1">IFERROR(__xludf.DUMMYFUNCTION("""COMPUTED_VALUE"""),"GOLD WINE GLASS")</f>
        <v>GOLD WINE GLASS</v>
      </c>
      <c r="K179" s="1">
        <f ca="1">IFERROR(__xludf.DUMMYFUNCTION("""COMPUTED_VALUE"""),48)</f>
        <v>48</v>
      </c>
      <c r="L179" s="1">
        <f ca="1">IFERROR(__xludf.DUMMYFUNCTION("""COMPUTED_VALUE"""),3.39)</f>
        <v>3.39</v>
      </c>
      <c r="T179" s="1">
        <f ca="1">IFERROR(__xludf.DUMMYFUNCTION("""COMPUTED_VALUE"""),489448)</f>
        <v>489448</v>
      </c>
      <c r="U179" s="1">
        <f ca="1">IFERROR(__xludf.DUMMYFUNCTION("""COMPUTED_VALUE"""),162.72)</f>
        <v>162.72</v>
      </c>
    </row>
    <row r="180" spans="1:21" ht="12.75" x14ac:dyDescent="0.2">
      <c r="A180" s="3">
        <f ca="1">IFERROR(__xludf.DUMMYFUNCTION("""COMPUTED_VALUE"""),40148.4291666666)</f>
        <v>40148.429166666603</v>
      </c>
      <c r="B180" s="1">
        <f ca="1">IFERROR(__xludf.DUMMYFUNCTION("""COMPUTED_VALUE"""),4.25)</f>
        <v>4.25</v>
      </c>
      <c r="E180" s="1" t="str">
        <f ca="1">IFERROR(__xludf.DUMMYFUNCTION("""COMPUTED_VALUE"""),"AMETHYST DIAMANTE EXPANDABLE RING")</f>
        <v>AMETHYST DIAMANTE EXPANDABLE RING</v>
      </c>
      <c r="F180" s="1">
        <f ca="1">IFERROR(__xludf.DUMMYFUNCTION("""COMPUTED_VALUE"""),3)</f>
        <v>3</v>
      </c>
      <c r="G180" s="1">
        <f ca="1">IFERROR(__xludf.DUMMYFUNCTION("""COMPUTED_VALUE"""),4.25)</f>
        <v>4.25</v>
      </c>
      <c r="J180" s="1" t="str">
        <f ca="1">IFERROR(__xludf.DUMMYFUNCTION("""COMPUTED_VALUE"""),"GOLD WINE GOBLET")</f>
        <v>GOLD WINE GOBLET</v>
      </c>
      <c r="K180" s="1">
        <f ca="1">IFERROR(__xludf.DUMMYFUNCTION("""COMPUTED_VALUE"""),48)</f>
        <v>48</v>
      </c>
      <c r="L180" s="1">
        <f ca="1">IFERROR(__xludf.DUMMYFUNCTION("""COMPUTED_VALUE"""),4.25)</f>
        <v>4.25</v>
      </c>
      <c r="T180" s="1">
        <f ca="1">IFERROR(__xludf.DUMMYFUNCTION("""COMPUTED_VALUE"""),489448)</f>
        <v>489448</v>
      </c>
      <c r="U180" s="1">
        <f ca="1">IFERROR(__xludf.DUMMYFUNCTION("""COMPUTED_VALUE"""),204)</f>
        <v>204</v>
      </c>
    </row>
    <row r="181" spans="1:21" ht="12.75" x14ac:dyDescent="0.2">
      <c r="A181" s="3">
        <f ca="1">IFERROR(__xludf.DUMMYFUNCTION("""COMPUTED_VALUE"""),40148.4291666666)</f>
        <v>40148.429166666603</v>
      </c>
      <c r="B181" s="1">
        <f ca="1">IFERROR(__xludf.DUMMYFUNCTION("""COMPUTED_VALUE"""),2.12)</f>
        <v>2.12</v>
      </c>
      <c r="E181" s="1" t="str">
        <f ca="1">IFERROR(__xludf.DUMMYFUNCTION("""COMPUTED_VALUE"""),"MIDNIGHT BLUE PAIR HEART HAIR SLIDE")</f>
        <v>MIDNIGHT BLUE PAIR HEART HAIR SLIDE</v>
      </c>
      <c r="F181" s="1">
        <f ca="1">IFERROR(__xludf.DUMMYFUNCTION("""COMPUTED_VALUE"""),3)</f>
        <v>3</v>
      </c>
      <c r="G181" s="1">
        <f ca="1">IFERROR(__xludf.DUMMYFUNCTION("""COMPUTED_VALUE"""),3.75)</f>
        <v>3.75</v>
      </c>
      <c r="J181" s="1" t="str">
        <f ca="1">IFERROR(__xludf.DUMMYFUNCTION("""COMPUTED_VALUE"""),"SILVER APERITIF GLASS")</f>
        <v>SILVER APERITIF GLASS</v>
      </c>
      <c r="K181" s="1">
        <f ca="1">IFERROR(__xludf.DUMMYFUNCTION("""COMPUTED_VALUE"""),48)</f>
        <v>48</v>
      </c>
      <c r="L181" s="1">
        <f ca="1">IFERROR(__xludf.DUMMYFUNCTION("""COMPUTED_VALUE"""),2.12)</f>
        <v>2.12</v>
      </c>
      <c r="T181" s="1">
        <f ca="1">IFERROR(__xludf.DUMMYFUNCTION("""COMPUTED_VALUE"""),489448)</f>
        <v>489448</v>
      </c>
      <c r="U181" s="1">
        <f ca="1">IFERROR(__xludf.DUMMYFUNCTION("""COMPUTED_VALUE"""),101.76)</f>
        <v>101.76</v>
      </c>
    </row>
    <row r="182" spans="1:21" ht="12.75" x14ac:dyDescent="0.2">
      <c r="A182" s="3">
        <f ca="1">IFERROR(__xludf.DUMMYFUNCTION("""COMPUTED_VALUE"""),40148.4395833333)</f>
        <v>40148.439583333296</v>
      </c>
      <c r="B182" s="1">
        <f ca="1">IFERROR(__xludf.DUMMYFUNCTION("""COMPUTED_VALUE"""),4.25)</f>
        <v>4.25</v>
      </c>
      <c r="E182" s="1" t="str">
        <f ca="1">IFERROR(__xludf.DUMMYFUNCTION("""COMPUTED_VALUE"""),"CRYSTAL PAIR HEART HAIR SLIDES")</f>
        <v>CRYSTAL PAIR HEART HAIR SLIDES</v>
      </c>
      <c r="F182" s="1">
        <f ca="1">IFERROR(__xludf.DUMMYFUNCTION("""COMPUTED_VALUE"""),3)</f>
        <v>3</v>
      </c>
      <c r="G182" s="1">
        <f ca="1">IFERROR(__xludf.DUMMYFUNCTION("""COMPUTED_VALUE"""),3.75)</f>
        <v>3.75</v>
      </c>
      <c r="J182" s="1" t="str">
        <f ca="1">IFERROR(__xludf.DUMMYFUNCTION("""COMPUTED_VALUE"""),"POTTING SHED SOW 'N' GROW SET")</f>
        <v>POTTING SHED SOW 'N' GROW SET</v>
      </c>
      <c r="K182" s="1">
        <f ca="1">IFERROR(__xludf.DUMMYFUNCTION("""COMPUTED_VALUE"""),-4)</f>
        <v>-4</v>
      </c>
      <c r="L182" s="1">
        <f ca="1">IFERROR(__xludf.DUMMYFUNCTION("""COMPUTED_VALUE"""),4.25)</f>
        <v>4.25</v>
      </c>
      <c r="T182" s="1"/>
      <c r="U182" s="1">
        <f ca="1">IFERROR(__xludf.DUMMYFUNCTION("""COMPUTED_VALUE"""),-17)</f>
        <v>-17</v>
      </c>
    </row>
    <row r="183" spans="1:21" ht="12.75" x14ac:dyDescent="0.2">
      <c r="A183" s="3">
        <f ca="1">IFERROR(__xludf.DUMMYFUNCTION("""COMPUTED_VALUE"""),40148.4395833333)</f>
        <v>40148.439583333296</v>
      </c>
      <c r="B183" s="1">
        <f ca="1">IFERROR(__xludf.DUMMYFUNCTION("""COMPUTED_VALUE"""),1.65)</f>
        <v>1.65</v>
      </c>
      <c r="E183" s="1" t="str">
        <f ca="1">IFERROR(__xludf.DUMMYFUNCTION("""COMPUTED_VALUE"""),"ROSE COLOUR PAIR HEART HAIR SLIDES")</f>
        <v>ROSE COLOUR PAIR HEART HAIR SLIDES</v>
      </c>
      <c r="F183" s="1">
        <f ca="1">IFERROR(__xludf.DUMMYFUNCTION("""COMPUTED_VALUE"""),3)</f>
        <v>3</v>
      </c>
      <c r="G183" s="1">
        <f ca="1">IFERROR(__xludf.DUMMYFUNCTION("""COMPUTED_VALUE"""),3.75)</f>
        <v>3.75</v>
      </c>
      <c r="J183" s="1" t="str">
        <f ca="1">IFERROR(__xludf.DUMMYFUNCTION("""COMPUTED_VALUE"""),"CREAM FELT EASTER EGG BASKET")</f>
        <v>CREAM FELT EASTER EGG BASKET</v>
      </c>
      <c r="K183" s="1">
        <f ca="1">IFERROR(__xludf.DUMMYFUNCTION("""COMPUTED_VALUE"""),-6)</f>
        <v>-6</v>
      </c>
      <c r="L183" s="1">
        <f ca="1">IFERROR(__xludf.DUMMYFUNCTION("""COMPUTED_VALUE"""),1.65)</f>
        <v>1.65</v>
      </c>
      <c r="T183" s="1"/>
      <c r="U183" s="1">
        <f ca="1">IFERROR(__xludf.DUMMYFUNCTION("""COMPUTED_VALUE"""),-9.89999999999999)</f>
        <v>-9.8999999999999897</v>
      </c>
    </row>
    <row r="184" spans="1:21" ht="12.75" x14ac:dyDescent="0.2">
      <c r="A184" s="3">
        <f ca="1">IFERROR(__xludf.DUMMYFUNCTION("""COMPUTED_VALUE"""),40148.4395833333)</f>
        <v>40148.439583333296</v>
      </c>
      <c r="B184" s="1">
        <f ca="1">IFERROR(__xludf.DUMMYFUNCTION("""COMPUTED_VALUE"""),2.1)</f>
        <v>2.1</v>
      </c>
      <c r="E184" s="1" t="str">
        <f ca="1">IFERROR(__xludf.DUMMYFUNCTION("""COMPUTED_VALUE"""),"PINK ENAMEL+GLASS HAIR COMB")</f>
        <v>PINK ENAMEL+GLASS HAIR COMB</v>
      </c>
      <c r="F184" s="1">
        <f ca="1">IFERROR(__xludf.DUMMYFUNCTION("""COMPUTED_VALUE"""),3)</f>
        <v>3</v>
      </c>
      <c r="G184" s="1">
        <f ca="1">IFERROR(__xludf.DUMMYFUNCTION("""COMPUTED_VALUE"""),2.1)</f>
        <v>2.1</v>
      </c>
      <c r="J184" s="1" t="str">
        <f ca="1">IFERROR(__xludf.DUMMYFUNCTION("""COMPUTED_VALUE"""),"POTTING SHED TWINE")</f>
        <v>POTTING SHED TWINE</v>
      </c>
      <c r="K184" s="1">
        <f ca="1">IFERROR(__xludf.DUMMYFUNCTION("""COMPUTED_VALUE"""),-6)</f>
        <v>-6</v>
      </c>
      <c r="L184" s="1">
        <f ca="1">IFERROR(__xludf.DUMMYFUNCTION("""COMPUTED_VALUE"""),2.1)</f>
        <v>2.1</v>
      </c>
      <c r="T184" s="1"/>
      <c r="U184" s="1">
        <f ca="1">IFERROR(__xludf.DUMMYFUNCTION("""COMPUTED_VALUE"""),-12.6)</f>
        <v>-12.6</v>
      </c>
    </row>
    <row r="185" spans="1:21" ht="12.75" x14ac:dyDescent="0.2">
      <c r="A185" s="3">
        <f ca="1">IFERROR(__xludf.DUMMYFUNCTION("""COMPUTED_VALUE"""),40148.4395833333)</f>
        <v>40148.439583333296</v>
      </c>
      <c r="B185" s="1">
        <f ca="1">IFERROR(__xludf.DUMMYFUNCTION("""COMPUTED_VALUE"""),2.95)</f>
        <v>2.95</v>
      </c>
      <c r="E185" s="1" t="str">
        <f ca="1">IFERROR(__xludf.DUMMYFUNCTION("""COMPUTED_VALUE"""),"PURPLE ENAMEL+GLASS HAIR COMB")</f>
        <v>PURPLE ENAMEL+GLASS HAIR COMB</v>
      </c>
      <c r="F185" s="1">
        <f ca="1">IFERROR(__xludf.DUMMYFUNCTION("""COMPUTED_VALUE"""),3)</f>
        <v>3</v>
      </c>
      <c r="G185" s="1">
        <f ca="1">IFERROR(__xludf.DUMMYFUNCTION("""COMPUTED_VALUE"""),2.1)</f>
        <v>2.1</v>
      </c>
      <c r="J185" s="1" t="str">
        <f ca="1">IFERROR(__xludf.DUMMYFUNCTION("""COMPUTED_VALUE"""),"PAPER BUNTING WHITE LACE")</f>
        <v>PAPER BUNTING WHITE LACE</v>
      </c>
      <c r="K185" s="1">
        <f ca="1">IFERROR(__xludf.DUMMYFUNCTION("""COMPUTED_VALUE"""),-12)</f>
        <v>-12</v>
      </c>
      <c r="L185" s="1">
        <f ca="1">IFERROR(__xludf.DUMMYFUNCTION("""COMPUTED_VALUE"""),2.95)</f>
        <v>2.95</v>
      </c>
      <c r="T185" s="1"/>
      <c r="U185" s="1">
        <f ca="1">IFERROR(__xludf.DUMMYFUNCTION("""COMPUTED_VALUE"""),-35.4)</f>
        <v>-35.4</v>
      </c>
    </row>
    <row r="186" spans="1:21" ht="12.75" x14ac:dyDescent="0.2">
      <c r="A186" s="3">
        <f ca="1">IFERROR(__xludf.DUMMYFUNCTION("""COMPUTED_VALUE"""),40148.4395833333)</f>
        <v>40148.439583333296</v>
      </c>
      <c r="B186" s="1">
        <f ca="1">IFERROR(__xludf.DUMMYFUNCTION("""COMPUTED_VALUE"""),2.95)</f>
        <v>2.95</v>
      </c>
      <c r="E186" s="1" t="str">
        <f ca="1">IFERROR(__xludf.DUMMYFUNCTION("""COMPUTED_VALUE"""),"ASSORTED COLOUR BIRD ORNAMENT")</f>
        <v>ASSORTED COLOUR BIRD ORNAMENT</v>
      </c>
      <c r="F186" s="1">
        <f ca="1">IFERROR(__xludf.DUMMYFUNCTION("""COMPUTED_VALUE"""),160)</f>
        <v>160</v>
      </c>
      <c r="G186" s="1">
        <f ca="1">IFERROR(__xludf.DUMMYFUNCTION("""COMPUTED_VALUE"""),1.45)</f>
        <v>1.45</v>
      </c>
      <c r="J186" s="1" t="str">
        <f ca="1">IFERROR(__xludf.DUMMYFUNCTION("""COMPUTED_VALUE"""),"PAPER CHAIN KIT RETRO SPOT")</f>
        <v>PAPER CHAIN KIT RETRO SPOT</v>
      </c>
      <c r="K186" s="1">
        <f ca="1">IFERROR(__xludf.DUMMYFUNCTION("""COMPUTED_VALUE"""),-12)</f>
        <v>-12</v>
      </c>
      <c r="L186" s="1">
        <f ca="1">IFERROR(__xludf.DUMMYFUNCTION("""COMPUTED_VALUE"""),2.95)</f>
        <v>2.95</v>
      </c>
      <c r="T186" s="1"/>
      <c r="U186" s="1">
        <f ca="1">IFERROR(__xludf.DUMMYFUNCTION("""COMPUTED_VALUE"""),-35.4)</f>
        <v>-35.4</v>
      </c>
    </row>
    <row r="187" spans="1:21" ht="12.75" x14ac:dyDescent="0.2">
      <c r="A187" s="3">
        <f ca="1">IFERROR(__xludf.DUMMYFUNCTION("""COMPUTED_VALUE"""),40148.4395833333)</f>
        <v>40148.439583333296</v>
      </c>
      <c r="B187" s="1">
        <f ca="1">IFERROR(__xludf.DUMMYFUNCTION("""COMPUTED_VALUE"""),1.25)</f>
        <v>1.25</v>
      </c>
      <c r="E187" s="1" t="str">
        <f ca="1">IFERROR(__xludf.DUMMYFUNCTION("""COMPUTED_VALUE"""),"WHITE HANGING HEART T-LIGHT HOLDER")</f>
        <v>WHITE HANGING HEART T-LIGHT HOLDER</v>
      </c>
      <c r="F187" s="1">
        <f ca="1">IFERROR(__xludf.DUMMYFUNCTION("""COMPUTED_VALUE"""),64)</f>
        <v>64</v>
      </c>
      <c r="G187" s="1">
        <f ca="1">IFERROR(__xludf.DUMMYFUNCTION("""COMPUTED_VALUE"""),2.55)</f>
        <v>2.5499999999999998</v>
      </c>
      <c r="J187" s="1" t="str">
        <f ca="1">IFERROR(__xludf.DUMMYFUNCTION("""COMPUTED_VALUE"""),"SAVE THE PLANET MUG")</f>
        <v>SAVE THE PLANET MUG</v>
      </c>
      <c r="K187" s="1">
        <f ca="1">IFERROR(__xludf.DUMMYFUNCTION("""COMPUTED_VALUE"""),-12)</f>
        <v>-12</v>
      </c>
      <c r="L187" s="1">
        <f ca="1">IFERROR(__xludf.DUMMYFUNCTION("""COMPUTED_VALUE"""),1.25)</f>
        <v>1.25</v>
      </c>
      <c r="T187" s="1"/>
      <c r="U187" s="1">
        <f ca="1">IFERROR(__xludf.DUMMYFUNCTION("""COMPUTED_VALUE"""),-15)</f>
        <v>-15</v>
      </c>
    </row>
    <row r="188" spans="1:21" ht="12.75" x14ac:dyDescent="0.2">
      <c r="A188" s="3">
        <f ca="1">IFERROR(__xludf.DUMMYFUNCTION("""COMPUTED_VALUE"""),40148.4395833333)</f>
        <v>40148.439583333296</v>
      </c>
      <c r="B188" s="1">
        <f ca="1">IFERROR(__xludf.DUMMYFUNCTION("""COMPUTED_VALUE"""),1.25)</f>
        <v>1.25</v>
      </c>
      <c r="E188" s="1" t="str">
        <f ca="1">IFERROR(__xludf.DUMMYFUNCTION("""COMPUTED_VALUE"""),"ANTIQUE LILY FAIRY LIGHTS")</f>
        <v>ANTIQUE LILY FAIRY LIGHTS</v>
      </c>
      <c r="F188" s="1">
        <f ca="1">IFERROR(__xludf.DUMMYFUNCTION("""COMPUTED_VALUE"""),24)</f>
        <v>24</v>
      </c>
      <c r="G188" s="1">
        <f ca="1">IFERROR(__xludf.DUMMYFUNCTION("""COMPUTED_VALUE"""),4.25)</f>
        <v>4.25</v>
      </c>
      <c r="J188" s="1" t="str">
        <f ca="1">IFERROR(__xludf.DUMMYFUNCTION("""COMPUTED_VALUE"""),"ANTIQUE SILVER TEA GLASS ETCHED")</f>
        <v>ANTIQUE SILVER TEA GLASS ETCHED</v>
      </c>
      <c r="K188" s="1">
        <f ca="1">IFERROR(__xludf.DUMMYFUNCTION("""COMPUTED_VALUE"""),-12)</f>
        <v>-12</v>
      </c>
      <c r="L188" s="1">
        <f ca="1">IFERROR(__xludf.DUMMYFUNCTION("""COMPUTED_VALUE"""),1.25)</f>
        <v>1.25</v>
      </c>
      <c r="T188" s="1"/>
      <c r="U188" s="1">
        <f ca="1">IFERROR(__xludf.DUMMYFUNCTION("""COMPUTED_VALUE"""),-15)</f>
        <v>-15</v>
      </c>
    </row>
    <row r="189" spans="1:21" ht="12.75" x14ac:dyDescent="0.2">
      <c r="A189" s="3">
        <f ca="1">IFERROR(__xludf.DUMMYFUNCTION("""COMPUTED_VALUE"""),40148.4395833333)</f>
        <v>40148.439583333296</v>
      </c>
      <c r="B189" s="1">
        <f ca="1">IFERROR(__xludf.DUMMYFUNCTION("""COMPUTED_VALUE"""),2.95)</f>
        <v>2.95</v>
      </c>
      <c r="E189" s="1" t="str">
        <f ca="1">IFERROR(__xludf.DUMMYFUNCTION("""COMPUTED_VALUE"""),"RED HANGING HEART T-LIGHT HOLDER")</f>
        <v>RED HANGING HEART T-LIGHT HOLDER</v>
      </c>
      <c r="F189" s="1">
        <f ca="1">IFERROR(__xludf.DUMMYFUNCTION("""COMPUTED_VALUE"""),20)</f>
        <v>20</v>
      </c>
      <c r="G189" s="1">
        <f ca="1">IFERROR(__xludf.DUMMYFUNCTION("""COMPUTED_VALUE"""),2.95)</f>
        <v>2.95</v>
      </c>
      <c r="J189" s="1" t="str">
        <f ca="1">IFERROR(__xludf.DUMMYFUNCTION("""COMPUTED_VALUE"""),"PAPER BUNTING RETRO SPOTS")</f>
        <v>PAPER BUNTING RETRO SPOTS</v>
      </c>
      <c r="K189" s="1">
        <f ca="1">IFERROR(__xludf.DUMMYFUNCTION("""COMPUTED_VALUE"""),-12)</f>
        <v>-12</v>
      </c>
      <c r="L189" s="1">
        <f ca="1">IFERROR(__xludf.DUMMYFUNCTION("""COMPUTED_VALUE"""),2.95)</f>
        <v>2.95</v>
      </c>
      <c r="T189" s="1"/>
      <c r="U189" s="1">
        <f ca="1">IFERROR(__xludf.DUMMYFUNCTION("""COMPUTED_VALUE"""),-35.4)</f>
        <v>-35.4</v>
      </c>
    </row>
    <row r="190" spans="1:21" ht="12.75" x14ac:dyDescent="0.2">
      <c r="A190" s="3">
        <f ca="1">IFERROR(__xludf.DUMMYFUNCTION("""COMPUTED_VALUE"""),40148.4395833333)</f>
        <v>40148.439583333296</v>
      </c>
      <c r="B190" s="1">
        <f ca="1">IFERROR(__xludf.DUMMYFUNCTION("""COMPUTED_VALUE"""),0.85)</f>
        <v>0.85</v>
      </c>
      <c r="E190" s="1" t="str">
        <f ca="1">IFERROR(__xludf.DUMMYFUNCTION("""COMPUTED_VALUE"""),"FOLDING UMBRELLA , BLACK/BLUE  SPOT")</f>
        <v>FOLDING UMBRELLA , BLACK/BLUE  SPOT</v>
      </c>
      <c r="F190" s="1">
        <f ca="1">IFERROR(__xludf.DUMMYFUNCTION("""COMPUTED_VALUE"""),12)</f>
        <v>12</v>
      </c>
      <c r="G190" s="1">
        <f ca="1">IFERROR(__xludf.DUMMYFUNCTION("""COMPUTED_VALUE"""),4.95)</f>
        <v>4.95</v>
      </c>
      <c r="J190" s="1" t="str">
        <f ca="1">IFERROR(__xludf.DUMMYFUNCTION("""COMPUTED_VALUE"""),"HANGING HEART ZINC T-LIGHT HOLDER")</f>
        <v>HANGING HEART ZINC T-LIGHT HOLDER</v>
      </c>
      <c r="K190" s="1">
        <f ca="1">IFERROR(__xludf.DUMMYFUNCTION("""COMPUTED_VALUE"""),-24)</f>
        <v>-24</v>
      </c>
      <c r="L190" s="1">
        <f ca="1">IFERROR(__xludf.DUMMYFUNCTION("""COMPUTED_VALUE"""),0.85)</f>
        <v>0.85</v>
      </c>
      <c r="T190" s="1"/>
      <c r="U190" s="1">
        <f ca="1">IFERROR(__xludf.DUMMYFUNCTION("""COMPUTED_VALUE"""),-20.4)</f>
        <v>-20.399999999999999</v>
      </c>
    </row>
    <row r="191" spans="1:21" ht="12.75" x14ac:dyDescent="0.2">
      <c r="A191" s="3">
        <f ca="1">IFERROR(__xludf.DUMMYFUNCTION("""COMPUTED_VALUE"""),40148.4416666666)</f>
        <v>40148.4416666666</v>
      </c>
      <c r="B191" s="1">
        <f ca="1">IFERROR(__xludf.DUMMYFUNCTION("""COMPUTED_VALUE"""),0.85)</f>
        <v>0.85</v>
      </c>
      <c r="E191" s="1" t="str">
        <f ca="1">IFERROR(__xludf.DUMMYFUNCTION("""COMPUTED_VALUE"""),"FOLDING UMBRELLA  PINK/WHITE  SPOT")</f>
        <v>FOLDING UMBRELLA  PINK/WHITE  SPOT</v>
      </c>
      <c r="F191" s="1">
        <f ca="1">IFERROR(__xludf.DUMMYFUNCTION("""COMPUTED_VALUE"""),12)</f>
        <v>12</v>
      </c>
      <c r="G191" s="1">
        <f ca="1">IFERROR(__xludf.DUMMYFUNCTION("""COMPUTED_VALUE"""),4.95)</f>
        <v>4.95</v>
      </c>
      <c r="J191" s="1" t="str">
        <f ca="1">IFERROR(__xludf.DUMMYFUNCTION("""COMPUTED_VALUE"""),"HANGING HEART ZINC T-LIGHT HOLDER")</f>
        <v>HANGING HEART ZINC T-LIGHT HOLDER</v>
      </c>
      <c r="K191" s="1">
        <f ca="1">IFERROR(__xludf.DUMMYFUNCTION("""COMPUTED_VALUE"""),24)</f>
        <v>24</v>
      </c>
      <c r="L191" s="1">
        <f ca="1">IFERROR(__xludf.DUMMYFUNCTION("""COMPUTED_VALUE"""),0.85)</f>
        <v>0.85</v>
      </c>
      <c r="T191" s="1">
        <f ca="1">IFERROR(__xludf.DUMMYFUNCTION("""COMPUTED_VALUE"""),489450)</f>
        <v>489450</v>
      </c>
      <c r="U191" s="1">
        <f ca="1">IFERROR(__xludf.DUMMYFUNCTION("""COMPUTED_VALUE"""),20.4)</f>
        <v>20.399999999999999</v>
      </c>
    </row>
    <row r="192" spans="1:21" ht="12.75" x14ac:dyDescent="0.2">
      <c r="A192" s="3">
        <f ca="1">IFERROR(__xludf.DUMMYFUNCTION("""COMPUTED_VALUE"""),40148.4416666666)</f>
        <v>40148.4416666666</v>
      </c>
      <c r="B192" s="1">
        <f ca="1">IFERROR(__xludf.DUMMYFUNCTION("""COMPUTED_VALUE"""),2.95)</f>
        <v>2.95</v>
      </c>
      <c r="E192" s="1" t="str">
        <f ca="1">IFERROR(__xludf.DUMMYFUNCTION("""COMPUTED_VALUE"""),"FOLDING UMBRELLA  CREAM/MULTI  SPOT")</f>
        <v>FOLDING UMBRELLA  CREAM/MULTI  SPOT</v>
      </c>
      <c r="F192" s="1">
        <f ca="1">IFERROR(__xludf.DUMMYFUNCTION("""COMPUTED_VALUE"""),12)</f>
        <v>12</v>
      </c>
      <c r="G192" s="1">
        <f ca="1">IFERROR(__xludf.DUMMYFUNCTION("""COMPUTED_VALUE"""),4.95)</f>
        <v>4.95</v>
      </c>
      <c r="J192" s="1" t="str">
        <f ca="1">IFERROR(__xludf.DUMMYFUNCTION("""COMPUTED_VALUE"""),"PAPER BUNTING WHITE LACE")</f>
        <v>PAPER BUNTING WHITE LACE</v>
      </c>
      <c r="K192" s="1">
        <f ca="1">IFERROR(__xludf.DUMMYFUNCTION("""COMPUTED_VALUE"""),12)</f>
        <v>12</v>
      </c>
      <c r="L192" s="1">
        <f ca="1">IFERROR(__xludf.DUMMYFUNCTION("""COMPUTED_VALUE"""),2.95)</f>
        <v>2.95</v>
      </c>
      <c r="T192" s="1">
        <f ca="1">IFERROR(__xludf.DUMMYFUNCTION("""COMPUTED_VALUE"""),489450)</f>
        <v>489450</v>
      </c>
      <c r="U192" s="1">
        <f ca="1">IFERROR(__xludf.DUMMYFUNCTION("""COMPUTED_VALUE"""),35.4)</f>
        <v>35.4</v>
      </c>
    </row>
    <row r="193" spans="1:21" ht="12.75" x14ac:dyDescent="0.2">
      <c r="A193" s="3">
        <f ca="1">IFERROR(__xludf.DUMMYFUNCTION("""COMPUTED_VALUE"""),40148.4416666666)</f>
        <v>40148.4416666666</v>
      </c>
      <c r="B193" s="1">
        <f ca="1">IFERROR(__xludf.DUMMYFUNCTION("""COMPUTED_VALUE"""),2.95)</f>
        <v>2.95</v>
      </c>
      <c r="E193" s="1" t="str">
        <f ca="1">IFERROR(__xludf.DUMMYFUNCTION("""COMPUTED_VALUE"""),"FOLDING UMBRELLA , RED/WHITE SPOT")</f>
        <v>FOLDING UMBRELLA , RED/WHITE SPOT</v>
      </c>
      <c r="F193" s="1">
        <f ca="1">IFERROR(__xludf.DUMMYFUNCTION("""COMPUTED_VALUE"""),12)</f>
        <v>12</v>
      </c>
      <c r="G193" s="1">
        <f ca="1">IFERROR(__xludf.DUMMYFUNCTION("""COMPUTED_VALUE"""),4.95)</f>
        <v>4.95</v>
      </c>
      <c r="J193" s="1" t="str">
        <f ca="1">IFERROR(__xludf.DUMMYFUNCTION("""COMPUTED_VALUE"""),"PAPER CHAIN KIT RETRO SPOT")</f>
        <v>PAPER CHAIN KIT RETRO SPOT</v>
      </c>
      <c r="K193" s="1">
        <f ca="1">IFERROR(__xludf.DUMMYFUNCTION("""COMPUTED_VALUE"""),12)</f>
        <v>12</v>
      </c>
      <c r="L193" s="1">
        <f ca="1">IFERROR(__xludf.DUMMYFUNCTION("""COMPUTED_VALUE"""),2.95)</f>
        <v>2.95</v>
      </c>
      <c r="T193" s="1">
        <f ca="1">IFERROR(__xludf.DUMMYFUNCTION("""COMPUTED_VALUE"""),489450)</f>
        <v>489450</v>
      </c>
      <c r="U193" s="1">
        <f ca="1">IFERROR(__xludf.DUMMYFUNCTION("""COMPUTED_VALUE"""),35.4)</f>
        <v>35.4</v>
      </c>
    </row>
    <row r="194" spans="1:21" ht="12.75" x14ac:dyDescent="0.2">
      <c r="A194" s="3">
        <f ca="1">IFERROR(__xludf.DUMMYFUNCTION("""COMPUTED_VALUE"""),40148.4416666666)</f>
        <v>40148.4416666666</v>
      </c>
      <c r="B194" s="1">
        <f ca="1">IFERROR(__xludf.DUMMYFUNCTION("""COMPUTED_VALUE"""),1.25)</f>
        <v>1.25</v>
      </c>
      <c r="E194" s="1" t="str">
        <f ca="1">IFERROR(__xludf.DUMMYFUNCTION("""COMPUTED_VALUE"""),"FOLDING UMBRELLA  WHITE/RED  SPOT")</f>
        <v>FOLDING UMBRELLA  WHITE/RED  SPOT</v>
      </c>
      <c r="F194" s="1">
        <f ca="1">IFERROR(__xludf.DUMMYFUNCTION("""COMPUTED_VALUE"""),12)</f>
        <v>12</v>
      </c>
      <c r="G194" s="1">
        <f ca="1">IFERROR(__xludf.DUMMYFUNCTION("""COMPUTED_VALUE"""),4.95)</f>
        <v>4.95</v>
      </c>
      <c r="J194" s="1" t="str">
        <f ca="1">IFERROR(__xludf.DUMMYFUNCTION("""COMPUTED_VALUE"""),"SAVE THE PLANET MUG")</f>
        <v>SAVE THE PLANET MUG</v>
      </c>
      <c r="K194" s="1">
        <f ca="1">IFERROR(__xludf.DUMMYFUNCTION("""COMPUTED_VALUE"""),12)</f>
        <v>12</v>
      </c>
      <c r="L194" s="1">
        <f ca="1">IFERROR(__xludf.DUMMYFUNCTION("""COMPUTED_VALUE"""),1.25)</f>
        <v>1.25</v>
      </c>
      <c r="T194" s="1">
        <f ca="1">IFERROR(__xludf.DUMMYFUNCTION("""COMPUTED_VALUE"""),489450)</f>
        <v>489450</v>
      </c>
      <c r="U194" s="1">
        <f ca="1">IFERROR(__xludf.DUMMYFUNCTION("""COMPUTED_VALUE"""),15)</f>
        <v>15</v>
      </c>
    </row>
    <row r="195" spans="1:21" ht="12.75" x14ac:dyDescent="0.2">
      <c r="A195" s="3">
        <f ca="1">IFERROR(__xludf.DUMMYFUNCTION("""COMPUTED_VALUE"""),40148.4416666666)</f>
        <v>40148.4416666666</v>
      </c>
      <c r="B195" s="1">
        <f ca="1">IFERROR(__xludf.DUMMYFUNCTION("""COMPUTED_VALUE"""),1.25)</f>
        <v>1.25</v>
      </c>
      <c r="E195" s="1" t="str">
        <f ca="1">IFERROR(__xludf.DUMMYFUNCTION("""COMPUTED_VALUE"""),"FUNKY WASHING UP GLOVES ASSORTED")</f>
        <v>FUNKY WASHING UP GLOVES ASSORTED</v>
      </c>
      <c r="F195" s="1">
        <f ca="1">IFERROR(__xludf.DUMMYFUNCTION("""COMPUTED_VALUE"""),12)</f>
        <v>12</v>
      </c>
      <c r="G195" s="1">
        <f ca="1">IFERROR(__xludf.DUMMYFUNCTION("""COMPUTED_VALUE"""),2.1)</f>
        <v>2.1</v>
      </c>
      <c r="J195" s="1" t="str">
        <f ca="1">IFERROR(__xludf.DUMMYFUNCTION("""COMPUTED_VALUE"""),"ANTIQUE SILVER TEA GLASS ETCHED")</f>
        <v>ANTIQUE SILVER TEA GLASS ETCHED</v>
      </c>
      <c r="K195" s="1">
        <f ca="1">IFERROR(__xludf.DUMMYFUNCTION("""COMPUTED_VALUE"""),12)</f>
        <v>12</v>
      </c>
      <c r="L195" s="1">
        <f ca="1">IFERROR(__xludf.DUMMYFUNCTION("""COMPUTED_VALUE"""),1.25)</f>
        <v>1.25</v>
      </c>
      <c r="T195" s="1">
        <f ca="1">IFERROR(__xludf.DUMMYFUNCTION("""COMPUTED_VALUE"""),489450)</f>
        <v>489450</v>
      </c>
      <c r="U195" s="1">
        <f ca="1">IFERROR(__xludf.DUMMYFUNCTION("""COMPUTED_VALUE"""),15)</f>
        <v>15</v>
      </c>
    </row>
    <row r="196" spans="1:21" ht="12.75" x14ac:dyDescent="0.2">
      <c r="A196" s="3">
        <f ca="1">IFERROR(__xludf.DUMMYFUNCTION("""COMPUTED_VALUE"""),40148.4416666666)</f>
        <v>40148.4416666666</v>
      </c>
      <c r="B196" s="1">
        <f ca="1">IFERROR(__xludf.DUMMYFUNCTION("""COMPUTED_VALUE"""),2.95)</f>
        <v>2.95</v>
      </c>
      <c r="E196" s="1" t="str">
        <f ca="1">IFERROR(__xludf.DUMMYFUNCTION("""COMPUTED_VALUE"""),"HOT WATER BOTTLE TEA AND SYMPATHY")</f>
        <v>HOT WATER BOTTLE TEA AND SYMPATHY</v>
      </c>
      <c r="F196" s="1">
        <f ca="1">IFERROR(__xludf.DUMMYFUNCTION("""COMPUTED_VALUE"""),12)</f>
        <v>12</v>
      </c>
      <c r="G196" s="1">
        <f ca="1">IFERROR(__xludf.DUMMYFUNCTION("""COMPUTED_VALUE"""),3.95)</f>
        <v>3.95</v>
      </c>
      <c r="J196" s="1" t="str">
        <f ca="1">IFERROR(__xludf.DUMMYFUNCTION("""COMPUTED_VALUE"""),"PAPER BUNTING RETRO SPOTS")</f>
        <v>PAPER BUNTING RETRO SPOTS</v>
      </c>
      <c r="K196" s="1">
        <f ca="1">IFERROR(__xludf.DUMMYFUNCTION("""COMPUTED_VALUE"""),12)</f>
        <v>12</v>
      </c>
      <c r="L196" s="1">
        <f ca="1">IFERROR(__xludf.DUMMYFUNCTION("""COMPUTED_VALUE"""),2.95)</f>
        <v>2.95</v>
      </c>
      <c r="T196" s="1">
        <f ca="1">IFERROR(__xludf.DUMMYFUNCTION("""COMPUTED_VALUE"""),489450)</f>
        <v>489450</v>
      </c>
      <c r="U196" s="1">
        <f ca="1">IFERROR(__xludf.DUMMYFUNCTION("""COMPUTED_VALUE"""),35.4)</f>
        <v>35.4</v>
      </c>
    </row>
    <row r="197" spans="1:21" ht="12.75" x14ac:dyDescent="0.2">
      <c r="A197" s="3">
        <f ca="1">IFERROR(__xludf.DUMMYFUNCTION("""COMPUTED_VALUE"""),40148.4416666666)</f>
        <v>40148.4416666666</v>
      </c>
      <c r="B197" s="1">
        <f ca="1">IFERROR(__xludf.DUMMYFUNCTION("""COMPUTED_VALUE"""),1.65)</f>
        <v>1.65</v>
      </c>
      <c r="E197" s="1" t="str">
        <f ca="1">IFERROR(__xludf.DUMMYFUNCTION("""COMPUTED_VALUE"""),"RETRO BLUE SPOTTY WASHING UP GLOVES")</f>
        <v>RETRO BLUE SPOTTY WASHING UP GLOVES</v>
      </c>
      <c r="F197" s="1">
        <f ca="1">IFERROR(__xludf.DUMMYFUNCTION("""COMPUTED_VALUE"""),8)</f>
        <v>8</v>
      </c>
      <c r="G197" s="1">
        <f ca="1">IFERROR(__xludf.DUMMYFUNCTION("""COMPUTED_VALUE"""),2.1)</f>
        <v>2.1</v>
      </c>
      <c r="J197" s="1" t="str">
        <f ca="1">IFERROR(__xludf.DUMMYFUNCTION("""COMPUTED_VALUE"""),"CREAM FELT EASTER EGG BASKET")</f>
        <v>CREAM FELT EASTER EGG BASKET</v>
      </c>
      <c r="K197" s="1">
        <f ca="1">IFERROR(__xludf.DUMMYFUNCTION("""COMPUTED_VALUE"""),6)</f>
        <v>6</v>
      </c>
      <c r="L197" s="1">
        <f ca="1">IFERROR(__xludf.DUMMYFUNCTION("""COMPUTED_VALUE"""),1.65)</f>
        <v>1.65</v>
      </c>
      <c r="T197" s="1">
        <f ca="1">IFERROR(__xludf.DUMMYFUNCTION("""COMPUTED_VALUE"""),489450)</f>
        <v>489450</v>
      </c>
      <c r="U197" s="1">
        <f ca="1">IFERROR(__xludf.DUMMYFUNCTION("""COMPUTED_VALUE"""),9.89999999999999)</f>
        <v>9.8999999999999897</v>
      </c>
    </row>
    <row r="198" spans="1:21" ht="12.75" x14ac:dyDescent="0.2">
      <c r="A198" s="3">
        <f ca="1">IFERROR(__xludf.DUMMYFUNCTION("""COMPUTED_VALUE"""),40148.4416666666)</f>
        <v>40148.4416666666</v>
      </c>
      <c r="B198" s="1">
        <f ca="1">IFERROR(__xludf.DUMMYFUNCTION("""COMPUTED_VALUE"""),2.1)</f>
        <v>2.1</v>
      </c>
      <c r="E198" s="1" t="str">
        <f ca="1">IFERROR(__xludf.DUMMYFUNCTION("""COMPUTED_VALUE"""),"RETRO PINK SPOT WASHING UP GLOVES")</f>
        <v>RETRO PINK SPOT WASHING UP GLOVES</v>
      </c>
      <c r="F198" s="1">
        <f ca="1">IFERROR(__xludf.DUMMYFUNCTION("""COMPUTED_VALUE"""),8)</f>
        <v>8</v>
      </c>
      <c r="G198" s="1">
        <f ca="1">IFERROR(__xludf.DUMMYFUNCTION("""COMPUTED_VALUE"""),2.1)</f>
        <v>2.1</v>
      </c>
      <c r="J198" s="1" t="str">
        <f ca="1">IFERROR(__xludf.DUMMYFUNCTION("""COMPUTED_VALUE"""),"POTTING SHED TWINE")</f>
        <v>POTTING SHED TWINE</v>
      </c>
      <c r="K198" s="1">
        <f ca="1">IFERROR(__xludf.DUMMYFUNCTION("""COMPUTED_VALUE"""),6)</f>
        <v>6</v>
      </c>
      <c r="L198" s="1">
        <f ca="1">IFERROR(__xludf.DUMMYFUNCTION("""COMPUTED_VALUE"""),2.1)</f>
        <v>2.1</v>
      </c>
      <c r="T198" s="1">
        <f ca="1">IFERROR(__xludf.DUMMYFUNCTION("""COMPUTED_VALUE"""),489450)</f>
        <v>489450</v>
      </c>
      <c r="U198" s="1">
        <f ca="1">IFERROR(__xludf.DUMMYFUNCTION("""COMPUTED_VALUE"""),12.6)</f>
        <v>12.6</v>
      </c>
    </row>
    <row r="199" spans="1:21" ht="12.75" x14ac:dyDescent="0.2">
      <c r="A199" s="3">
        <f ca="1">IFERROR(__xludf.DUMMYFUNCTION("""COMPUTED_VALUE"""),40148.4416666666)</f>
        <v>40148.4416666666</v>
      </c>
      <c r="B199" s="1">
        <f ca="1">IFERROR(__xludf.DUMMYFUNCTION("""COMPUTED_VALUE"""),4.25)</f>
        <v>4.25</v>
      </c>
      <c r="E199" s="1" t="str">
        <f ca="1">IFERROR(__xludf.DUMMYFUNCTION("""COMPUTED_VALUE"""),"RETRO RED SPOTTY WASHING UP GLOVES")</f>
        <v>RETRO RED SPOTTY WASHING UP GLOVES</v>
      </c>
      <c r="F199" s="1">
        <f ca="1">IFERROR(__xludf.DUMMYFUNCTION("""COMPUTED_VALUE"""),8)</f>
        <v>8</v>
      </c>
      <c r="G199" s="1">
        <f ca="1">IFERROR(__xludf.DUMMYFUNCTION("""COMPUTED_VALUE"""),2.1)</f>
        <v>2.1</v>
      </c>
      <c r="J199" s="1" t="str">
        <f ca="1">IFERROR(__xludf.DUMMYFUNCTION("""COMPUTED_VALUE"""),"POTTING SHED SOW 'N' GROW SET")</f>
        <v>POTTING SHED SOW 'N' GROW SET</v>
      </c>
      <c r="K199" s="1">
        <f ca="1">IFERROR(__xludf.DUMMYFUNCTION("""COMPUTED_VALUE"""),4)</f>
        <v>4</v>
      </c>
      <c r="L199" s="1">
        <f ca="1">IFERROR(__xludf.DUMMYFUNCTION("""COMPUTED_VALUE"""),4.25)</f>
        <v>4.25</v>
      </c>
      <c r="T199" s="1">
        <f ca="1">IFERROR(__xludf.DUMMYFUNCTION("""COMPUTED_VALUE"""),489450)</f>
        <v>489450</v>
      </c>
      <c r="U199" s="1">
        <f ca="1">IFERROR(__xludf.DUMMYFUNCTION("""COMPUTED_VALUE"""),17)</f>
        <v>17</v>
      </c>
    </row>
    <row r="200" spans="1:21" ht="12.75" x14ac:dyDescent="0.2">
      <c r="A200" s="3">
        <f ca="1">IFERROR(__xludf.DUMMYFUNCTION("""COMPUTED_VALUE"""),40148.4472222222)</f>
        <v>40148.447222222203</v>
      </c>
      <c r="B200" s="1">
        <f ca="1">IFERROR(__xludf.DUMMYFUNCTION("""COMPUTED_VALUE"""),6.35)</f>
        <v>6.35</v>
      </c>
      <c r="E200" s="1" t="str">
        <f ca="1">IFERROR(__xludf.DUMMYFUNCTION("""COMPUTED_VALUE"""),"FAWN BLUE HOT WATER BOTTLE")</f>
        <v>FAWN BLUE HOT WATER BOTTLE</v>
      </c>
      <c r="F200" s="1">
        <f ca="1">IFERROR(__xludf.DUMMYFUNCTION("""COMPUTED_VALUE"""),8)</f>
        <v>8</v>
      </c>
      <c r="G200" s="1">
        <f ca="1">IFERROR(__xludf.DUMMYFUNCTION("""COMPUTED_VALUE"""),2.95)</f>
        <v>2.95</v>
      </c>
      <c r="J200" s="1" t="str">
        <f ca="1">IFERROR(__xludf.DUMMYFUNCTION("""COMPUTED_VALUE"""),"DIAMANTE BOW BROOCH BLACK COLOUR")</f>
        <v>DIAMANTE BOW BROOCH BLACK COLOUR</v>
      </c>
      <c r="K200" s="1">
        <f ca="1">IFERROR(__xludf.DUMMYFUNCTION("""COMPUTED_VALUE"""),-2)</f>
        <v>-2</v>
      </c>
      <c r="L200" s="1">
        <f ca="1">IFERROR(__xludf.DUMMYFUNCTION("""COMPUTED_VALUE"""),6.35)</f>
        <v>6.35</v>
      </c>
      <c r="T200" s="1"/>
      <c r="U200" s="1">
        <f ca="1">IFERROR(__xludf.DUMMYFUNCTION("""COMPUTED_VALUE"""),-12.7)</f>
        <v>-12.7</v>
      </c>
    </row>
    <row r="201" spans="1:21" ht="12.75" x14ac:dyDescent="0.2">
      <c r="A201" s="3">
        <f ca="1">IFERROR(__xludf.DUMMYFUNCTION("""COMPUTED_VALUE"""),40148.4472222222)</f>
        <v>40148.447222222203</v>
      </c>
      <c r="B201" s="1">
        <f ca="1">IFERROR(__xludf.DUMMYFUNCTION("""COMPUTED_VALUE"""),4.25)</f>
        <v>4.25</v>
      </c>
      <c r="E201" s="1" t="str">
        <f ca="1">IFERROR(__xludf.DUMMYFUNCTION("""COMPUTED_VALUE"""),"FELTCRAFT 6 FLOWER FRIENDS")</f>
        <v>FELTCRAFT 6 FLOWER FRIENDS</v>
      </c>
      <c r="F201" s="1">
        <f ca="1">IFERROR(__xludf.DUMMYFUNCTION("""COMPUTED_VALUE"""),-6)</f>
        <v>-6</v>
      </c>
      <c r="G201" s="1">
        <f ca="1">IFERROR(__xludf.DUMMYFUNCTION("""COMPUTED_VALUE"""),2.1)</f>
        <v>2.1</v>
      </c>
      <c r="J201" s="1" t="str">
        <f ca="1">IFERROR(__xludf.DUMMYFUNCTION("""COMPUTED_VALUE"""),"PURPLE SWEETHEART BRACELET")</f>
        <v>PURPLE SWEETHEART BRACELET</v>
      </c>
      <c r="K201" s="1">
        <f ca="1">IFERROR(__xludf.DUMMYFUNCTION("""COMPUTED_VALUE"""),-3)</f>
        <v>-3</v>
      </c>
      <c r="L201" s="1">
        <f ca="1">IFERROR(__xludf.DUMMYFUNCTION("""COMPUTED_VALUE"""),4.25)</f>
        <v>4.25</v>
      </c>
      <c r="T201" s="1"/>
      <c r="U201" s="1">
        <f ca="1">IFERROR(__xludf.DUMMYFUNCTION("""COMPUTED_VALUE"""),-12.75)</f>
        <v>-12.75</v>
      </c>
    </row>
    <row r="202" spans="1:21" ht="12.75" x14ac:dyDescent="0.2">
      <c r="A202" s="3">
        <f ca="1">IFERROR(__xludf.DUMMYFUNCTION("""COMPUTED_VALUE"""),40148.4472222222)</f>
        <v>40148.447222222203</v>
      </c>
      <c r="B202" s="1">
        <f ca="1">IFERROR(__xludf.DUMMYFUNCTION("""COMPUTED_VALUE"""),4.25)</f>
        <v>4.25</v>
      </c>
      <c r="E202" s="1" t="str">
        <f ca="1">IFERROR(__xludf.DUMMYFUNCTION("""COMPUTED_VALUE"""),"OPULENT VELVET CANDLE IN BOX")</f>
        <v>OPULENT VELVET CANDLE IN BOX</v>
      </c>
      <c r="F202" s="1">
        <f ca="1">IFERROR(__xludf.DUMMYFUNCTION("""COMPUTED_VALUE"""),6)</f>
        <v>6</v>
      </c>
      <c r="G202" s="1">
        <f ca="1">IFERROR(__xludf.DUMMYFUNCTION("""COMPUTED_VALUE"""),2.1)</f>
        <v>2.1</v>
      </c>
      <c r="J202" s="1" t="str">
        <f ca="1">IFERROR(__xludf.DUMMYFUNCTION("""COMPUTED_VALUE"""),"PINK SWEETHEART BRACELET")</f>
        <v>PINK SWEETHEART BRACELET</v>
      </c>
      <c r="K202" s="1">
        <f ca="1">IFERROR(__xludf.DUMMYFUNCTION("""COMPUTED_VALUE"""),-3)</f>
        <v>-3</v>
      </c>
      <c r="L202" s="1">
        <f ca="1">IFERROR(__xludf.DUMMYFUNCTION("""COMPUTED_VALUE"""),4.25)</f>
        <v>4.25</v>
      </c>
      <c r="T202" s="1"/>
      <c r="U202" s="1">
        <f ca="1">IFERROR(__xludf.DUMMYFUNCTION("""COMPUTED_VALUE"""),-12.75)</f>
        <v>-12.75</v>
      </c>
    </row>
    <row r="203" spans="1:21" ht="12.75" x14ac:dyDescent="0.2">
      <c r="A203" s="3">
        <f ca="1">IFERROR(__xludf.DUMMYFUNCTION("""COMPUTED_VALUE"""),40148.4472222222)</f>
        <v>40148.447222222203</v>
      </c>
      <c r="B203" s="1">
        <f ca="1">IFERROR(__xludf.DUMMYFUNCTION("""COMPUTED_VALUE"""),4.25)</f>
        <v>4.25</v>
      </c>
      <c r="E203" s="1" t="str">
        <f ca="1">IFERROR(__xludf.DUMMYFUNCTION("""COMPUTED_VALUE"""),"PAPER CHAIN KIT 50'S CHRISTMAS")</f>
        <v>PAPER CHAIN KIT 50'S CHRISTMAS</v>
      </c>
      <c r="F203" s="1">
        <f ca="1">IFERROR(__xludf.DUMMYFUNCTION("""COMPUTED_VALUE"""),5)</f>
        <v>5</v>
      </c>
      <c r="G203" s="1">
        <f ca="1">IFERROR(__xludf.DUMMYFUNCTION("""COMPUTED_VALUE"""),2.95)</f>
        <v>2.95</v>
      </c>
      <c r="J203" s="1" t="str">
        <f ca="1">IFERROR(__xludf.DUMMYFUNCTION("""COMPUTED_VALUE"""),"BLACK SWEETHEART BRACELET")</f>
        <v>BLACK SWEETHEART BRACELET</v>
      </c>
      <c r="K203" s="1">
        <f ca="1">IFERROR(__xludf.DUMMYFUNCTION("""COMPUTED_VALUE"""),-3)</f>
        <v>-3</v>
      </c>
      <c r="L203" s="1">
        <f ca="1">IFERROR(__xludf.DUMMYFUNCTION("""COMPUTED_VALUE"""),4.25)</f>
        <v>4.25</v>
      </c>
      <c r="T203" s="1"/>
      <c r="U203" s="1">
        <f ca="1">IFERROR(__xludf.DUMMYFUNCTION("""COMPUTED_VALUE"""),-12.75)</f>
        <v>-12.75</v>
      </c>
    </row>
    <row r="204" spans="1:21" ht="12.75" x14ac:dyDescent="0.2">
      <c r="A204" s="3">
        <f ca="1">IFERROR(__xludf.DUMMYFUNCTION("""COMPUTED_VALUE"""),40148.4472222222)</f>
        <v>40148.447222222203</v>
      </c>
      <c r="B204" s="1">
        <f ca="1">IFERROR(__xludf.DUMMYFUNCTION("""COMPUTED_VALUE"""),4.25)</f>
        <v>4.25</v>
      </c>
      <c r="E204" s="1" t="str">
        <f ca="1">IFERROR(__xludf.DUMMYFUNCTION("""COMPUTED_VALUE"""),"PINK 3 PIECE MINI DOTS CUTLERY SET")</f>
        <v>PINK 3 PIECE MINI DOTS CUTLERY SET</v>
      </c>
      <c r="F204" s="1">
        <f ca="1">IFERROR(__xludf.DUMMYFUNCTION("""COMPUTED_VALUE"""),4)</f>
        <v>4</v>
      </c>
      <c r="G204" s="1">
        <f ca="1">IFERROR(__xludf.DUMMYFUNCTION("""COMPUTED_VALUE"""),3.75)</f>
        <v>3.75</v>
      </c>
      <c r="J204" s="1" t="str">
        <f ca="1">IFERROR(__xludf.DUMMYFUNCTION("""COMPUTED_VALUE"""),"GREEN SWEETHEART BRACELET")</f>
        <v>GREEN SWEETHEART BRACELET</v>
      </c>
      <c r="K204" s="1">
        <f ca="1">IFERROR(__xludf.DUMMYFUNCTION("""COMPUTED_VALUE"""),-3)</f>
        <v>-3</v>
      </c>
      <c r="L204" s="1">
        <f ca="1">IFERROR(__xludf.DUMMYFUNCTION("""COMPUTED_VALUE"""),4.25)</f>
        <v>4.25</v>
      </c>
      <c r="T204" s="1"/>
      <c r="U204" s="1">
        <f ca="1">IFERROR(__xludf.DUMMYFUNCTION("""COMPUTED_VALUE"""),-12.75)</f>
        <v>-12.75</v>
      </c>
    </row>
    <row r="205" spans="1:21" ht="12.75" x14ac:dyDescent="0.2">
      <c r="A205" s="3">
        <f ca="1">IFERROR(__xludf.DUMMYFUNCTION("""COMPUTED_VALUE"""),40148.4472222222)</f>
        <v>40148.447222222203</v>
      </c>
      <c r="B205" s="1">
        <f ca="1">IFERROR(__xludf.DUMMYFUNCTION("""COMPUTED_VALUE"""),4.25)</f>
        <v>4.25</v>
      </c>
      <c r="E205" s="1" t="str">
        <f ca="1">IFERROR(__xludf.DUMMYFUNCTION("""COMPUTED_VALUE"""),"BLUE 3 PIECE MINI DOTS CUTLERY SET")</f>
        <v>BLUE 3 PIECE MINI DOTS CUTLERY SET</v>
      </c>
      <c r="F205" s="1">
        <f ca="1">IFERROR(__xludf.DUMMYFUNCTION("""COMPUTED_VALUE"""),4)</f>
        <v>4</v>
      </c>
      <c r="G205" s="1">
        <f ca="1">IFERROR(__xludf.DUMMYFUNCTION("""COMPUTED_VALUE"""),3.75)</f>
        <v>3.75</v>
      </c>
      <c r="J205" s="1" t="str">
        <f ca="1">IFERROR(__xludf.DUMMYFUNCTION("""COMPUTED_VALUE"""),"BLUE SWEETHEART BRACELET")</f>
        <v>BLUE SWEETHEART BRACELET</v>
      </c>
      <c r="K205" s="1">
        <f ca="1">IFERROR(__xludf.DUMMYFUNCTION("""COMPUTED_VALUE"""),-3)</f>
        <v>-3</v>
      </c>
      <c r="L205" s="1">
        <f ca="1">IFERROR(__xludf.DUMMYFUNCTION("""COMPUTED_VALUE"""),4.25)</f>
        <v>4.25</v>
      </c>
      <c r="T205" s="1"/>
      <c r="U205" s="1">
        <f ca="1">IFERROR(__xludf.DUMMYFUNCTION("""COMPUTED_VALUE"""),-12.75)</f>
        <v>-12.75</v>
      </c>
    </row>
    <row r="206" spans="1:21" ht="12.75" x14ac:dyDescent="0.2">
      <c r="A206" s="3">
        <f ca="1">IFERROR(__xludf.DUMMYFUNCTION("""COMPUTED_VALUE"""),40148.4472222222)</f>
        <v>40148.447222222203</v>
      </c>
      <c r="B206" s="1">
        <f ca="1">IFERROR(__xludf.DUMMYFUNCTION("""COMPUTED_VALUE"""),4.25)</f>
        <v>4.25</v>
      </c>
      <c r="E206" s="1" t="str">
        <f ca="1">IFERROR(__xludf.DUMMYFUNCTION("""COMPUTED_VALUE"""),"SWEETHEART CERAMIC TRINKET BOX")</f>
        <v>SWEETHEART CERAMIC TRINKET BOX</v>
      </c>
      <c r="F206" s="1">
        <f ca="1">IFERROR(__xludf.DUMMYFUNCTION("""COMPUTED_VALUE"""),4)</f>
        <v>4</v>
      </c>
      <c r="G206" s="1">
        <f ca="1">IFERROR(__xludf.DUMMYFUNCTION("""COMPUTED_VALUE"""),1.25)</f>
        <v>1.25</v>
      </c>
      <c r="J206" s="1" t="str">
        <f ca="1">IFERROR(__xludf.DUMMYFUNCTION("""COMPUTED_VALUE"""),"BLACK DIAMANTE EXPANDABLE RING")</f>
        <v>BLACK DIAMANTE EXPANDABLE RING</v>
      </c>
      <c r="K206" s="1">
        <f ca="1">IFERROR(__xludf.DUMMYFUNCTION("""COMPUTED_VALUE"""),-3)</f>
        <v>-3</v>
      </c>
      <c r="L206" s="1">
        <f ca="1">IFERROR(__xludf.DUMMYFUNCTION("""COMPUTED_VALUE"""),4.25)</f>
        <v>4.25</v>
      </c>
      <c r="T206" s="1"/>
      <c r="U206" s="1">
        <f ca="1">IFERROR(__xludf.DUMMYFUNCTION("""COMPUTED_VALUE"""),-12.75)</f>
        <v>-12.75</v>
      </c>
    </row>
    <row r="207" spans="1:21" ht="12.75" x14ac:dyDescent="0.2">
      <c r="A207" s="3">
        <f ca="1">IFERROR(__xludf.DUMMYFUNCTION("""COMPUTED_VALUE"""),40148.4472222222)</f>
        <v>40148.447222222203</v>
      </c>
      <c r="B207" s="1">
        <f ca="1">IFERROR(__xludf.DUMMYFUNCTION("""COMPUTED_VALUE"""),4.25)</f>
        <v>4.25</v>
      </c>
      <c r="E207" s="1" t="str">
        <f ca="1">IFERROR(__xludf.DUMMYFUNCTION("""COMPUTED_VALUE"""),"VINTAGE ROSE BEAD BRACELET BLUE")</f>
        <v>VINTAGE ROSE BEAD BRACELET BLUE</v>
      </c>
      <c r="F207" s="1">
        <f ca="1">IFERROR(__xludf.DUMMYFUNCTION("""COMPUTED_VALUE"""),4)</f>
        <v>4</v>
      </c>
      <c r="G207" s="1">
        <f ca="1">IFERROR(__xludf.DUMMYFUNCTION("""COMPUTED_VALUE"""),4.25)</f>
        <v>4.25</v>
      </c>
      <c r="J207" s="1" t="str">
        <f ca="1">IFERROR(__xludf.DUMMYFUNCTION("""COMPUTED_VALUE"""),"AMETHYST DIAMANTE EXPANDABLE RING")</f>
        <v>AMETHYST DIAMANTE EXPANDABLE RING</v>
      </c>
      <c r="K207" s="1">
        <f ca="1">IFERROR(__xludf.DUMMYFUNCTION("""COMPUTED_VALUE"""),-3)</f>
        <v>-3</v>
      </c>
      <c r="L207" s="1">
        <f ca="1">IFERROR(__xludf.DUMMYFUNCTION("""COMPUTED_VALUE"""),4.25)</f>
        <v>4.25</v>
      </c>
      <c r="T207" s="1"/>
      <c r="U207" s="1">
        <f ca="1">IFERROR(__xludf.DUMMYFUNCTION("""COMPUTED_VALUE"""),-12.75)</f>
        <v>-12.75</v>
      </c>
    </row>
    <row r="208" spans="1:21" ht="12.75" x14ac:dyDescent="0.2">
      <c r="A208" s="3">
        <f ca="1">IFERROR(__xludf.DUMMYFUNCTION("""COMPUTED_VALUE"""),40148.4472222222)</f>
        <v>40148.447222222203</v>
      </c>
      <c r="B208" s="1">
        <f ca="1">IFERROR(__xludf.DUMMYFUNCTION("""COMPUTED_VALUE"""),3.75)</f>
        <v>3.75</v>
      </c>
      <c r="E208" s="1" t="str">
        <f ca="1">IFERROR(__xludf.DUMMYFUNCTION("""COMPUTED_VALUE"""),"CHICK GREY HOT WATER BOTTLE")</f>
        <v>CHICK GREY HOT WATER BOTTLE</v>
      </c>
      <c r="F208" s="1">
        <f ca="1">IFERROR(__xludf.DUMMYFUNCTION("""COMPUTED_VALUE"""),3)</f>
        <v>3</v>
      </c>
      <c r="G208" s="1">
        <f ca="1">IFERROR(__xludf.DUMMYFUNCTION("""COMPUTED_VALUE"""),3.45)</f>
        <v>3.45</v>
      </c>
      <c r="J208" s="1" t="str">
        <f ca="1">IFERROR(__xludf.DUMMYFUNCTION("""COMPUTED_VALUE"""),"MIDNIGHT BLUE PAIR HEART HAIR SLIDE")</f>
        <v>MIDNIGHT BLUE PAIR HEART HAIR SLIDE</v>
      </c>
      <c r="K208" s="1">
        <f ca="1">IFERROR(__xludf.DUMMYFUNCTION("""COMPUTED_VALUE"""),-3)</f>
        <v>-3</v>
      </c>
      <c r="L208" s="1">
        <f ca="1">IFERROR(__xludf.DUMMYFUNCTION("""COMPUTED_VALUE"""),3.75)</f>
        <v>3.75</v>
      </c>
      <c r="T208" s="1"/>
      <c r="U208" s="1">
        <f ca="1">IFERROR(__xludf.DUMMYFUNCTION("""COMPUTED_VALUE"""),-11.25)</f>
        <v>-11.25</v>
      </c>
    </row>
    <row r="209" spans="1:21" ht="12.75" x14ac:dyDescent="0.2">
      <c r="A209" s="3">
        <f ca="1">IFERROR(__xludf.DUMMYFUNCTION("""COMPUTED_VALUE"""),40148.4472222222)</f>
        <v>40148.447222222203</v>
      </c>
      <c r="B209" s="1">
        <f ca="1">IFERROR(__xludf.DUMMYFUNCTION("""COMPUTED_VALUE"""),3.75)</f>
        <v>3.75</v>
      </c>
      <c r="E209" s="1" t="str">
        <f ca="1">IFERROR(__xludf.DUMMYFUNCTION("""COMPUTED_VALUE"""),"PINK CREAM FELT CRAFT TRINKET BOX")</f>
        <v>PINK CREAM FELT CRAFT TRINKET BOX</v>
      </c>
      <c r="F209" s="1">
        <f ca="1">IFERROR(__xludf.DUMMYFUNCTION("""COMPUTED_VALUE"""),3)</f>
        <v>3</v>
      </c>
      <c r="G209" s="1">
        <f ca="1">IFERROR(__xludf.DUMMYFUNCTION("""COMPUTED_VALUE"""),1.25)</f>
        <v>1.25</v>
      </c>
      <c r="J209" s="1" t="str">
        <f ca="1">IFERROR(__xludf.DUMMYFUNCTION("""COMPUTED_VALUE"""),"CRYSTAL PAIR HEART HAIR SLIDES")</f>
        <v>CRYSTAL PAIR HEART HAIR SLIDES</v>
      </c>
      <c r="K209" s="1">
        <f ca="1">IFERROR(__xludf.DUMMYFUNCTION("""COMPUTED_VALUE"""),-3)</f>
        <v>-3</v>
      </c>
      <c r="L209" s="1">
        <f ca="1">IFERROR(__xludf.DUMMYFUNCTION("""COMPUTED_VALUE"""),3.75)</f>
        <v>3.75</v>
      </c>
      <c r="T209" s="1"/>
      <c r="U209" s="1">
        <f ca="1">IFERROR(__xludf.DUMMYFUNCTION("""COMPUTED_VALUE"""),-11.25)</f>
        <v>-11.25</v>
      </c>
    </row>
    <row r="210" spans="1:21" ht="12.75" x14ac:dyDescent="0.2">
      <c r="A210" s="3">
        <f ca="1">IFERROR(__xludf.DUMMYFUNCTION("""COMPUTED_VALUE"""),40148.4472222222)</f>
        <v>40148.447222222203</v>
      </c>
      <c r="B210" s="1">
        <f ca="1">IFERROR(__xludf.DUMMYFUNCTION("""COMPUTED_VALUE"""),3.75)</f>
        <v>3.75</v>
      </c>
      <c r="E210" s="1" t="str">
        <f ca="1">IFERROR(__xludf.DUMMYFUNCTION("""COMPUTED_VALUE"""),"SET OF THREE 50'S GIFT WRAPS")</f>
        <v>SET OF THREE 50'S GIFT WRAPS</v>
      </c>
      <c r="F210" s="1">
        <f ca="1">IFERROR(__xludf.DUMMYFUNCTION("""COMPUTED_VALUE"""),3)</f>
        <v>3</v>
      </c>
      <c r="G210" s="1">
        <f ca="1">IFERROR(__xludf.DUMMYFUNCTION("""COMPUTED_VALUE"""),1.95)</f>
        <v>1.95</v>
      </c>
      <c r="J210" s="1" t="str">
        <f ca="1">IFERROR(__xludf.DUMMYFUNCTION("""COMPUTED_VALUE"""),"ROSE COLOUR PAIR HEART HAIR SLIDES")</f>
        <v>ROSE COLOUR PAIR HEART HAIR SLIDES</v>
      </c>
      <c r="K210" s="1">
        <f ca="1">IFERROR(__xludf.DUMMYFUNCTION("""COMPUTED_VALUE"""),-3)</f>
        <v>-3</v>
      </c>
      <c r="L210" s="1">
        <f ca="1">IFERROR(__xludf.DUMMYFUNCTION("""COMPUTED_VALUE"""),3.75)</f>
        <v>3.75</v>
      </c>
      <c r="T210" s="1"/>
      <c r="U210" s="1">
        <f ca="1">IFERROR(__xludf.DUMMYFUNCTION("""COMPUTED_VALUE"""),-11.25)</f>
        <v>-11.25</v>
      </c>
    </row>
    <row r="211" spans="1:21" ht="12.75" x14ac:dyDescent="0.2">
      <c r="A211" s="3">
        <f ca="1">IFERROR(__xludf.DUMMYFUNCTION("""COMPUTED_VALUE"""),40148.4472222222)</f>
        <v>40148.447222222203</v>
      </c>
      <c r="B211" s="1">
        <f ca="1">IFERROR(__xludf.DUMMYFUNCTION("""COMPUTED_VALUE"""),2.1)</f>
        <v>2.1</v>
      </c>
      <c r="E211" s="1" t="str">
        <f ca="1">IFERROR(__xludf.DUMMYFUNCTION("""COMPUTED_VALUE"""),"COFFEE MUG DOG + BALL DESIGN")</f>
        <v>COFFEE MUG DOG + BALL DESIGN</v>
      </c>
      <c r="F211" s="1">
        <f ca="1">IFERROR(__xludf.DUMMYFUNCTION("""COMPUTED_VALUE"""),3)</f>
        <v>3</v>
      </c>
      <c r="G211" s="1">
        <f ca="1">IFERROR(__xludf.DUMMYFUNCTION("""COMPUTED_VALUE"""),2.55)</f>
        <v>2.5499999999999998</v>
      </c>
      <c r="J211" s="1" t="str">
        <f ca="1">IFERROR(__xludf.DUMMYFUNCTION("""COMPUTED_VALUE"""),"PINK ENAMEL+GLASS HAIR COMB")</f>
        <v>PINK ENAMEL+GLASS HAIR COMB</v>
      </c>
      <c r="K211" s="1">
        <f ca="1">IFERROR(__xludf.DUMMYFUNCTION("""COMPUTED_VALUE"""),-3)</f>
        <v>-3</v>
      </c>
      <c r="L211" s="1">
        <f ca="1">IFERROR(__xludf.DUMMYFUNCTION("""COMPUTED_VALUE"""),2.1)</f>
        <v>2.1</v>
      </c>
      <c r="T211" s="1"/>
      <c r="U211" s="1">
        <f ca="1">IFERROR(__xludf.DUMMYFUNCTION("""COMPUTED_VALUE"""),-6.3)</f>
        <v>-6.3</v>
      </c>
    </row>
    <row r="212" spans="1:21" ht="12.75" x14ac:dyDescent="0.2">
      <c r="A212" s="3">
        <f ca="1">IFERROR(__xludf.DUMMYFUNCTION("""COMPUTED_VALUE"""),40148.4472222222)</f>
        <v>40148.447222222203</v>
      </c>
      <c r="B212" s="1">
        <f ca="1">IFERROR(__xludf.DUMMYFUNCTION("""COMPUTED_VALUE"""),2.1)</f>
        <v>2.1</v>
      </c>
      <c r="E212" s="1" t="str">
        <f ca="1">IFERROR(__xludf.DUMMYFUNCTION("""COMPUTED_VALUE"""),"MUSHROOM BLUE HOT WATER BOTTLE")</f>
        <v>MUSHROOM BLUE HOT WATER BOTTLE</v>
      </c>
      <c r="F212" s="1">
        <f ca="1">IFERROR(__xludf.DUMMYFUNCTION("""COMPUTED_VALUE"""),2)</f>
        <v>2</v>
      </c>
      <c r="G212" s="1">
        <f ca="1">IFERROR(__xludf.DUMMYFUNCTION("""COMPUTED_VALUE"""),2.95)</f>
        <v>2.95</v>
      </c>
      <c r="J212" s="1" t="str">
        <f ca="1">IFERROR(__xludf.DUMMYFUNCTION("""COMPUTED_VALUE"""),"PURPLE ENAMEL+GLASS HAIR COMB")</f>
        <v>PURPLE ENAMEL+GLASS HAIR COMB</v>
      </c>
      <c r="K212" s="1">
        <f ca="1">IFERROR(__xludf.DUMMYFUNCTION("""COMPUTED_VALUE"""),-3)</f>
        <v>-3</v>
      </c>
      <c r="L212" s="1">
        <f ca="1">IFERROR(__xludf.DUMMYFUNCTION("""COMPUTED_VALUE"""),2.1)</f>
        <v>2.1</v>
      </c>
      <c r="T212" s="1"/>
      <c r="U212" s="1">
        <f ca="1">IFERROR(__xludf.DUMMYFUNCTION("""COMPUTED_VALUE"""),-6.3)</f>
        <v>-6.3</v>
      </c>
    </row>
    <row r="213" spans="1:21" ht="12.75" x14ac:dyDescent="0.2">
      <c r="A213" s="3">
        <f ca="1">IFERROR(__xludf.DUMMYFUNCTION("""COMPUTED_VALUE"""),40148.4486111111)</f>
        <v>40148.448611111096</v>
      </c>
      <c r="B213" s="1">
        <f ca="1">IFERROR(__xludf.DUMMYFUNCTION("""COMPUTED_VALUE"""),0.21)</f>
        <v>0.21</v>
      </c>
      <c r="E213" s="1" t="str">
        <f ca="1">IFERROR(__xludf.DUMMYFUNCTION("""COMPUTED_VALUE"""),"PINK FLORAL FELTCRAFT SHOULDER BAG")</f>
        <v>PINK FLORAL FELTCRAFT SHOULDER BAG</v>
      </c>
      <c r="F213" s="1">
        <f ca="1">IFERROR(__xludf.DUMMYFUNCTION("""COMPUTED_VALUE"""),2)</f>
        <v>2</v>
      </c>
      <c r="G213" s="1">
        <f ca="1">IFERROR(__xludf.DUMMYFUNCTION("""COMPUTED_VALUE"""),3.75)</f>
        <v>3.75</v>
      </c>
      <c r="J213" s="1" t="str">
        <f ca="1">IFERROR(__xludf.DUMMYFUNCTION("""COMPUTED_VALUE"""),"BOYS ALPHABET IRON ON PATCHES")</f>
        <v>BOYS ALPHABET IRON ON PATCHES</v>
      </c>
      <c r="K213" s="1">
        <f ca="1">IFERROR(__xludf.DUMMYFUNCTION("""COMPUTED_VALUE"""),576)</f>
        <v>576</v>
      </c>
      <c r="L213" s="1">
        <f ca="1">IFERROR(__xludf.DUMMYFUNCTION("""COMPUTED_VALUE"""),0.21)</f>
        <v>0.21</v>
      </c>
      <c r="T213" s="1">
        <f ca="1">IFERROR(__xludf.DUMMYFUNCTION("""COMPUTED_VALUE"""),489460)</f>
        <v>489460</v>
      </c>
      <c r="U213" s="1">
        <f ca="1">IFERROR(__xludf.DUMMYFUNCTION("""COMPUTED_VALUE"""),120.96)</f>
        <v>120.96</v>
      </c>
    </row>
    <row r="214" spans="1:21" ht="12.75" x14ac:dyDescent="0.2">
      <c r="A214" s="3">
        <f ca="1">IFERROR(__xludf.DUMMYFUNCTION("""COMPUTED_VALUE"""),40148.4486111111)</f>
        <v>40148.448611111096</v>
      </c>
      <c r="B214" s="1">
        <f ca="1">IFERROR(__xludf.DUMMYFUNCTION("""COMPUTED_VALUE"""),0.21)</f>
        <v>0.21</v>
      </c>
      <c r="E214" s="1" t="str">
        <f ca="1">IFERROR(__xludf.DUMMYFUNCTION("""COMPUTED_VALUE"""),"CHARLIE AND LOLA CHARLOTTE BAG")</f>
        <v>CHARLIE AND LOLA CHARLOTTE BAG</v>
      </c>
      <c r="F214" s="1">
        <f ca="1">IFERROR(__xludf.DUMMYFUNCTION("""COMPUTED_VALUE"""),2)</f>
        <v>2</v>
      </c>
      <c r="G214" s="1">
        <f ca="1">IFERROR(__xludf.DUMMYFUNCTION("""COMPUTED_VALUE"""),1.65)</f>
        <v>1.65</v>
      </c>
      <c r="J214" s="1" t="str">
        <f ca="1">IFERROR(__xludf.DUMMYFUNCTION("""COMPUTED_VALUE"""),"GIRLS ALPHABET IRON ON PATCHES")</f>
        <v>GIRLS ALPHABET IRON ON PATCHES</v>
      </c>
      <c r="K214" s="1">
        <f ca="1">IFERROR(__xludf.DUMMYFUNCTION("""COMPUTED_VALUE"""),288)</f>
        <v>288</v>
      </c>
      <c r="L214" s="1">
        <f ca="1">IFERROR(__xludf.DUMMYFUNCTION("""COMPUTED_VALUE"""),0.21)</f>
        <v>0.21</v>
      </c>
      <c r="T214" s="1">
        <f ca="1">IFERROR(__xludf.DUMMYFUNCTION("""COMPUTED_VALUE"""),489460)</f>
        <v>489460</v>
      </c>
      <c r="U214" s="1">
        <f ca="1">IFERROR(__xludf.DUMMYFUNCTION("""COMPUTED_VALUE"""),60.48)</f>
        <v>60.48</v>
      </c>
    </row>
    <row r="215" spans="1:21" ht="12.75" x14ac:dyDescent="0.2">
      <c r="A215" s="3">
        <f ca="1">IFERROR(__xludf.DUMMYFUNCTION("""COMPUTED_VALUE"""),40148.4486111111)</f>
        <v>40148.448611111096</v>
      </c>
      <c r="B215" s="1">
        <f ca="1">IFERROR(__xludf.DUMMYFUNCTION("""COMPUTED_VALUE"""),0.55)</f>
        <v>0.55000000000000004</v>
      </c>
      <c r="E215" s="1" t="str">
        <f ca="1">IFERROR(__xludf.DUMMYFUNCTION("""COMPUTED_VALUE"""),"PINK CROCHET CAT WITH SCARF")</f>
        <v>PINK CROCHET CAT WITH SCARF</v>
      </c>
      <c r="F215" s="1">
        <f ca="1">IFERROR(__xludf.DUMMYFUNCTION("""COMPUTED_VALUE"""),2)</f>
        <v>2</v>
      </c>
      <c r="G215" s="1">
        <f ca="1">IFERROR(__xludf.DUMMYFUNCTION("""COMPUTED_VALUE"""),4.25)</f>
        <v>4.25</v>
      </c>
      <c r="J215" s="1" t="str">
        <f ca="1">IFERROR(__xludf.DUMMYFUNCTION("""COMPUTED_VALUE"""),"PACK OF 60 PINK PAISLEY CAKE CASES")</f>
        <v>PACK OF 60 PINK PAISLEY CAKE CASES</v>
      </c>
      <c r="K215" s="1">
        <f ca="1">IFERROR(__xludf.DUMMYFUNCTION("""COMPUTED_VALUE"""),24)</f>
        <v>24</v>
      </c>
      <c r="L215" s="1">
        <f ca="1">IFERROR(__xludf.DUMMYFUNCTION("""COMPUTED_VALUE"""),0.55)</f>
        <v>0.55000000000000004</v>
      </c>
      <c r="T215" s="1">
        <f ca="1">IFERROR(__xludf.DUMMYFUNCTION("""COMPUTED_VALUE"""),489460)</f>
        <v>489460</v>
      </c>
      <c r="U215" s="1">
        <f ca="1">IFERROR(__xludf.DUMMYFUNCTION("""COMPUTED_VALUE"""),13.2)</f>
        <v>13.2</v>
      </c>
    </row>
    <row r="216" spans="1:21" ht="12.75" x14ac:dyDescent="0.2">
      <c r="A216" s="3">
        <f ca="1">IFERROR(__xludf.DUMMYFUNCTION("""COMPUTED_VALUE"""),40148.4486111111)</f>
        <v>40148.448611111096</v>
      </c>
      <c r="B216" s="1">
        <f ca="1">IFERROR(__xludf.DUMMYFUNCTION("""COMPUTED_VALUE"""),0.55)</f>
        <v>0.55000000000000004</v>
      </c>
      <c r="E216" s="1" t="str">
        <f ca="1">IFERROR(__xludf.DUMMYFUNCTION("""COMPUTED_VALUE"""),"PINK JUMPER LARRY THE LAMB")</f>
        <v>PINK JUMPER LARRY THE LAMB</v>
      </c>
      <c r="F216" s="1">
        <f ca="1">IFERROR(__xludf.DUMMYFUNCTION("""COMPUTED_VALUE"""),2)</f>
        <v>2</v>
      </c>
      <c r="G216" s="1">
        <f ca="1">IFERROR(__xludf.DUMMYFUNCTION("""COMPUTED_VALUE"""),2.1)</f>
        <v>2.1</v>
      </c>
      <c r="J216" s="1" t="str">
        <f ca="1">IFERROR(__xludf.DUMMYFUNCTION("""COMPUTED_VALUE"""),"60 TEATIME FAIRY CAKE CASES")</f>
        <v>60 TEATIME FAIRY CAKE CASES</v>
      </c>
      <c r="K216" s="1">
        <f ca="1">IFERROR(__xludf.DUMMYFUNCTION("""COMPUTED_VALUE"""),24)</f>
        <v>24</v>
      </c>
      <c r="L216" s="1">
        <f ca="1">IFERROR(__xludf.DUMMYFUNCTION("""COMPUTED_VALUE"""),0.55)</f>
        <v>0.55000000000000004</v>
      </c>
      <c r="T216" s="1">
        <f ca="1">IFERROR(__xludf.DUMMYFUNCTION("""COMPUTED_VALUE"""),489460)</f>
        <v>489460</v>
      </c>
      <c r="U216" s="1">
        <f ca="1">IFERROR(__xludf.DUMMYFUNCTION("""COMPUTED_VALUE"""),13.2)</f>
        <v>13.2</v>
      </c>
    </row>
    <row r="217" spans="1:21" ht="12.75" x14ac:dyDescent="0.2">
      <c r="A217" s="3">
        <f ca="1">IFERROR(__xludf.DUMMYFUNCTION("""COMPUTED_VALUE"""),40148.4486111111)</f>
        <v>40148.448611111096</v>
      </c>
      <c r="B217" s="1">
        <f ca="1">IFERROR(__xludf.DUMMYFUNCTION("""COMPUTED_VALUE"""),1.65)</f>
        <v>1.65</v>
      </c>
      <c r="E217" s="1" t="str">
        <f ca="1">IFERROR(__xludf.DUMMYFUNCTION("""COMPUTED_VALUE"""),"COFFEE MUG CAT + BIRD DESIGN")</f>
        <v>COFFEE MUG CAT + BIRD DESIGN</v>
      </c>
      <c r="F217" s="1">
        <f ca="1">IFERROR(__xludf.DUMMYFUNCTION("""COMPUTED_VALUE"""),2)</f>
        <v>2</v>
      </c>
      <c r="G217" s="1">
        <f ca="1">IFERROR(__xludf.DUMMYFUNCTION("""COMPUTED_VALUE"""),2.55)</f>
        <v>2.5499999999999998</v>
      </c>
      <c r="J217" s="1" t="str">
        <f ca="1">IFERROR(__xludf.DUMMYFUNCTION("""COMPUTED_VALUE"""),"RED TOADSTOOL LED NIGHT LIGHT")</f>
        <v>RED TOADSTOOL LED NIGHT LIGHT</v>
      </c>
      <c r="K217" s="1">
        <f ca="1">IFERROR(__xludf.DUMMYFUNCTION("""COMPUTED_VALUE"""),12)</f>
        <v>12</v>
      </c>
      <c r="L217" s="1">
        <f ca="1">IFERROR(__xludf.DUMMYFUNCTION("""COMPUTED_VALUE"""),1.65)</f>
        <v>1.65</v>
      </c>
      <c r="T217" s="1">
        <f ca="1">IFERROR(__xludf.DUMMYFUNCTION("""COMPUTED_VALUE"""),489460)</f>
        <v>489460</v>
      </c>
      <c r="U217" s="1">
        <f ca="1">IFERROR(__xludf.DUMMYFUNCTION("""COMPUTED_VALUE"""),19.7999999999999)</f>
        <v>19.799999999999901</v>
      </c>
    </row>
    <row r="218" spans="1:21" ht="12.75" x14ac:dyDescent="0.2">
      <c r="A218" s="3">
        <f ca="1">IFERROR(__xludf.DUMMYFUNCTION("""COMPUTED_VALUE"""),40148.4486111111)</f>
        <v>40148.448611111096</v>
      </c>
      <c r="B218" s="1">
        <f ca="1">IFERROR(__xludf.DUMMYFUNCTION("""COMPUTED_VALUE"""),6.75)</f>
        <v>6.75</v>
      </c>
      <c r="E218" s="1" t="str">
        <f ca="1">IFERROR(__xludf.DUMMYFUNCTION("""COMPUTED_VALUE"""),"JUMBO STORAGE BAG SKULLS")</f>
        <v>JUMBO STORAGE BAG SKULLS</v>
      </c>
      <c r="F218" s="1">
        <f ca="1">IFERROR(__xludf.DUMMYFUNCTION("""COMPUTED_VALUE"""),2)</f>
        <v>2</v>
      </c>
      <c r="G218" s="1">
        <f ca="1">IFERROR(__xludf.DUMMYFUNCTION("""COMPUTED_VALUE"""),1.95)</f>
        <v>1.95</v>
      </c>
      <c r="J218" s="1" t="str">
        <f ca="1">IFERROR(__xludf.DUMMYFUNCTION("""COMPUTED_VALUE"""),"PINK CHERRY LIGHTS")</f>
        <v>PINK CHERRY LIGHTS</v>
      </c>
      <c r="K218" s="1">
        <f ca="1">IFERROR(__xludf.DUMMYFUNCTION("""COMPUTED_VALUE"""),8)</f>
        <v>8</v>
      </c>
      <c r="L218" s="1">
        <f ca="1">IFERROR(__xludf.DUMMYFUNCTION("""COMPUTED_VALUE"""),6.75)</f>
        <v>6.75</v>
      </c>
      <c r="T218" s="1">
        <f ca="1">IFERROR(__xludf.DUMMYFUNCTION("""COMPUTED_VALUE"""),489460)</f>
        <v>489460</v>
      </c>
      <c r="U218" s="1">
        <f ca="1">IFERROR(__xludf.DUMMYFUNCTION("""COMPUTED_VALUE"""),54)</f>
        <v>54</v>
      </c>
    </row>
    <row r="219" spans="1:21" ht="12.75" x14ac:dyDescent="0.2">
      <c r="A219" s="3">
        <f ca="1">IFERROR(__xludf.DUMMYFUNCTION("""COMPUTED_VALUE"""),40148.4486111111)</f>
        <v>40148.448611111096</v>
      </c>
      <c r="B219" s="1">
        <f ca="1">IFERROR(__xludf.DUMMYFUNCTION("""COMPUTED_VALUE"""),1.65)</f>
        <v>1.65</v>
      </c>
      <c r="E219" s="1" t="str">
        <f ca="1">IFERROR(__xludf.DUMMYFUNCTION("""COMPUTED_VALUE"""),"CHARLIE LOLA BLUE HOT WATER BOTTLE")</f>
        <v>CHARLIE LOLA BLUE HOT WATER BOTTLE</v>
      </c>
      <c r="F219" s="1">
        <f ca="1">IFERROR(__xludf.DUMMYFUNCTION("""COMPUTED_VALUE"""),1)</f>
        <v>1</v>
      </c>
      <c r="G219" s="1">
        <f ca="1">IFERROR(__xludf.DUMMYFUNCTION("""COMPUTED_VALUE"""),4.65)</f>
        <v>4.6500000000000004</v>
      </c>
      <c r="J219" s="1" t="str">
        <f ca="1">IFERROR(__xludf.DUMMYFUNCTION("""COMPUTED_VALUE"""),"3 PIECE JIGSAW TOADSTOOLS")</f>
        <v>3 PIECE JIGSAW TOADSTOOLS</v>
      </c>
      <c r="K219" s="1">
        <f ca="1">IFERROR(__xludf.DUMMYFUNCTION("""COMPUTED_VALUE"""),8)</f>
        <v>8</v>
      </c>
      <c r="L219" s="1">
        <f ca="1">IFERROR(__xludf.DUMMYFUNCTION("""COMPUTED_VALUE"""),1.65)</f>
        <v>1.65</v>
      </c>
      <c r="T219" s="1">
        <f ca="1">IFERROR(__xludf.DUMMYFUNCTION("""COMPUTED_VALUE"""),489460)</f>
        <v>489460</v>
      </c>
      <c r="U219" s="1">
        <f ca="1">IFERROR(__xludf.DUMMYFUNCTION("""COMPUTED_VALUE"""),13.2)</f>
        <v>13.2</v>
      </c>
    </row>
    <row r="220" spans="1:21" ht="12.75" x14ac:dyDescent="0.2">
      <c r="A220" s="3">
        <f ca="1">IFERROR(__xludf.DUMMYFUNCTION("""COMPUTED_VALUE"""),40148.4486111111)</f>
        <v>40148.448611111096</v>
      </c>
      <c r="B220" s="1">
        <f ca="1">IFERROR(__xludf.DUMMYFUNCTION("""COMPUTED_VALUE"""),6.75)</f>
        <v>6.75</v>
      </c>
      <c r="E220" s="1" t="str">
        <f ca="1">IFERROR(__xludf.DUMMYFUNCTION("""COMPUTED_VALUE"""),"CHARLIE+LOLA PINK HOT WATER BOTTLE")</f>
        <v>CHARLIE+LOLA PINK HOT WATER BOTTLE</v>
      </c>
      <c r="F220" s="1">
        <f ca="1">IFERROR(__xludf.DUMMYFUNCTION("""COMPUTED_VALUE"""),1)</f>
        <v>1</v>
      </c>
      <c r="G220" s="1">
        <f ca="1">IFERROR(__xludf.DUMMYFUNCTION("""COMPUTED_VALUE"""),2.95)</f>
        <v>2.95</v>
      </c>
      <c r="J220" s="1" t="str">
        <f ca="1">IFERROR(__xludf.DUMMYFUNCTION("""COMPUTED_VALUE"""),"WHITE CHERRY LIGHTS")</f>
        <v>WHITE CHERRY LIGHTS</v>
      </c>
      <c r="K220" s="1">
        <f ca="1">IFERROR(__xludf.DUMMYFUNCTION("""COMPUTED_VALUE"""),8)</f>
        <v>8</v>
      </c>
      <c r="L220" s="1">
        <f ca="1">IFERROR(__xludf.DUMMYFUNCTION("""COMPUTED_VALUE"""),6.75)</f>
        <v>6.75</v>
      </c>
      <c r="T220" s="1">
        <f ca="1">IFERROR(__xludf.DUMMYFUNCTION("""COMPUTED_VALUE"""),489460)</f>
        <v>489460</v>
      </c>
      <c r="U220" s="1">
        <f ca="1">IFERROR(__xludf.DUMMYFUNCTION("""COMPUTED_VALUE"""),54)</f>
        <v>54</v>
      </c>
    </row>
    <row r="221" spans="1:21" ht="12.75" x14ac:dyDescent="0.2">
      <c r="A221" s="3">
        <f ca="1">IFERROR(__xludf.DUMMYFUNCTION("""COMPUTED_VALUE"""),40148.4486111111)</f>
        <v>40148.448611111096</v>
      </c>
      <c r="B221" s="1">
        <f ca="1">IFERROR(__xludf.DUMMYFUNCTION("""COMPUTED_VALUE"""),2.95)</f>
        <v>2.95</v>
      </c>
      <c r="E221" s="1" t="str">
        <f ca="1">IFERROR(__xludf.DUMMYFUNCTION("""COMPUTED_VALUE"""),"CHARLIE + LOLA RED HOT WATER BOTTLE")</f>
        <v>CHARLIE + LOLA RED HOT WATER BOTTLE</v>
      </c>
      <c r="F221" s="1">
        <f ca="1">IFERROR(__xludf.DUMMYFUNCTION("""COMPUTED_VALUE"""),1)</f>
        <v>1</v>
      </c>
      <c r="G221" s="1">
        <f ca="1">IFERROR(__xludf.DUMMYFUNCTION("""COMPUTED_VALUE"""),2.95)</f>
        <v>2.95</v>
      </c>
      <c r="J221" s="1" t="str">
        <f ca="1">IFERROR(__xludf.DUMMYFUNCTION("""COMPUTED_VALUE"""),"FELTCRAFT DOLL EMILY")</f>
        <v>FELTCRAFT DOLL EMILY</v>
      </c>
      <c r="K221" s="1">
        <f ca="1">IFERROR(__xludf.DUMMYFUNCTION("""COMPUTED_VALUE"""),6)</f>
        <v>6</v>
      </c>
      <c r="L221" s="1">
        <f ca="1">IFERROR(__xludf.DUMMYFUNCTION("""COMPUTED_VALUE"""),2.95)</f>
        <v>2.95</v>
      </c>
      <c r="T221" s="1">
        <f ca="1">IFERROR(__xludf.DUMMYFUNCTION("""COMPUTED_VALUE"""),489460)</f>
        <v>489460</v>
      </c>
      <c r="U221" s="1">
        <f ca="1">IFERROR(__xludf.DUMMYFUNCTION("""COMPUTED_VALUE"""),17.7)</f>
        <v>17.7</v>
      </c>
    </row>
    <row r="222" spans="1:21" ht="12.75" x14ac:dyDescent="0.2">
      <c r="A222" s="3">
        <f ca="1">IFERROR(__xludf.DUMMYFUNCTION("""COMPUTED_VALUE"""),40148.4486111111)</f>
        <v>40148.448611111096</v>
      </c>
      <c r="B222" s="1">
        <f ca="1">IFERROR(__xludf.DUMMYFUNCTION("""COMPUTED_VALUE"""),2.95)</f>
        <v>2.95</v>
      </c>
      <c r="E222" s="1" t="str">
        <f ca="1">IFERROR(__xludf.DUMMYFUNCTION("""COMPUTED_VALUE"""),"GREY FLORAL FELTCRAFT SHOULDER BAG")</f>
        <v>GREY FLORAL FELTCRAFT SHOULDER BAG</v>
      </c>
      <c r="F222" s="1">
        <f ca="1">IFERROR(__xludf.DUMMYFUNCTION("""COMPUTED_VALUE"""),1)</f>
        <v>1</v>
      </c>
      <c r="G222" s="1">
        <f ca="1">IFERROR(__xludf.DUMMYFUNCTION("""COMPUTED_VALUE"""),3.75)</f>
        <v>3.75</v>
      </c>
      <c r="J222" s="1" t="str">
        <f ca="1">IFERROR(__xludf.DUMMYFUNCTION("""COMPUTED_VALUE"""),"FELTCRAFT DOLL MOLLY")</f>
        <v>FELTCRAFT DOLL MOLLY</v>
      </c>
      <c r="K222" s="1">
        <f ca="1">IFERROR(__xludf.DUMMYFUNCTION("""COMPUTED_VALUE"""),6)</f>
        <v>6</v>
      </c>
      <c r="L222" s="1">
        <f ca="1">IFERROR(__xludf.DUMMYFUNCTION("""COMPUTED_VALUE"""),2.95)</f>
        <v>2.95</v>
      </c>
      <c r="T222" s="1">
        <f ca="1">IFERROR(__xludf.DUMMYFUNCTION("""COMPUTED_VALUE"""),489460)</f>
        <v>489460</v>
      </c>
      <c r="U222" s="1">
        <f ca="1">IFERROR(__xludf.DUMMYFUNCTION("""COMPUTED_VALUE"""),17.7)</f>
        <v>17.7</v>
      </c>
    </row>
    <row r="223" spans="1:21" ht="12.75" x14ac:dyDescent="0.2">
      <c r="A223" s="3">
        <f ca="1">IFERROR(__xludf.DUMMYFUNCTION("""COMPUTED_VALUE"""),40148.4486111111)</f>
        <v>40148.448611111096</v>
      </c>
      <c r="B223" s="1">
        <f ca="1">IFERROR(__xludf.DUMMYFUNCTION("""COMPUTED_VALUE"""),6.75)</f>
        <v>6.75</v>
      </c>
      <c r="E223" s="1" t="str">
        <f ca="1">IFERROR(__xludf.DUMMYFUNCTION("""COMPUTED_VALUE"""),"PINK BLUE FELT CRAFT TRINKET BOX")</f>
        <v>PINK BLUE FELT CRAFT TRINKET BOX</v>
      </c>
      <c r="F223" s="1">
        <f ca="1">IFERROR(__xludf.DUMMYFUNCTION("""COMPUTED_VALUE"""),1)</f>
        <v>1</v>
      </c>
      <c r="G223" s="1">
        <f ca="1">IFERROR(__xludf.DUMMYFUNCTION("""COMPUTED_VALUE"""),1.25)</f>
        <v>1.25</v>
      </c>
      <c r="J223" s="1" t="str">
        <f ca="1">IFERROR(__xludf.DUMMYFUNCTION("""COMPUTED_VALUE"""),"SET 10 LIGHTS NIGHT OWL")</f>
        <v>SET 10 LIGHTS NIGHT OWL</v>
      </c>
      <c r="K223" s="1">
        <f ca="1">IFERROR(__xludf.DUMMYFUNCTION("""COMPUTED_VALUE"""),4)</f>
        <v>4</v>
      </c>
      <c r="L223" s="1">
        <f ca="1">IFERROR(__xludf.DUMMYFUNCTION("""COMPUTED_VALUE"""),6.75)</f>
        <v>6.75</v>
      </c>
      <c r="T223" s="1">
        <f ca="1">IFERROR(__xludf.DUMMYFUNCTION("""COMPUTED_VALUE"""),489460)</f>
        <v>489460</v>
      </c>
      <c r="U223" s="1">
        <f ca="1">IFERROR(__xludf.DUMMYFUNCTION("""COMPUTED_VALUE"""),27)</f>
        <v>27</v>
      </c>
    </row>
    <row r="224" spans="1:21" ht="12.75" x14ac:dyDescent="0.2">
      <c r="A224" s="3">
        <f ca="1">IFERROR(__xludf.DUMMYFUNCTION("""COMPUTED_VALUE"""),40148.4486111111)</f>
        <v>40148.448611111096</v>
      </c>
      <c r="B224" s="1">
        <f ca="1">IFERROR(__xludf.DUMMYFUNCTION("""COMPUTED_VALUE"""),6.75)</f>
        <v>6.75</v>
      </c>
      <c r="E224" s="1" t="str">
        <f ca="1">IFERROR(__xludf.DUMMYFUNCTION("""COMPUTED_VALUE"""),"RETRO SPOT LARGE MILK JUG")</f>
        <v>RETRO SPOT LARGE MILK JUG</v>
      </c>
      <c r="F224" s="1">
        <f ca="1">IFERROR(__xludf.DUMMYFUNCTION("""COMPUTED_VALUE"""),-1)</f>
        <v>-1</v>
      </c>
      <c r="G224" s="1">
        <f ca="1">IFERROR(__xludf.DUMMYFUNCTION("""COMPUTED_VALUE"""),4.95)</f>
        <v>4.95</v>
      </c>
      <c r="J224" s="1" t="str">
        <f ca="1">IFERROR(__xludf.DUMMYFUNCTION("""COMPUTED_VALUE"""),"SILVER CHERRY LIGHTS")</f>
        <v>SILVER CHERRY LIGHTS</v>
      </c>
      <c r="K224" s="1">
        <f ca="1">IFERROR(__xludf.DUMMYFUNCTION("""COMPUTED_VALUE"""),4)</f>
        <v>4</v>
      </c>
      <c r="L224" s="1">
        <f ca="1">IFERROR(__xludf.DUMMYFUNCTION("""COMPUTED_VALUE"""),6.75)</f>
        <v>6.75</v>
      </c>
      <c r="T224" s="1">
        <f ca="1">IFERROR(__xludf.DUMMYFUNCTION("""COMPUTED_VALUE"""),489460)</f>
        <v>489460</v>
      </c>
      <c r="U224" s="1">
        <f ca="1">IFERROR(__xludf.DUMMYFUNCTION("""COMPUTED_VALUE"""),27)</f>
        <v>27</v>
      </c>
    </row>
    <row r="225" spans="1:21" ht="12.75" x14ac:dyDescent="0.2">
      <c r="A225" s="3">
        <f ca="1">IFERROR(__xludf.DUMMYFUNCTION("""COMPUTED_VALUE"""),40148.4486111111)</f>
        <v>40148.448611111096</v>
      </c>
      <c r="B225" s="1">
        <f ca="1">IFERROR(__xludf.DUMMYFUNCTION("""COMPUTED_VALUE"""),5.95)</f>
        <v>5.95</v>
      </c>
      <c r="E225" s="1" t="str">
        <f ca="1">IFERROR(__xludf.DUMMYFUNCTION("""COMPUTED_VALUE"""),"DAIRY MAID CERAMIC BUTTER DISH")</f>
        <v>DAIRY MAID CERAMIC BUTTER DISH</v>
      </c>
      <c r="F225" s="1">
        <f ca="1">IFERROR(__xludf.DUMMYFUNCTION("""COMPUTED_VALUE"""),-2)</f>
        <v>-2</v>
      </c>
      <c r="G225" s="1">
        <f ca="1">IFERROR(__xludf.DUMMYFUNCTION("""COMPUTED_VALUE"""),4.25)</f>
        <v>4.25</v>
      </c>
      <c r="J225" s="1" t="str">
        <f ca="1">IFERROR(__xludf.DUMMYFUNCTION("""COMPUTED_VALUE"""),"BIRDS MOBILE VINTAGE DESIGN")</f>
        <v>BIRDS MOBILE VINTAGE DESIGN</v>
      </c>
      <c r="K225" s="1">
        <f ca="1">IFERROR(__xludf.DUMMYFUNCTION("""COMPUTED_VALUE"""),3)</f>
        <v>3</v>
      </c>
      <c r="L225" s="1">
        <f ca="1">IFERROR(__xludf.DUMMYFUNCTION("""COMPUTED_VALUE"""),5.95)</f>
        <v>5.95</v>
      </c>
      <c r="T225" s="1">
        <f ca="1">IFERROR(__xludf.DUMMYFUNCTION("""COMPUTED_VALUE"""),489460)</f>
        <v>489460</v>
      </c>
      <c r="U225" s="1">
        <f ca="1">IFERROR(__xludf.DUMMYFUNCTION("""COMPUTED_VALUE"""),17.85)</f>
        <v>17.850000000000001</v>
      </c>
    </row>
    <row r="226" spans="1:21" ht="12.75" x14ac:dyDescent="0.2">
      <c r="A226" s="3">
        <f ca="1">IFERROR(__xludf.DUMMYFUNCTION("""COMPUTED_VALUE"""),40148.4486111111)</f>
        <v>40148.448611111096</v>
      </c>
      <c r="B226" s="1">
        <f ca="1">IFERROR(__xludf.DUMMYFUNCTION("""COMPUTED_VALUE"""),4.95)</f>
        <v>4.95</v>
      </c>
      <c r="E226" s="1" t="str">
        <f ca="1">IFERROR(__xludf.DUMMYFUNCTION("""COMPUTED_VALUE"""),"KISS REINDEER SCANDINAVIAN STOCKING")</f>
        <v>KISS REINDEER SCANDINAVIAN STOCKING</v>
      </c>
      <c r="F226" s="1">
        <f ca="1">IFERROR(__xludf.DUMMYFUNCTION("""COMPUTED_VALUE"""),-6)</f>
        <v>-6</v>
      </c>
      <c r="G226" s="1">
        <f ca="1">IFERROR(__xludf.DUMMYFUNCTION("""COMPUTED_VALUE"""),2.55)</f>
        <v>2.5499999999999998</v>
      </c>
      <c r="J226" s="1" t="str">
        <f ca="1">IFERROR(__xludf.DUMMYFUNCTION("""COMPUTED_VALUE"""),"BAKING SET 9 PIECE RETROSPOT")</f>
        <v>BAKING SET 9 PIECE RETROSPOT</v>
      </c>
      <c r="K226" s="1">
        <f ca="1">IFERROR(__xludf.DUMMYFUNCTION("""COMPUTED_VALUE"""),3)</f>
        <v>3</v>
      </c>
      <c r="L226" s="1">
        <f ca="1">IFERROR(__xludf.DUMMYFUNCTION("""COMPUTED_VALUE"""),4.95)</f>
        <v>4.95</v>
      </c>
      <c r="T226" s="1">
        <f ca="1">IFERROR(__xludf.DUMMYFUNCTION("""COMPUTED_VALUE"""),489460)</f>
        <v>489460</v>
      </c>
      <c r="U226" s="1">
        <f ca="1">IFERROR(__xludf.DUMMYFUNCTION("""COMPUTED_VALUE"""),14.85)</f>
        <v>14.85</v>
      </c>
    </row>
    <row r="227" spans="1:21" ht="12.75" x14ac:dyDescent="0.2">
      <c r="A227" s="3">
        <f ca="1">IFERROR(__xludf.DUMMYFUNCTION("""COMPUTED_VALUE"""),40148.4486111111)</f>
        <v>40148.448611111096</v>
      </c>
      <c r="B227" s="1">
        <f ca="1">IFERROR(__xludf.DUMMYFUNCTION("""COMPUTED_VALUE"""),4.95)</f>
        <v>4.95</v>
      </c>
      <c r="E227" s="1" t="str">
        <f ca="1">IFERROR(__xludf.DUMMYFUNCTION("""COMPUTED_VALUE"""),"JUMBO BAG RED WHITE SPOTTY")</f>
        <v>JUMBO BAG RED WHITE SPOTTY</v>
      </c>
      <c r="F227" s="1">
        <f ca="1">IFERROR(__xludf.DUMMYFUNCTION("""COMPUTED_VALUE"""),10)</f>
        <v>10</v>
      </c>
      <c r="G227" s="1">
        <f ca="1">IFERROR(__xludf.DUMMYFUNCTION("""COMPUTED_VALUE"""),1.95)</f>
        <v>1.95</v>
      </c>
      <c r="J227" s="1" t="str">
        <f ca="1">IFERROR(__xludf.DUMMYFUNCTION("""COMPUTED_VALUE"""),"RETRO SPOT TEA SET CERAMIC 11 PC")</f>
        <v>RETRO SPOT TEA SET CERAMIC 11 PC</v>
      </c>
      <c r="K227" s="1">
        <f ca="1">IFERROR(__xludf.DUMMYFUNCTION("""COMPUTED_VALUE"""),3)</f>
        <v>3</v>
      </c>
      <c r="L227" s="1">
        <f ca="1">IFERROR(__xludf.DUMMYFUNCTION("""COMPUTED_VALUE"""),4.95)</f>
        <v>4.95</v>
      </c>
      <c r="T227" s="1">
        <f ca="1">IFERROR(__xludf.DUMMYFUNCTION("""COMPUTED_VALUE"""),489460)</f>
        <v>489460</v>
      </c>
      <c r="U227" s="1">
        <f ca="1">IFERROR(__xludf.DUMMYFUNCTION("""COMPUTED_VALUE"""),14.85)</f>
        <v>14.85</v>
      </c>
    </row>
    <row r="228" spans="1:21" ht="12.75" x14ac:dyDescent="0.2">
      <c r="A228" s="3">
        <f ca="1">IFERROR(__xludf.DUMMYFUNCTION("""COMPUTED_VALUE"""),40148.4506944444)</f>
        <v>40148.4506944444</v>
      </c>
      <c r="B228" s="1">
        <f ca="1">IFERROR(__xludf.DUMMYFUNCTION("""COMPUTED_VALUE"""),1.25)</f>
        <v>1.25</v>
      </c>
      <c r="E228" s="1" t="str">
        <f ca="1">IFERROR(__xludf.DUMMYFUNCTION("""COMPUTED_VALUE"""),"JUMBO BAG PINK VINTAGE PAISLEY")</f>
        <v>JUMBO BAG PINK VINTAGE PAISLEY</v>
      </c>
      <c r="F228" s="1">
        <f ca="1">IFERROR(__xludf.DUMMYFUNCTION("""COMPUTED_VALUE"""),10)</f>
        <v>10</v>
      </c>
      <c r="G228" s="1">
        <f ca="1">IFERROR(__xludf.DUMMYFUNCTION("""COMPUTED_VALUE"""),1.95)</f>
        <v>1.95</v>
      </c>
      <c r="J228" s="1" t="str">
        <f ca="1">IFERROR(__xludf.DUMMYFUNCTION("""COMPUTED_VALUE"""),"STRAWBERRY CERAMIC TRINKET BOX")</f>
        <v>STRAWBERRY CERAMIC TRINKET BOX</v>
      </c>
      <c r="K228" s="1">
        <f ca="1">IFERROR(__xludf.DUMMYFUNCTION("""COMPUTED_VALUE"""),48)</f>
        <v>48</v>
      </c>
      <c r="L228" s="1">
        <f ca="1">IFERROR(__xludf.DUMMYFUNCTION("""COMPUTED_VALUE"""),1.25)</f>
        <v>1.25</v>
      </c>
      <c r="T228" s="1">
        <f ca="1">IFERROR(__xludf.DUMMYFUNCTION("""COMPUTED_VALUE"""),489461)</f>
        <v>489461</v>
      </c>
      <c r="U228" s="1">
        <f ca="1">IFERROR(__xludf.DUMMYFUNCTION("""COMPUTED_VALUE"""),60)</f>
        <v>60</v>
      </c>
    </row>
    <row r="229" spans="1:21" ht="12.75" x14ac:dyDescent="0.2">
      <c r="A229" s="3">
        <f ca="1">IFERROR(__xludf.DUMMYFUNCTION("""COMPUTED_VALUE"""),40148.4506944444)</f>
        <v>40148.4506944444</v>
      </c>
      <c r="B229" s="1">
        <f ca="1">IFERROR(__xludf.DUMMYFUNCTION("""COMPUTED_VALUE"""),1.49)</f>
        <v>1.49</v>
      </c>
      <c r="E229" s="1" t="str">
        <f ca="1">IFERROR(__xludf.DUMMYFUNCTION("""COMPUTED_VALUE"""),"LADYBIRD + BEE RAFFIA FOOD COVER")</f>
        <v>LADYBIRD + BEE RAFFIA FOOD COVER</v>
      </c>
      <c r="F229" s="1">
        <f ca="1">IFERROR(__xludf.DUMMYFUNCTION("""COMPUTED_VALUE"""),6)</f>
        <v>6</v>
      </c>
      <c r="G229" s="1">
        <f ca="1">IFERROR(__xludf.DUMMYFUNCTION("""COMPUTED_VALUE"""),3.75)</f>
        <v>3.75</v>
      </c>
      <c r="J229" s="1" t="str">
        <f ca="1">IFERROR(__xludf.DUMMYFUNCTION("""COMPUTED_VALUE"""),"FAIRY CAKE CANDLES")</f>
        <v>FAIRY CAKE CANDLES</v>
      </c>
      <c r="K229" s="1">
        <f ca="1">IFERROR(__xludf.DUMMYFUNCTION("""COMPUTED_VALUE"""),27)</f>
        <v>27</v>
      </c>
      <c r="L229" s="1">
        <f ca="1">IFERROR(__xludf.DUMMYFUNCTION("""COMPUTED_VALUE"""),1.49)</f>
        <v>1.49</v>
      </c>
      <c r="T229" s="1">
        <f ca="1">IFERROR(__xludf.DUMMYFUNCTION("""COMPUTED_VALUE"""),489461)</f>
        <v>489461</v>
      </c>
      <c r="U229" s="1">
        <f ca="1">IFERROR(__xludf.DUMMYFUNCTION("""COMPUTED_VALUE"""),40.23)</f>
        <v>40.229999999999997</v>
      </c>
    </row>
    <row r="230" spans="1:21" ht="12.75" x14ac:dyDescent="0.2">
      <c r="A230" s="3">
        <f ca="1">IFERROR(__xludf.DUMMYFUNCTION("""COMPUTED_VALUE"""),40148.4506944444)</f>
        <v>40148.4506944444</v>
      </c>
      <c r="B230" s="1">
        <f ca="1">IFERROR(__xludf.DUMMYFUNCTION("""COMPUTED_VALUE"""),1.25)</f>
        <v>1.25</v>
      </c>
      <c r="E230" s="1" t="str">
        <f ca="1">IFERROR(__xludf.DUMMYFUNCTION("""COMPUTED_VALUE"""),"RETRO SPOT TEA SET CERAMIC 11 PC")</f>
        <v>RETRO SPOT TEA SET CERAMIC 11 PC</v>
      </c>
      <c r="F230" s="1">
        <f ca="1">IFERROR(__xludf.DUMMYFUNCTION("""COMPUTED_VALUE"""),6)</f>
        <v>6</v>
      </c>
      <c r="G230" s="1">
        <f ca="1">IFERROR(__xludf.DUMMYFUNCTION("""COMPUTED_VALUE"""),4.95)</f>
        <v>4.95</v>
      </c>
      <c r="J230" s="1" t="str">
        <f ca="1">IFERROR(__xludf.DUMMYFUNCTION("""COMPUTED_VALUE"""),"RED STRIPE CERAMIC DRAWER KNOB")</f>
        <v>RED STRIPE CERAMIC DRAWER KNOB</v>
      </c>
      <c r="K230" s="1">
        <f ca="1">IFERROR(__xludf.DUMMYFUNCTION("""COMPUTED_VALUE"""),24)</f>
        <v>24</v>
      </c>
      <c r="L230" s="1">
        <f ca="1">IFERROR(__xludf.DUMMYFUNCTION("""COMPUTED_VALUE"""),1.25)</f>
        <v>1.25</v>
      </c>
      <c r="T230" s="1">
        <f ca="1">IFERROR(__xludf.DUMMYFUNCTION("""COMPUTED_VALUE"""),489461)</f>
        <v>489461</v>
      </c>
      <c r="U230" s="1">
        <f ca="1">IFERROR(__xludf.DUMMYFUNCTION("""COMPUTED_VALUE"""),30)</f>
        <v>30</v>
      </c>
    </row>
    <row r="231" spans="1:21" ht="12.75" x14ac:dyDescent="0.2">
      <c r="A231" s="3">
        <f ca="1">IFERROR(__xludf.DUMMYFUNCTION("""COMPUTED_VALUE"""),40148.4506944444)</f>
        <v>40148.4506944444</v>
      </c>
      <c r="B231" s="1">
        <f ca="1">IFERROR(__xludf.DUMMYFUNCTION("""COMPUTED_VALUE"""),1.25)</f>
        <v>1.25</v>
      </c>
      <c r="E231" s="1" t="str">
        <f ca="1">IFERROR(__xludf.DUMMYFUNCTION("""COMPUTED_VALUE"""),"PAPER CHAIN KIT 50'S CHRISTMAS")</f>
        <v>PAPER CHAIN KIT 50'S CHRISTMAS</v>
      </c>
      <c r="F231" s="1">
        <f ca="1">IFERROR(__xludf.DUMMYFUNCTION("""COMPUTED_VALUE"""),6)</f>
        <v>6</v>
      </c>
      <c r="G231" s="1">
        <f ca="1">IFERROR(__xludf.DUMMYFUNCTION("""COMPUTED_VALUE"""),2.95)</f>
        <v>2.95</v>
      </c>
      <c r="J231" s="1" t="str">
        <f ca="1">IFERROR(__xludf.DUMMYFUNCTION("""COMPUTED_VALUE"""),"BLUE STRIPE CERAMIC DRAWER KNOB")</f>
        <v>BLUE STRIPE CERAMIC DRAWER KNOB</v>
      </c>
      <c r="K231" s="1">
        <f ca="1">IFERROR(__xludf.DUMMYFUNCTION("""COMPUTED_VALUE"""),24)</f>
        <v>24</v>
      </c>
      <c r="L231" s="1">
        <f ca="1">IFERROR(__xludf.DUMMYFUNCTION("""COMPUTED_VALUE"""),1.25)</f>
        <v>1.25</v>
      </c>
      <c r="T231" s="1">
        <f ca="1">IFERROR(__xludf.DUMMYFUNCTION("""COMPUTED_VALUE"""),489461)</f>
        <v>489461</v>
      </c>
      <c r="U231" s="1">
        <f ca="1">IFERROR(__xludf.DUMMYFUNCTION("""COMPUTED_VALUE"""),30)</f>
        <v>30</v>
      </c>
    </row>
    <row r="232" spans="1:21" ht="12.75" x14ac:dyDescent="0.2">
      <c r="A232" s="3">
        <f ca="1">IFERROR(__xludf.DUMMYFUNCTION("""COMPUTED_VALUE"""),40148.4506944444)</f>
        <v>40148.4506944444</v>
      </c>
      <c r="B232" s="1">
        <f ca="1">IFERROR(__xludf.DUMMYFUNCTION("""COMPUTED_VALUE"""),1.25)</f>
        <v>1.25</v>
      </c>
      <c r="E232" s="1" t="str">
        <f ca="1">IFERROR(__xludf.DUMMYFUNCTION("""COMPUTED_VALUE"""),"TEA TIME PARTY BUNTING")</f>
        <v>TEA TIME PARTY BUNTING</v>
      </c>
      <c r="F232" s="1">
        <f ca="1">IFERROR(__xludf.DUMMYFUNCTION("""COMPUTED_VALUE"""),5)</f>
        <v>5</v>
      </c>
      <c r="G232" s="1">
        <f ca="1">IFERROR(__xludf.DUMMYFUNCTION("""COMPUTED_VALUE"""),4.65)</f>
        <v>4.6500000000000004</v>
      </c>
      <c r="J232" s="1" t="str">
        <f ca="1">IFERROR(__xludf.DUMMYFUNCTION("""COMPUTED_VALUE"""),"BLUE SPOT CERAMIC DRAWER KNOB")</f>
        <v>BLUE SPOT CERAMIC DRAWER KNOB</v>
      </c>
      <c r="K232" s="1">
        <f ca="1">IFERROR(__xludf.DUMMYFUNCTION("""COMPUTED_VALUE"""),24)</f>
        <v>24</v>
      </c>
      <c r="L232" s="1">
        <f ca="1">IFERROR(__xludf.DUMMYFUNCTION("""COMPUTED_VALUE"""),1.25)</f>
        <v>1.25</v>
      </c>
      <c r="T232" s="1">
        <f ca="1">IFERROR(__xludf.DUMMYFUNCTION("""COMPUTED_VALUE"""),489461)</f>
        <v>489461</v>
      </c>
      <c r="U232" s="1">
        <f ca="1">IFERROR(__xludf.DUMMYFUNCTION("""COMPUTED_VALUE"""),30)</f>
        <v>30</v>
      </c>
    </row>
    <row r="233" spans="1:21" ht="12.75" x14ac:dyDescent="0.2">
      <c r="A233" s="3">
        <f ca="1">IFERROR(__xludf.DUMMYFUNCTION("""COMPUTED_VALUE"""),40148.4506944444)</f>
        <v>40148.4506944444</v>
      </c>
      <c r="B233" s="1">
        <f ca="1">IFERROR(__xludf.DUMMYFUNCTION("""COMPUTED_VALUE"""),1.25)</f>
        <v>1.25</v>
      </c>
      <c r="E233" s="1" t="str">
        <f ca="1">IFERROR(__xludf.DUMMYFUNCTION("""COMPUTED_VALUE"""),"WHITE SKULL HOT WATER BOTTLE")</f>
        <v>WHITE SKULL HOT WATER BOTTLE</v>
      </c>
      <c r="F233" s="1">
        <f ca="1">IFERROR(__xludf.DUMMYFUNCTION("""COMPUTED_VALUE"""),4)</f>
        <v>4</v>
      </c>
      <c r="G233" s="1">
        <f ca="1">IFERROR(__xludf.DUMMYFUNCTION("""COMPUTED_VALUE"""),3.75)</f>
        <v>3.75</v>
      </c>
      <c r="J233" s="1" t="str">
        <f ca="1">IFERROR(__xludf.DUMMYFUNCTION("""COMPUTED_VALUE"""),"RED SPOT CERAMIC DRAWER KNOB")</f>
        <v>RED SPOT CERAMIC DRAWER KNOB</v>
      </c>
      <c r="K233" s="1">
        <f ca="1">IFERROR(__xludf.DUMMYFUNCTION("""COMPUTED_VALUE"""),24)</f>
        <v>24</v>
      </c>
      <c r="L233" s="1">
        <f ca="1">IFERROR(__xludf.DUMMYFUNCTION("""COMPUTED_VALUE"""),1.25)</f>
        <v>1.25</v>
      </c>
      <c r="T233" s="1">
        <f ca="1">IFERROR(__xludf.DUMMYFUNCTION("""COMPUTED_VALUE"""),489461)</f>
        <v>489461</v>
      </c>
      <c r="U233" s="1">
        <f ca="1">IFERROR(__xludf.DUMMYFUNCTION("""COMPUTED_VALUE"""),30)</f>
        <v>30</v>
      </c>
    </row>
    <row r="234" spans="1:21" ht="12.75" x14ac:dyDescent="0.2">
      <c r="A234" s="3">
        <f ca="1">IFERROR(__xludf.DUMMYFUNCTION("""COMPUTED_VALUE"""),40148.4506944444)</f>
        <v>40148.4506944444</v>
      </c>
      <c r="B234" s="1">
        <f ca="1">IFERROR(__xludf.DUMMYFUNCTION("""COMPUTED_VALUE"""),1.25)</f>
        <v>1.25</v>
      </c>
      <c r="E234" s="1" t="str">
        <f ca="1">IFERROR(__xludf.DUMMYFUNCTION("""COMPUTED_VALUE"""),"BAKING SET 9 PIECE RETROSPOT")</f>
        <v>BAKING SET 9 PIECE RETROSPOT</v>
      </c>
      <c r="F234" s="1">
        <f ca="1">IFERROR(__xludf.DUMMYFUNCTION("""COMPUTED_VALUE"""),3)</f>
        <v>3</v>
      </c>
      <c r="G234" s="1">
        <f ca="1">IFERROR(__xludf.DUMMYFUNCTION("""COMPUTED_VALUE"""),4.95)</f>
        <v>4.95</v>
      </c>
      <c r="J234" s="1" t="str">
        <f ca="1">IFERROR(__xludf.DUMMYFUNCTION("""COMPUTED_VALUE"""),"WHITE SPOT RED CERAMIC DRAWER KNOB")</f>
        <v>WHITE SPOT RED CERAMIC DRAWER KNOB</v>
      </c>
      <c r="K234" s="1">
        <f ca="1">IFERROR(__xludf.DUMMYFUNCTION("""COMPUTED_VALUE"""),24)</f>
        <v>24</v>
      </c>
      <c r="L234" s="1">
        <f ca="1">IFERROR(__xludf.DUMMYFUNCTION("""COMPUTED_VALUE"""),1.25)</f>
        <v>1.25</v>
      </c>
      <c r="T234" s="1">
        <f ca="1">IFERROR(__xludf.DUMMYFUNCTION("""COMPUTED_VALUE"""),489461)</f>
        <v>489461</v>
      </c>
      <c r="U234" s="1">
        <f ca="1">IFERROR(__xludf.DUMMYFUNCTION("""COMPUTED_VALUE"""),30)</f>
        <v>30</v>
      </c>
    </row>
    <row r="235" spans="1:21" ht="12.75" x14ac:dyDescent="0.2">
      <c r="A235" s="3">
        <f ca="1">IFERROR(__xludf.DUMMYFUNCTION("""COMPUTED_VALUE"""),40148.4506944444)</f>
        <v>40148.4506944444</v>
      </c>
      <c r="B235" s="1">
        <f ca="1">IFERROR(__xludf.DUMMYFUNCTION("""COMPUTED_VALUE"""),1.25)</f>
        <v>1.25</v>
      </c>
      <c r="E235" s="1" t="str">
        <f ca="1">IFERROR(__xludf.DUMMYFUNCTION("""COMPUTED_VALUE"""),"VINTAGE HEADS AND TAILS CARD GAME")</f>
        <v>VINTAGE HEADS AND TAILS CARD GAME</v>
      </c>
      <c r="F235" s="1">
        <f ca="1">IFERROR(__xludf.DUMMYFUNCTION("""COMPUTED_VALUE"""),72)</f>
        <v>72</v>
      </c>
      <c r="G235" s="1">
        <f ca="1">IFERROR(__xludf.DUMMYFUNCTION("""COMPUTED_VALUE"""),1.06)</f>
        <v>1.06</v>
      </c>
      <c r="J235" s="1" t="str">
        <f ca="1">IFERROR(__xludf.DUMMYFUNCTION("""COMPUTED_VALUE"""),"WHITE SPOT BLUE CERAMIC DRAWER KNOB")</f>
        <v>WHITE SPOT BLUE CERAMIC DRAWER KNOB</v>
      </c>
      <c r="K235" s="1">
        <f ca="1">IFERROR(__xludf.DUMMYFUNCTION("""COMPUTED_VALUE"""),24)</f>
        <v>24</v>
      </c>
      <c r="L235" s="1">
        <f ca="1">IFERROR(__xludf.DUMMYFUNCTION("""COMPUTED_VALUE"""),1.25)</f>
        <v>1.25</v>
      </c>
      <c r="T235" s="1">
        <f ca="1">IFERROR(__xludf.DUMMYFUNCTION("""COMPUTED_VALUE"""),489461)</f>
        <v>489461</v>
      </c>
      <c r="U235" s="1">
        <f ca="1">IFERROR(__xludf.DUMMYFUNCTION("""COMPUTED_VALUE"""),30)</f>
        <v>30</v>
      </c>
    </row>
    <row r="236" spans="1:21" ht="12.75" x14ac:dyDescent="0.2">
      <c r="A236" s="3">
        <f ca="1">IFERROR(__xludf.DUMMYFUNCTION("""COMPUTED_VALUE"""),40148.4506944444)</f>
        <v>40148.4506944444</v>
      </c>
      <c r="B236" s="1">
        <f ca="1">IFERROR(__xludf.DUMMYFUNCTION("""COMPUTED_VALUE"""),0.55)</f>
        <v>0.55000000000000004</v>
      </c>
      <c r="E236" s="1" t="str">
        <f ca="1">IFERROR(__xludf.DUMMYFUNCTION("""COMPUTED_VALUE"""),"PINK FAIRY CAKE CHILD'S APRON")</f>
        <v>PINK FAIRY CAKE CHILD'S APRON</v>
      </c>
      <c r="F236" s="1">
        <f ca="1">IFERROR(__xludf.DUMMYFUNCTION("""COMPUTED_VALUE"""),50)</f>
        <v>50</v>
      </c>
      <c r="G236" s="1">
        <f ca="1">IFERROR(__xludf.DUMMYFUNCTION("""COMPUTED_VALUE"""),1.65)</f>
        <v>1.65</v>
      </c>
      <c r="J236" s="1" t="str">
        <f ca="1">IFERROR(__xludf.DUMMYFUNCTION("""COMPUTED_VALUE"""),"PACK OF 72 RETRO SPOT CAKE CASES")</f>
        <v>PACK OF 72 RETRO SPOT CAKE CASES</v>
      </c>
      <c r="K236" s="1">
        <f ca="1">IFERROR(__xludf.DUMMYFUNCTION("""COMPUTED_VALUE"""),24)</f>
        <v>24</v>
      </c>
      <c r="L236" s="1">
        <f ca="1">IFERROR(__xludf.DUMMYFUNCTION("""COMPUTED_VALUE"""),0.55)</f>
        <v>0.55000000000000004</v>
      </c>
      <c r="T236" s="1">
        <f ca="1">IFERROR(__xludf.DUMMYFUNCTION("""COMPUTED_VALUE"""),489461)</f>
        <v>489461</v>
      </c>
      <c r="U236" s="1">
        <f ca="1">IFERROR(__xludf.DUMMYFUNCTION("""COMPUTED_VALUE"""),13.2)</f>
        <v>13.2</v>
      </c>
    </row>
    <row r="237" spans="1:21" ht="12.75" x14ac:dyDescent="0.2">
      <c r="A237" s="3">
        <f ca="1">IFERROR(__xludf.DUMMYFUNCTION("""COMPUTED_VALUE"""),40148.4506944444)</f>
        <v>40148.4506944444</v>
      </c>
      <c r="B237" s="1">
        <f ca="1">IFERROR(__xludf.DUMMYFUNCTION("""COMPUTED_VALUE"""),0.55)</f>
        <v>0.55000000000000004</v>
      </c>
      <c r="E237" s="1" t="str">
        <f ca="1">IFERROR(__xludf.DUMMYFUNCTION("""COMPUTED_VALUE"""),"CHARLIE+LOLA PINK HOT WATER BOTTLE")</f>
        <v>CHARLIE+LOLA PINK HOT WATER BOTTLE</v>
      </c>
      <c r="F237" s="1">
        <f ca="1">IFERROR(__xludf.DUMMYFUNCTION("""COMPUTED_VALUE"""),36)</f>
        <v>36</v>
      </c>
      <c r="G237" s="1">
        <f ca="1">IFERROR(__xludf.DUMMYFUNCTION("""COMPUTED_VALUE"""),2.55)</f>
        <v>2.5499999999999998</v>
      </c>
      <c r="J237" s="1" t="str">
        <f ca="1">IFERROR(__xludf.DUMMYFUNCTION("""COMPUTED_VALUE"""),"60 TEATIME FAIRY CAKE CASES")</f>
        <v>60 TEATIME FAIRY CAKE CASES</v>
      </c>
      <c r="K237" s="1">
        <f ca="1">IFERROR(__xludf.DUMMYFUNCTION("""COMPUTED_VALUE"""),24)</f>
        <v>24</v>
      </c>
      <c r="L237" s="1">
        <f ca="1">IFERROR(__xludf.DUMMYFUNCTION("""COMPUTED_VALUE"""),0.55)</f>
        <v>0.55000000000000004</v>
      </c>
      <c r="T237" s="1">
        <f ca="1">IFERROR(__xludf.DUMMYFUNCTION("""COMPUTED_VALUE"""),489461)</f>
        <v>489461</v>
      </c>
      <c r="U237" s="1">
        <f ca="1">IFERROR(__xludf.DUMMYFUNCTION("""COMPUTED_VALUE"""),13.2)</f>
        <v>13.2</v>
      </c>
    </row>
    <row r="238" spans="1:21" ht="12.75" x14ac:dyDescent="0.2">
      <c r="A238" s="3">
        <f ca="1">IFERROR(__xludf.DUMMYFUNCTION("""COMPUTED_VALUE"""),40148.4506944444)</f>
        <v>40148.4506944444</v>
      </c>
      <c r="B238" s="1">
        <f ca="1">IFERROR(__xludf.DUMMYFUNCTION("""COMPUTED_VALUE"""),1.45)</f>
        <v>1.45</v>
      </c>
      <c r="E238" s="1" t="str">
        <f ca="1">IFERROR(__xludf.DUMMYFUNCTION("""COMPUTED_VALUE"""),"MINI CAKE STAND WITH HANGING CAKES")</f>
        <v>MINI CAKE STAND WITH HANGING CAKES</v>
      </c>
      <c r="F238" s="1">
        <f ca="1">IFERROR(__xludf.DUMMYFUNCTION("""COMPUTED_VALUE"""),32)</f>
        <v>32</v>
      </c>
      <c r="G238" s="1">
        <f ca="1">IFERROR(__xludf.DUMMYFUNCTION("""COMPUTED_VALUE"""),1.25)</f>
        <v>1.25</v>
      </c>
      <c r="J238" s="1" t="str">
        <f ca="1">IFERROR(__xludf.DUMMYFUNCTION("""COMPUTED_VALUE"""),"KEEP OUT BOYS DOOR HANGER")</f>
        <v>KEEP OUT BOYS DOOR HANGER</v>
      </c>
      <c r="K238" s="1">
        <f ca="1">IFERROR(__xludf.DUMMYFUNCTION("""COMPUTED_VALUE"""),12)</f>
        <v>12</v>
      </c>
      <c r="L238" s="1">
        <f ca="1">IFERROR(__xludf.DUMMYFUNCTION("""COMPUTED_VALUE"""),1.45)</f>
        <v>1.45</v>
      </c>
      <c r="T238" s="1">
        <f ca="1">IFERROR(__xludf.DUMMYFUNCTION("""COMPUTED_VALUE"""),489461)</f>
        <v>489461</v>
      </c>
      <c r="U238" s="1">
        <f ca="1">IFERROR(__xludf.DUMMYFUNCTION("""COMPUTED_VALUE"""),17.4)</f>
        <v>17.399999999999999</v>
      </c>
    </row>
    <row r="239" spans="1:21" ht="12.75" x14ac:dyDescent="0.2">
      <c r="A239" s="3">
        <f ca="1">IFERROR(__xludf.DUMMYFUNCTION("""COMPUTED_VALUE"""),40148.4506944444)</f>
        <v>40148.4506944444</v>
      </c>
      <c r="B239" s="1">
        <f ca="1">IFERROR(__xludf.DUMMYFUNCTION("""COMPUTED_VALUE"""),1.45)</f>
        <v>1.45</v>
      </c>
      <c r="E239" s="1" t="str">
        <f ca="1">IFERROR(__xludf.DUMMYFUNCTION("""COMPUTED_VALUE"""),"ANTIQUE LILY FAIRY LIGHTS")</f>
        <v>ANTIQUE LILY FAIRY LIGHTS</v>
      </c>
      <c r="F239" s="1">
        <f ca="1">IFERROR(__xludf.DUMMYFUNCTION("""COMPUTED_VALUE"""),24)</f>
        <v>24</v>
      </c>
      <c r="G239" s="1">
        <f ca="1">IFERROR(__xludf.DUMMYFUNCTION("""COMPUTED_VALUE"""),4.25)</f>
        <v>4.25</v>
      </c>
      <c r="J239" s="1" t="str">
        <f ca="1">IFERROR(__xludf.DUMMYFUNCTION("""COMPUTED_VALUE"""),"TOXIC AREA  DOOR HANGER")</f>
        <v>TOXIC AREA  DOOR HANGER</v>
      </c>
      <c r="K239" s="1">
        <f ca="1">IFERROR(__xludf.DUMMYFUNCTION("""COMPUTED_VALUE"""),12)</f>
        <v>12</v>
      </c>
      <c r="L239" s="1">
        <f ca="1">IFERROR(__xludf.DUMMYFUNCTION("""COMPUTED_VALUE"""),1.45)</f>
        <v>1.45</v>
      </c>
      <c r="T239" s="1">
        <f ca="1">IFERROR(__xludf.DUMMYFUNCTION("""COMPUTED_VALUE"""),489461)</f>
        <v>489461</v>
      </c>
      <c r="U239" s="1">
        <f ca="1">IFERROR(__xludf.DUMMYFUNCTION("""COMPUTED_VALUE"""),17.4)</f>
        <v>17.399999999999999</v>
      </c>
    </row>
    <row r="240" spans="1:21" ht="12.75" x14ac:dyDescent="0.2">
      <c r="A240" s="3">
        <f ca="1">IFERROR(__xludf.DUMMYFUNCTION("""COMPUTED_VALUE"""),40148.4506944444)</f>
        <v>40148.4506944444</v>
      </c>
      <c r="B240" s="1">
        <f ca="1">IFERROR(__xludf.DUMMYFUNCTION("""COMPUTED_VALUE"""),1.45)</f>
        <v>1.45</v>
      </c>
      <c r="E240" s="1" t="str">
        <f ca="1">IFERROR(__xludf.DUMMYFUNCTION("""COMPUTED_VALUE"""),"COLOUR GLASS. STAR T-LIGHT HOLDER")</f>
        <v>COLOUR GLASS. STAR T-LIGHT HOLDER</v>
      </c>
      <c r="F240" s="1">
        <f ca="1">IFERROR(__xludf.DUMMYFUNCTION("""COMPUTED_VALUE"""),24)</f>
        <v>24</v>
      </c>
      <c r="G240" s="1">
        <f ca="1">IFERROR(__xludf.DUMMYFUNCTION("""COMPUTED_VALUE"""),2.75)</f>
        <v>2.75</v>
      </c>
      <c r="J240" s="1" t="str">
        <f ca="1">IFERROR(__xludf.DUMMYFUNCTION("""COMPUTED_VALUE"""),"DOOR HANGER  MUM + DADS ROOM")</f>
        <v>DOOR HANGER  MUM + DADS ROOM</v>
      </c>
      <c r="K240" s="1">
        <f ca="1">IFERROR(__xludf.DUMMYFUNCTION("""COMPUTED_VALUE"""),12)</f>
        <v>12</v>
      </c>
      <c r="L240" s="1">
        <f ca="1">IFERROR(__xludf.DUMMYFUNCTION("""COMPUTED_VALUE"""),1.45)</f>
        <v>1.45</v>
      </c>
      <c r="T240" s="1">
        <f ca="1">IFERROR(__xludf.DUMMYFUNCTION("""COMPUTED_VALUE"""),489461)</f>
        <v>489461</v>
      </c>
      <c r="U240" s="1">
        <f ca="1">IFERROR(__xludf.DUMMYFUNCTION("""COMPUTED_VALUE"""),17.4)</f>
        <v>17.399999999999999</v>
      </c>
    </row>
    <row r="241" spans="1:21" ht="12.75" x14ac:dyDescent="0.2">
      <c r="A241" s="3">
        <f ca="1">IFERROR(__xludf.DUMMYFUNCTION("""COMPUTED_VALUE"""),40148.4506944444)</f>
        <v>40148.4506944444</v>
      </c>
      <c r="B241" s="1">
        <f ca="1">IFERROR(__xludf.DUMMYFUNCTION("""COMPUTED_VALUE"""),1.45)</f>
        <v>1.45</v>
      </c>
      <c r="E241" s="1" t="str">
        <f ca="1">IFERROR(__xludf.DUMMYFUNCTION("""COMPUTED_VALUE"""),"SET/3 TALL GLASS CANDLE HOLDER PINK")</f>
        <v>SET/3 TALL GLASS CANDLE HOLDER PINK</v>
      </c>
      <c r="F241" s="1">
        <f ca="1">IFERROR(__xludf.DUMMYFUNCTION("""COMPUTED_VALUE"""),8)</f>
        <v>8</v>
      </c>
      <c r="G241" s="1">
        <f ca="1">IFERROR(__xludf.DUMMYFUNCTION("""COMPUTED_VALUE"""),3.95)</f>
        <v>3.95</v>
      </c>
      <c r="J241" s="1" t="str">
        <f ca="1">IFERROR(__xludf.DUMMYFUNCTION("""COMPUTED_VALUE"""),"MOODY BOY  DOOR HANGER")</f>
        <v>MOODY BOY  DOOR HANGER</v>
      </c>
      <c r="K241" s="1">
        <f ca="1">IFERROR(__xludf.DUMMYFUNCTION("""COMPUTED_VALUE"""),12)</f>
        <v>12</v>
      </c>
      <c r="L241" s="1">
        <f ca="1">IFERROR(__xludf.DUMMYFUNCTION("""COMPUTED_VALUE"""),1.45)</f>
        <v>1.45</v>
      </c>
      <c r="T241" s="1">
        <f ca="1">IFERROR(__xludf.DUMMYFUNCTION("""COMPUTED_VALUE"""),489461)</f>
        <v>489461</v>
      </c>
      <c r="U241" s="1">
        <f ca="1">IFERROR(__xludf.DUMMYFUNCTION("""COMPUTED_VALUE"""),17.4)</f>
        <v>17.399999999999999</v>
      </c>
    </row>
    <row r="242" spans="1:21" ht="12.75" x14ac:dyDescent="0.2">
      <c r="A242" s="3">
        <f ca="1">IFERROR(__xludf.DUMMYFUNCTION("""COMPUTED_VALUE"""),40148.4506944444)</f>
        <v>40148.4506944444</v>
      </c>
      <c r="B242" s="1">
        <f ca="1">IFERROR(__xludf.DUMMYFUNCTION("""COMPUTED_VALUE"""),2.1)</f>
        <v>2.1</v>
      </c>
      <c r="E242" s="1" t="str">
        <f ca="1">IFERROR(__xludf.DUMMYFUNCTION("""COMPUTED_VALUE"""),"RED SPOTTY OVEN GLOVE DOUBLE")</f>
        <v>RED SPOTTY OVEN GLOVE DOUBLE</v>
      </c>
      <c r="F242" s="1">
        <f ca="1">IFERROR(__xludf.DUMMYFUNCTION("""COMPUTED_VALUE"""),5)</f>
        <v>5</v>
      </c>
      <c r="G242" s="1">
        <f ca="1">IFERROR(__xludf.DUMMYFUNCTION("""COMPUTED_VALUE"""),2.95)</f>
        <v>2.95</v>
      </c>
      <c r="J242" s="1" t="str">
        <f ca="1">IFERROR(__xludf.DUMMYFUNCTION("""COMPUTED_VALUE"""),"AREA PATROLLED METAL SIGN")</f>
        <v>AREA PATROLLED METAL SIGN</v>
      </c>
      <c r="K242" s="1">
        <f ca="1">IFERROR(__xludf.DUMMYFUNCTION("""COMPUTED_VALUE"""),12)</f>
        <v>12</v>
      </c>
      <c r="L242" s="1">
        <f ca="1">IFERROR(__xludf.DUMMYFUNCTION("""COMPUTED_VALUE"""),2.1)</f>
        <v>2.1</v>
      </c>
      <c r="T242" s="1">
        <f ca="1">IFERROR(__xludf.DUMMYFUNCTION("""COMPUTED_VALUE"""),489461)</f>
        <v>489461</v>
      </c>
      <c r="U242" s="1">
        <f ca="1">IFERROR(__xludf.DUMMYFUNCTION("""COMPUTED_VALUE"""),25.2)</f>
        <v>25.2</v>
      </c>
    </row>
    <row r="243" spans="1:21" ht="12.75" x14ac:dyDescent="0.2">
      <c r="A243" s="3">
        <f ca="1">IFERROR(__xludf.DUMMYFUNCTION("""COMPUTED_VALUE"""),40148.4506944444)</f>
        <v>40148.4506944444</v>
      </c>
      <c r="B243" s="1">
        <f ca="1">IFERROR(__xludf.DUMMYFUNCTION("""COMPUTED_VALUE"""),2.95)</f>
        <v>2.95</v>
      </c>
      <c r="E243" s="1" t="str">
        <f ca="1">IFERROR(__xludf.DUMMYFUNCTION("""COMPUTED_VALUE"""),"UNION JACK FLAG PASSPORT COVER")</f>
        <v>UNION JACK FLAG PASSPORT COVER</v>
      </c>
      <c r="F243" s="1">
        <f ca="1">IFERROR(__xludf.DUMMYFUNCTION("""COMPUTED_VALUE"""),5)</f>
        <v>5</v>
      </c>
      <c r="G243" s="1">
        <f ca="1">IFERROR(__xludf.DUMMYFUNCTION("""COMPUTED_VALUE"""),2.1)</f>
        <v>2.1</v>
      </c>
      <c r="J243" s="1" t="str">
        <f ca="1">IFERROR(__xludf.DUMMYFUNCTION("""COMPUTED_VALUE"""),"BLUE CHARLIE+LOLA PERSONAL DOORSIGN")</f>
        <v>BLUE CHARLIE+LOLA PERSONAL DOORSIGN</v>
      </c>
      <c r="K243" s="1">
        <f ca="1">IFERROR(__xludf.DUMMYFUNCTION("""COMPUTED_VALUE"""),6)</f>
        <v>6</v>
      </c>
      <c r="L243" s="1">
        <f ca="1">IFERROR(__xludf.DUMMYFUNCTION("""COMPUTED_VALUE"""),2.95)</f>
        <v>2.95</v>
      </c>
      <c r="T243" s="1">
        <f ca="1">IFERROR(__xludf.DUMMYFUNCTION("""COMPUTED_VALUE"""),489461)</f>
        <v>489461</v>
      </c>
      <c r="U243" s="1">
        <f ca="1">IFERROR(__xludf.DUMMYFUNCTION("""COMPUTED_VALUE"""),17.7)</f>
        <v>17.7</v>
      </c>
    </row>
    <row r="244" spans="1:21" ht="12.75" x14ac:dyDescent="0.2">
      <c r="A244" s="3">
        <f ca="1">IFERROR(__xludf.DUMMYFUNCTION("""COMPUTED_VALUE"""),40148.4506944444)</f>
        <v>40148.4506944444</v>
      </c>
      <c r="B244" s="1">
        <f ca="1">IFERROR(__xludf.DUMMYFUNCTION("""COMPUTED_VALUE"""),2.95)</f>
        <v>2.95</v>
      </c>
      <c r="E244" s="1" t="str">
        <f ca="1">IFERROR(__xludf.DUMMYFUNCTION("""COMPUTED_VALUE"""),"KEEP OUT BOYS DOOR HANGER")</f>
        <v>KEEP OUT BOYS DOOR HANGER</v>
      </c>
      <c r="F244" s="1">
        <f ca="1">IFERROR(__xludf.DUMMYFUNCTION("""COMPUTED_VALUE"""),3)</f>
        <v>3</v>
      </c>
      <c r="G244" s="1">
        <f ca="1">IFERROR(__xludf.DUMMYFUNCTION("""COMPUTED_VALUE"""),1.45)</f>
        <v>1.45</v>
      </c>
      <c r="J244" s="1" t="str">
        <f ca="1">IFERROR(__xludf.DUMMYFUNCTION("""COMPUTED_VALUE"""),"RED CHARLIE+LOLA PERSONAL DOORSIGN")</f>
        <v>RED CHARLIE+LOLA PERSONAL DOORSIGN</v>
      </c>
      <c r="K244" s="1">
        <f ca="1">IFERROR(__xludf.DUMMYFUNCTION("""COMPUTED_VALUE"""),6)</f>
        <v>6</v>
      </c>
      <c r="L244" s="1">
        <f ca="1">IFERROR(__xludf.DUMMYFUNCTION("""COMPUTED_VALUE"""),2.95)</f>
        <v>2.95</v>
      </c>
      <c r="T244" s="1">
        <f ca="1">IFERROR(__xludf.DUMMYFUNCTION("""COMPUTED_VALUE"""),489461)</f>
        <v>489461</v>
      </c>
      <c r="U244" s="1">
        <f ca="1">IFERROR(__xludf.DUMMYFUNCTION("""COMPUTED_VALUE"""),17.7)</f>
        <v>17.7</v>
      </c>
    </row>
    <row r="245" spans="1:21" ht="12.75" x14ac:dyDescent="0.2">
      <c r="A245" s="3">
        <f ca="1">IFERROR(__xludf.DUMMYFUNCTION("""COMPUTED_VALUE"""),40148.4506944444)</f>
        <v>40148.4506944444</v>
      </c>
      <c r="B245" s="1">
        <f ca="1">IFERROR(__xludf.DUMMYFUNCTION("""COMPUTED_VALUE"""),2.1)</f>
        <v>2.1</v>
      </c>
      <c r="E245" s="1" t="str">
        <f ca="1">IFERROR(__xludf.DUMMYFUNCTION("""COMPUTED_VALUE"""),"PINK UNION JACK  PASSPORT COVER")</f>
        <v>PINK UNION JACK  PASSPORT COVER</v>
      </c>
      <c r="F245" s="1">
        <f ca="1">IFERROR(__xludf.DUMMYFUNCTION("""COMPUTED_VALUE"""),3)</f>
        <v>3</v>
      </c>
      <c r="G245" s="1">
        <f ca="1">IFERROR(__xludf.DUMMYFUNCTION("""COMPUTED_VALUE"""),2.1)</f>
        <v>2.1</v>
      </c>
      <c r="J245" s="1" t="str">
        <f ca="1">IFERROR(__xludf.DUMMYFUNCTION("""COMPUTED_VALUE"""),"PLEASE ONE PERSON  METAL SIGN")</f>
        <v>PLEASE ONE PERSON  METAL SIGN</v>
      </c>
      <c r="K245" s="1">
        <f ca="1">IFERROR(__xludf.DUMMYFUNCTION("""COMPUTED_VALUE"""),6)</f>
        <v>6</v>
      </c>
      <c r="L245" s="1">
        <f ca="1">IFERROR(__xludf.DUMMYFUNCTION("""COMPUTED_VALUE"""),2.1)</f>
        <v>2.1</v>
      </c>
      <c r="T245" s="1">
        <f ca="1">IFERROR(__xludf.DUMMYFUNCTION("""COMPUTED_VALUE"""),489461)</f>
        <v>489461</v>
      </c>
      <c r="U245" s="1">
        <f ca="1">IFERROR(__xludf.DUMMYFUNCTION("""COMPUTED_VALUE"""),12.6)</f>
        <v>12.6</v>
      </c>
    </row>
    <row r="246" spans="1:21" ht="12.75" x14ac:dyDescent="0.2">
      <c r="A246" s="3">
        <f ca="1">IFERROR(__xludf.DUMMYFUNCTION("""COMPUTED_VALUE"""),40148.4506944444)</f>
        <v>40148.4506944444</v>
      </c>
      <c r="B246" s="1">
        <f ca="1">IFERROR(__xludf.DUMMYFUNCTION("""COMPUTED_VALUE"""),2.55)</f>
        <v>2.5499999999999998</v>
      </c>
      <c r="E246" s="1" t="str">
        <f ca="1">IFERROR(__xludf.DUMMYFUNCTION("""COMPUTED_VALUE"""),"RETRO RED SPOTTY WASHING UP GLOVES")</f>
        <v>RETRO RED SPOTTY WASHING UP GLOVES</v>
      </c>
      <c r="F246" s="1">
        <f ca="1">IFERROR(__xludf.DUMMYFUNCTION("""COMPUTED_VALUE"""),3)</f>
        <v>3</v>
      </c>
      <c r="G246" s="1">
        <f ca="1">IFERROR(__xludf.DUMMYFUNCTION("""COMPUTED_VALUE"""),2.1)</f>
        <v>2.1</v>
      </c>
      <c r="J246" s="1" t="str">
        <f ca="1">IFERROR(__xludf.DUMMYFUNCTION("""COMPUTED_VALUE"""),"LADIES &amp; GENTLEMEN METAL SIGN")</f>
        <v>LADIES &amp; GENTLEMEN METAL SIGN</v>
      </c>
      <c r="K246" s="1">
        <f ca="1">IFERROR(__xludf.DUMMYFUNCTION("""COMPUTED_VALUE"""),6)</f>
        <v>6</v>
      </c>
      <c r="L246" s="1">
        <f ca="1">IFERROR(__xludf.DUMMYFUNCTION("""COMPUTED_VALUE"""),2.55)</f>
        <v>2.5499999999999998</v>
      </c>
      <c r="T246" s="1">
        <f ca="1">IFERROR(__xludf.DUMMYFUNCTION("""COMPUTED_VALUE"""),489461)</f>
        <v>489461</v>
      </c>
      <c r="U246" s="1">
        <f ca="1">IFERROR(__xludf.DUMMYFUNCTION("""COMPUTED_VALUE"""),15.2999999999999)</f>
        <v>15.299999999999899</v>
      </c>
    </row>
    <row r="247" spans="1:21" ht="12.75" x14ac:dyDescent="0.2">
      <c r="A247" s="3">
        <f ca="1">IFERROR(__xludf.DUMMYFUNCTION("""COMPUTED_VALUE"""),40148.4506944444)</f>
        <v>40148.4506944444</v>
      </c>
      <c r="B247" s="1">
        <f ca="1">IFERROR(__xludf.DUMMYFUNCTION("""COMPUTED_VALUE"""),2.95)</f>
        <v>2.95</v>
      </c>
      <c r="E247" s="1" t="str">
        <f ca="1">IFERROR(__xludf.DUMMYFUNCTION("""COMPUTED_VALUE"""),"GREEN 3 PIECE MINI DOTS CUTLERY SET")</f>
        <v>GREEN 3 PIECE MINI DOTS CUTLERY SET</v>
      </c>
      <c r="F247" s="1">
        <f ca="1">IFERROR(__xludf.DUMMYFUNCTION("""COMPUTED_VALUE"""),3)</f>
        <v>3</v>
      </c>
      <c r="G247" s="1">
        <f ca="1">IFERROR(__xludf.DUMMYFUNCTION("""COMPUTED_VALUE"""),3.75)</f>
        <v>3.75</v>
      </c>
      <c r="J247" s="1" t="str">
        <f ca="1">IFERROR(__xludf.DUMMYFUNCTION("""COMPUTED_VALUE"""),"WOODEN FRAME ANTIQUE WHITE")</f>
        <v>WOODEN FRAME ANTIQUE WHITE</v>
      </c>
      <c r="K247" s="1">
        <f ca="1">IFERROR(__xludf.DUMMYFUNCTION("""COMPUTED_VALUE"""),6)</f>
        <v>6</v>
      </c>
      <c r="L247" s="1">
        <f ca="1">IFERROR(__xludf.DUMMYFUNCTION("""COMPUTED_VALUE"""),2.95)</f>
        <v>2.95</v>
      </c>
      <c r="T247" s="1">
        <f ca="1">IFERROR(__xludf.DUMMYFUNCTION("""COMPUTED_VALUE"""),489461)</f>
        <v>489461</v>
      </c>
      <c r="U247" s="1">
        <f ca="1">IFERROR(__xludf.DUMMYFUNCTION("""COMPUTED_VALUE"""),17.7)</f>
        <v>17.7</v>
      </c>
    </row>
    <row r="248" spans="1:21" ht="12.75" x14ac:dyDescent="0.2">
      <c r="A248" s="3">
        <f ca="1">IFERROR(__xludf.DUMMYFUNCTION("""COMPUTED_VALUE"""),40148.4506944444)</f>
        <v>40148.4506944444</v>
      </c>
      <c r="B248" s="1">
        <f ca="1">IFERROR(__xludf.DUMMYFUNCTION("""COMPUTED_VALUE"""),2.95)</f>
        <v>2.95</v>
      </c>
      <c r="E248" s="1" t="str">
        <f ca="1">IFERROR(__xludf.DUMMYFUNCTION("""COMPUTED_VALUE"""),"GREEN  SPOTTY PLATE")</f>
        <v>GREEN  SPOTTY PLATE</v>
      </c>
      <c r="F248" s="1">
        <f ca="1">IFERROR(__xludf.DUMMYFUNCTION("""COMPUTED_VALUE"""),3)</f>
        <v>3</v>
      </c>
      <c r="G248" s="1">
        <f ca="1">IFERROR(__xludf.DUMMYFUNCTION("""COMPUTED_VALUE"""),1.69)</f>
        <v>1.69</v>
      </c>
      <c r="J248" s="1" t="str">
        <f ca="1">IFERROR(__xludf.DUMMYFUNCTION("""COMPUTED_VALUE"""),"CERAMIC BOWL WITH STRAWBERRY DESIGN")</f>
        <v>CERAMIC BOWL WITH STRAWBERRY DESIGN</v>
      </c>
      <c r="K248" s="1">
        <f ca="1">IFERROR(__xludf.DUMMYFUNCTION("""COMPUTED_VALUE"""),6)</f>
        <v>6</v>
      </c>
      <c r="L248" s="1">
        <f ca="1">IFERROR(__xludf.DUMMYFUNCTION("""COMPUTED_VALUE"""),2.95)</f>
        <v>2.95</v>
      </c>
      <c r="T248" s="1">
        <f ca="1">IFERROR(__xludf.DUMMYFUNCTION("""COMPUTED_VALUE"""),489461)</f>
        <v>489461</v>
      </c>
      <c r="U248" s="1">
        <f ca="1">IFERROR(__xludf.DUMMYFUNCTION("""COMPUTED_VALUE"""),17.7)</f>
        <v>17.7</v>
      </c>
    </row>
    <row r="249" spans="1:21" ht="12.75" x14ac:dyDescent="0.2">
      <c r="A249" s="3">
        <f ca="1">IFERROR(__xludf.DUMMYFUNCTION("""COMPUTED_VALUE"""),40148.4506944444)</f>
        <v>40148.4506944444</v>
      </c>
      <c r="B249" s="1">
        <f ca="1">IFERROR(__xludf.DUMMYFUNCTION("""COMPUTED_VALUE"""),2.95)</f>
        <v>2.95</v>
      </c>
      <c r="E249" s="1" t="str">
        <f ca="1">IFERROR(__xludf.DUMMYFUNCTION("""COMPUTED_VALUE"""),"LAUNDRY 15C METAL SIGN")</f>
        <v>LAUNDRY 15C METAL SIGN</v>
      </c>
      <c r="F249" s="1">
        <f ca="1">IFERROR(__xludf.DUMMYFUNCTION("""COMPUTED_VALUE"""),2)</f>
        <v>2</v>
      </c>
      <c r="G249" s="1">
        <f ca="1">IFERROR(__xludf.DUMMYFUNCTION("""COMPUTED_VALUE"""),1.25)</f>
        <v>1.25</v>
      </c>
      <c r="J249" s="1" t="str">
        <f ca="1">IFERROR(__xludf.DUMMYFUNCTION("""COMPUTED_VALUE"""),"CERAMIC CAKE BOWL + HANGING CAKES")</f>
        <v>CERAMIC CAKE BOWL + HANGING CAKES</v>
      </c>
      <c r="K249" s="1">
        <f ca="1">IFERROR(__xludf.DUMMYFUNCTION("""COMPUTED_VALUE"""),6)</f>
        <v>6</v>
      </c>
      <c r="L249" s="1">
        <f ca="1">IFERROR(__xludf.DUMMYFUNCTION("""COMPUTED_VALUE"""),2.95)</f>
        <v>2.95</v>
      </c>
      <c r="T249" s="1">
        <f ca="1">IFERROR(__xludf.DUMMYFUNCTION("""COMPUTED_VALUE"""),489461)</f>
        <v>489461</v>
      </c>
      <c r="U249" s="1">
        <f ca="1">IFERROR(__xludf.DUMMYFUNCTION("""COMPUTED_VALUE"""),17.7)</f>
        <v>17.7</v>
      </c>
    </row>
    <row r="250" spans="1:21" ht="12.75" x14ac:dyDescent="0.2">
      <c r="A250" s="3">
        <f ca="1">IFERROR(__xludf.DUMMYFUNCTION("""COMPUTED_VALUE"""),40148.4506944444)</f>
        <v>40148.4506944444</v>
      </c>
      <c r="B250" s="1">
        <f ca="1">IFERROR(__xludf.DUMMYFUNCTION("""COMPUTED_VALUE"""),5.95)</f>
        <v>5.95</v>
      </c>
      <c r="E250" s="1" t="str">
        <f ca="1">IFERROR(__xludf.DUMMYFUNCTION("""COMPUTED_VALUE"""),"METAL SIGN CUPCAKE SINGLE HOOK")</f>
        <v>METAL SIGN CUPCAKE SINGLE HOOK</v>
      </c>
      <c r="F250" s="1">
        <f ca="1">IFERROR(__xludf.DUMMYFUNCTION("""COMPUTED_VALUE"""),2)</f>
        <v>2</v>
      </c>
      <c r="G250" s="1">
        <f ca="1">IFERROR(__xludf.DUMMYFUNCTION("""COMPUTED_VALUE"""),1.25)</f>
        <v>1.25</v>
      </c>
      <c r="J250" s="1" t="str">
        <f ca="1">IFERROR(__xludf.DUMMYFUNCTION("""COMPUTED_VALUE"""),"UNION JACK HOT WATER BOTTLE")</f>
        <v>UNION JACK HOT WATER BOTTLE</v>
      </c>
      <c r="K250" s="1">
        <f ca="1">IFERROR(__xludf.DUMMYFUNCTION("""COMPUTED_VALUE"""),3)</f>
        <v>3</v>
      </c>
      <c r="L250" s="1">
        <f ca="1">IFERROR(__xludf.DUMMYFUNCTION("""COMPUTED_VALUE"""),5.95)</f>
        <v>5.95</v>
      </c>
      <c r="T250" s="1">
        <f ca="1">IFERROR(__xludf.DUMMYFUNCTION("""COMPUTED_VALUE"""),489461)</f>
        <v>489461</v>
      </c>
      <c r="U250" s="1">
        <f ca="1">IFERROR(__xludf.DUMMYFUNCTION("""COMPUTED_VALUE"""),17.85)</f>
        <v>17.850000000000001</v>
      </c>
    </row>
    <row r="251" spans="1:21" ht="12.75" x14ac:dyDescent="0.2">
      <c r="A251" s="3">
        <f ca="1">IFERROR(__xludf.DUMMYFUNCTION("""COMPUTED_VALUE"""),40148.4506944444)</f>
        <v>40148.4506944444</v>
      </c>
      <c r="B251" s="1">
        <f ca="1">IFERROR(__xludf.DUMMYFUNCTION("""COMPUTED_VALUE"""),5.95)</f>
        <v>5.95</v>
      </c>
      <c r="E251" s="1" t="str">
        <f ca="1">IFERROR(__xludf.DUMMYFUNCTION("""COMPUTED_VALUE"""),"NO JUNK MAIL METAL SIGN")</f>
        <v>NO JUNK MAIL METAL SIGN</v>
      </c>
      <c r="F251" s="1">
        <f ca="1">IFERROR(__xludf.DUMMYFUNCTION("""COMPUTED_VALUE"""),2)</f>
        <v>2</v>
      </c>
      <c r="G251" s="1">
        <f ca="1">IFERROR(__xludf.DUMMYFUNCTION("""COMPUTED_VALUE"""),1.25)</f>
        <v>1.25</v>
      </c>
      <c r="J251" s="1" t="str">
        <f ca="1">IFERROR(__xludf.DUMMYFUNCTION("""COMPUTED_VALUE"""),"WOOD 2 DRAWER CABINET WHITE FINISH")</f>
        <v>WOOD 2 DRAWER CABINET WHITE FINISH</v>
      </c>
      <c r="K251" s="1">
        <f ca="1">IFERROR(__xludf.DUMMYFUNCTION("""COMPUTED_VALUE"""),3)</f>
        <v>3</v>
      </c>
      <c r="L251" s="1">
        <f ca="1">IFERROR(__xludf.DUMMYFUNCTION("""COMPUTED_VALUE"""),5.95)</f>
        <v>5.95</v>
      </c>
      <c r="T251" s="1">
        <f ca="1">IFERROR(__xludf.DUMMYFUNCTION("""COMPUTED_VALUE"""),489461)</f>
        <v>489461</v>
      </c>
      <c r="U251" s="1">
        <f ca="1">IFERROR(__xludf.DUMMYFUNCTION("""COMPUTED_VALUE"""),17.85)</f>
        <v>17.850000000000001</v>
      </c>
    </row>
    <row r="252" spans="1:21" ht="12.75" x14ac:dyDescent="0.2">
      <c r="A252" s="3">
        <f ca="1">IFERROR(__xludf.DUMMYFUNCTION("""COMPUTED_VALUE"""),40148.4506944444)</f>
        <v>40148.4506944444</v>
      </c>
      <c r="B252" s="1">
        <f ca="1">IFERROR(__xludf.DUMMYFUNCTION("""COMPUTED_VALUE"""),7.95)</f>
        <v>7.95</v>
      </c>
      <c r="E252" s="1" t="str">
        <f ca="1">IFERROR(__xludf.DUMMYFUNCTION("""COMPUTED_VALUE"""),"BLACK SIL'T SQU CANDLE PLATE")</f>
        <v>BLACK SIL'T SQU CANDLE PLATE</v>
      </c>
      <c r="F252" s="1">
        <f ca="1">IFERROR(__xludf.DUMMYFUNCTION("""COMPUTED_VALUE"""),2)</f>
        <v>2</v>
      </c>
      <c r="G252" s="1">
        <f ca="1">IFERROR(__xludf.DUMMYFUNCTION("""COMPUTED_VALUE"""),2.1)</f>
        <v>2.1</v>
      </c>
      <c r="J252" s="1" t="str">
        <f ca="1">IFERROR(__xludf.DUMMYFUNCTION("""COMPUTED_VALUE"""),"WOOD S/3 CABINET ANT WHITE FINISH")</f>
        <v>WOOD S/3 CABINET ANT WHITE FINISH</v>
      </c>
      <c r="K252" s="1">
        <f ca="1">IFERROR(__xludf.DUMMYFUNCTION("""COMPUTED_VALUE"""),2)</f>
        <v>2</v>
      </c>
      <c r="L252" s="1">
        <f ca="1">IFERROR(__xludf.DUMMYFUNCTION("""COMPUTED_VALUE"""),7.95)</f>
        <v>7.95</v>
      </c>
      <c r="T252" s="1">
        <f ca="1">IFERROR(__xludf.DUMMYFUNCTION("""COMPUTED_VALUE"""),489461)</f>
        <v>489461</v>
      </c>
      <c r="U252" s="1">
        <f ca="1">IFERROR(__xludf.DUMMYFUNCTION("""COMPUTED_VALUE"""),15.9)</f>
        <v>15.9</v>
      </c>
    </row>
    <row r="253" spans="1:21" ht="12.75" x14ac:dyDescent="0.2">
      <c r="A253" s="3">
        <f ca="1">IFERROR(__xludf.DUMMYFUNCTION("""COMPUTED_VALUE"""),40148.4506944444)</f>
        <v>40148.4506944444</v>
      </c>
      <c r="B253" s="1">
        <f ca="1">IFERROR(__xludf.DUMMYFUNCTION("""COMPUTED_VALUE"""),9.95)</f>
        <v>9.9499999999999993</v>
      </c>
      <c r="E253" s="1" t="str">
        <f ca="1">IFERROR(__xludf.DUMMYFUNCTION("""COMPUTED_VALUE"""),"POTTING SHED COFFEE MUG")</f>
        <v>POTTING SHED COFFEE MUG</v>
      </c>
      <c r="F253" s="1">
        <f ca="1">IFERROR(__xludf.DUMMYFUNCTION("""COMPUTED_VALUE"""),2)</f>
        <v>2</v>
      </c>
      <c r="G253" s="1">
        <f ca="1">IFERROR(__xludf.DUMMYFUNCTION("""COMPUTED_VALUE"""),1.25)</f>
        <v>1.25</v>
      </c>
      <c r="J253" s="1" t="str">
        <f ca="1">IFERROR(__xludf.DUMMYFUNCTION("""COMPUTED_VALUE"""),"RETRO SPOT LAMP")</f>
        <v>RETRO SPOT LAMP</v>
      </c>
      <c r="K253" s="1">
        <f ca="1">IFERROR(__xludf.DUMMYFUNCTION("""COMPUTED_VALUE"""),2)</f>
        <v>2</v>
      </c>
      <c r="L253" s="1">
        <f ca="1">IFERROR(__xludf.DUMMYFUNCTION("""COMPUTED_VALUE"""),9.95)</f>
        <v>9.9499999999999993</v>
      </c>
      <c r="T253" s="1">
        <f ca="1">IFERROR(__xludf.DUMMYFUNCTION("""COMPUTED_VALUE"""),489461)</f>
        <v>489461</v>
      </c>
      <c r="U253" s="1">
        <f ca="1">IFERROR(__xludf.DUMMYFUNCTION("""COMPUTED_VALUE"""),19.9)</f>
        <v>19.899999999999999</v>
      </c>
    </row>
    <row r="254" spans="1:21" ht="12.75" x14ac:dyDescent="0.2">
      <c r="A254" s="3">
        <f ca="1">IFERROR(__xludf.DUMMYFUNCTION("""COMPUTED_VALUE"""),40148.4506944444)</f>
        <v>40148.4506944444</v>
      </c>
      <c r="B254" s="1">
        <f ca="1">IFERROR(__xludf.DUMMYFUNCTION("""COMPUTED_VALUE"""),4.25)</f>
        <v>4.25</v>
      </c>
      <c r="E254" s="1" t="str">
        <f ca="1">IFERROR(__xludf.DUMMYFUNCTION("""COMPUTED_VALUE"""),"POTTERING MUG")</f>
        <v>POTTERING MUG</v>
      </c>
      <c r="F254" s="1">
        <f ca="1">IFERROR(__xludf.DUMMYFUNCTION("""COMPUTED_VALUE"""),2)</f>
        <v>2</v>
      </c>
      <c r="G254" s="1">
        <f ca="1">IFERROR(__xludf.DUMMYFUNCTION("""COMPUTED_VALUE"""),1.25)</f>
        <v>1.25</v>
      </c>
      <c r="J254" s="1" t="str">
        <f ca="1">IFERROR(__xludf.DUMMYFUNCTION("""COMPUTED_VALUE"""),"PINK SWEETHEART BRACELET")</f>
        <v>PINK SWEETHEART BRACELET</v>
      </c>
      <c r="K254" s="1">
        <f ca="1">IFERROR(__xludf.DUMMYFUNCTION("""COMPUTED_VALUE"""),3)</f>
        <v>3</v>
      </c>
      <c r="L254" s="1">
        <f ca="1">IFERROR(__xludf.DUMMYFUNCTION("""COMPUTED_VALUE"""),4.25)</f>
        <v>4.25</v>
      </c>
      <c r="T254" s="1">
        <f ca="1">IFERROR(__xludf.DUMMYFUNCTION("""COMPUTED_VALUE"""),489462)</f>
        <v>489462</v>
      </c>
      <c r="U254" s="1">
        <f ca="1">IFERROR(__xludf.DUMMYFUNCTION("""COMPUTED_VALUE"""),12.75)</f>
        <v>12.75</v>
      </c>
    </row>
    <row r="255" spans="1:21" ht="12.75" x14ac:dyDescent="0.2">
      <c r="A255" s="3">
        <f ca="1">IFERROR(__xludf.DUMMYFUNCTION("""COMPUTED_VALUE"""),40148.4506944444)</f>
        <v>40148.4506944444</v>
      </c>
      <c r="B255" s="1">
        <f ca="1">IFERROR(__xludf.DUMMYFUNCTION("""COMPUTED_VALUE"""),4.25)</f>
        <v>4.25</v>
      </c>
      <c r="E255" s="1" t="str">
        <f ca="1">IFERROR(__xludf.DUMMYFUNCTION("""COMPUTED_VALUE"""),"FAIRY SOAP SOAP HOLDER")</f>
        <v>FAIRY SOAP SOAP HOLDER</v>
      </c>
      <c r="F255" s="1">
        <f ca="1">IFERROR(__xludf.DUMMYFUNCTION("""COMPUTED_VALUE"""),2)</f>
        <v>2</v>
      </c>
      <c r="G255" s="1">
        <f ca="1">IFERROR(__xludf.DUMMYFUNCTION("""COMPUTED_VALUE"""),1.69)</f>
        <v>1.69</v>
      </c>
      <c r="J255" s="1" t="str">
        <f ca="1">IFERROR(__xludf.DUMMYFUNCTION("""COMPUTED_VALUE"""),"GREEN SWEETHEART BRACELET")</f>
        <v>GREEN SWEETHEART BRACELET</v>
      </c>
      <c r="K255" s="1">
        <f ca="1">IFERROR(__xludf.DUMMYFUNCTION("""COMPUTED_VALUE"""),3)</f>
        <v>3</v>
      </c>
      <c r="L255" s="1">
        <f ca="1">IFERROR(__xludf.DUMMYFUNCTION("""COMPUTED_VALUE"""),4.25)</f>
        <v>4.25</v>
      </c>
      <c r="T255" s="1">
        <f ca="1">IFERROR(__xludf.DUMMYFUNCTION("""COMPUTED_VALUE"""),489462)</f>
        <v>489462</v>
      </c>
      <c r="U255" s="1">
        <f ca="1">IFERROR(__xludf.DUMMYFUNCTION("""COMPUTED_VALUE"""),12.75)</f>
        <v>12.75</v>
      </c>
    </row>
    <row r="256" spans="1:21" ht="12.75" x14ac:dyDescent="0.2">
      <c r="A256" s="3">
        <f ca="1">IFERROR(__xludf.DUMMYFUNCTION("""COMPUTED_VALUE"""),40148.4506944444)</f>
        <v>40148.4506944444</v>
      </c>
      <c r="B256" s="1">
        <f ca="1">IFERROR(__xludf.DUMMYFUNCTION("""COMPUTED_VALUE"""),4.25)</f>
        <v>4.25</v>
      </c>
      <c r="E256" s="1" t="str">
        <f ca="1">IFERROR(__xludf.DUMMYFUNCTION("""COMPUTED_VALUE"""),"FLOWER VINE RAFFIA FOOD COVER")</f>
        <v>FLOWER VINE RAFFIA FOOD COVER</v>
      </c>
      <c r="F256" s="1">
        <f ca="1">IFERROR(__xludf.DUMMYFUNCTION("""COMPUTED_VALUE"""),2)</f>
        <v>2</v>
      </c>
      <c r="G256" s="1">
        <f ca="1">IFERROR(__xludf.DUMMYFUNCTION("""COMPUTED_VALUE"""),3.75)</f>
        <v>3.75</v>
      </c>
      <c r="J256" s="1" t="str">
        <f ca="1">IFERROR(__xludf.DUMMYFUNCTION("""COMPUTED_VALUE"""),"PURPLE SWEETHEART BRACELET")</f>
        <v>PURPLE SWEETHEART BRACELET</v>
      </c>
      <c r="K256" s="1">
        <f ca="1">IFERROR(__xludf.DUMMYFUNCTION("""COMPUTED_VALUE"""),3)</f>
        <v>3</v>
      </c>
      <c r="L256" s="1">
        <f ca="1">IFERROR(__xludf.DUMMYFUNCTION("""COMPUTED_VALUE"""),4.25)</f>
        <v>4.25</v>
      </c>
      <c r="T256" s="1">
        <f ca="1">IFERROR(__xludf.DUMMYFUNCTION("""COMPUTED_VALUE"""),489462)</f>
        <v>489462</v>
      </c>
      <c r="U256" s="1">
        <f ca="1">IFERROR(__xludf.DUMMYFUNCTION("""COMPUTED_VALUE"""),12.75)</f>
        <v>12.75</v>
      </c>
    </row>
    <row r="257" spans="1:21" ht="12.75" x14ac:dyDescent="0.2">
      <c r="A257" s="3">
        <f ca="1">IFERROR(__xludf.DUMMYFUNCTION("""COMPUTED_VALUE"""),40148.4506944444)</f>
        <v>40148.4506944444</v>
      </c>
      <c r="B257" s="1">
        <f ca="1">IFERROR(__xludf.DUMMYFUNCTION("""COMPUTED_VALUE"""),4.25)</f>
        <v>4.25</v>
      </c>
      <c r="E257" s="1" t="str">
        <f ca="1">IFERROR(__xludf.DUMMYFUNCTION("""COMPUTED_VALUE"""),"VINTAGE NOTEBOOK PARIS DAYS")</f>
        <v>VINTAGE NOTEBOOK PARIS DAYS</v>
      </c>
      <c r="F257" s="1">
        <f ca="1">IFERROR(__xludf.DUMMYFUNCTION("""COMPUTED_VALUE"""),2)</f>
        <v>2</v>
      </c>
      <c r="G257" s="1">
        <f ca="1">IFERROR(__xludf.DUMMYFUNCTION("""COMPUTED_VALUE"""),2.95)</f>
        <v>2.95</v>
      </c>
      <c r="J257" s="1" t="str">
        <f ca="1">IFERROR(__xludf.DUMMYFUNCTION("""COMPUTED_VALUE"""),"BLUE SWEETHEART BRACELET")</f>
        <v>BLUE SWEETHEART BRACELET</v>
      </c>
      <c r="K257" s="1">
        <f ca="1">IFERROR(__xludf.DUMMYFUNCTION("""COMPUTED_VALUE"""),3)</f>
        <v>3</v>
      </c>
      <c r="L257" s="1">
        <f ca="1">IFERROR(__xludf.DUMMYFUNCTION("""COMPUTED_VALUE"""),4.25)</f>
        <v>4.25</v>
      </c>
      <c r="T257" s="1">
        <f ca="1">IFERROR(__xludf.DUMMYFUNCTION("""COMPUTED_VALUE"""),489462)</f>
        <v>489462</v>
      </c>
      <c r="U257" s="1">
        <f ca="1">IFERROR(__xludf.DUMMYFUNCTION("""COMPUTED_VALUE"""),12.75)</f>
        <v>12.75</v>
      </c>
    </row>
    <row r="258" spans="1:21" ht="12.75" x14ac:dyDescent="0.2">
      <c r="A258" s="3">
        <f ca="1">IFERROR(__xludf.DUMMYFUNCTION("""COMPUTED_VALUE"""),40148.4506944444)</f>
        <v>40148.4506944444</v>
      </c>
      <c r="B258" s="1">
        <f ca="1">IFERROR(__xludf.DUMMYFUNCTION("""COMPUTED_VALUE"""),4.25)</f>
        <v>4.25</v>
      </c>
      <c r="E258" s="1" t="str">
        <f ca="1">IFERROR(__xludf.DUMMYFUNCTION("""COMPUTED_VALUE"""),"ENGLISH ROSE TEA SET IN GIFT BOX")</f>
        <v>ENGLISH ROSE TEA SET IN GIFT BOX</v>
      </c>
      <c r="F258" s="1">
        <f ca="1">IFERROR(__xludf.DUMMYFUNCTION("""COMPUTED_VALUE"""),2)</f>
        <v>2</v>
      </c>
      <c r="G258" s="1">
        <f ca="1">IFERROR(__xludf.DUMMYFUNCTION("""COMPUTED_VALUE"""),4.65)</f>
        <v>4.6500000000000004</v>
      </c>
      <c r="J258" s="1" t="str">
        <f ca="1">IFERROR(__xludf.DUMMYFUNCTION("""COMPUTED_VALUE"""),"BLACK SWEETHEART BRACELET")</f>
        <v>BLACK SWEETHEART BRACELET</v>
      </c>
      <c r="K258" s="1">
        <f ca="1">IFERROR(__xludf.DUMMYFUNCTION("""COMPUTED_VALUE"""),3)</f>
        <v>3</v>
      </c>
      <c r="L258" s="1">
        <f ca="1">IFERROR(__xludf.DUMMYFUNCTION("""COMPUTED_VALUE"""),4.25)</f>
        <v>4.25</v>
      </c>
      <c r="T258" s="1">
        <f ca="1">IFERROR(__xludf.DUMMYFUNCTION("""COMPUTED_VALUE"""),489462)</f>
        <v>489462</v>
      </c>
      <c r="U258" s="1">
        <f ca="1">IFERROR(__xludf.DUMMYFUNCTION("""COMPUTED_VALUE"""),12.75)</f>
        <v>12.75</v>
      </c>
    </row>
    <row r="259" spans="1:21" ht="12.75" x14ac:dyDescent="0.2">
      <c r="A259" s="3">
        <f ca="1">IFERROR(__xludf.DUMMYFUNCTION("""COMPUTED_VALUE"""),40148.4506944444)</f>
        <v>40148.4506944444</v>
      </c>
      <c r="B259" s="1">
        <f ca="1">IFERROR(__xludf.DUMMYFUNCTION("""COMPUTED_VALUE"""),4.25)</f>
        <v>4.25</v>
      </c>
      <c r="E259" s="1" t="str">
        <f ca="1">IFERROR(__xludf.DUMMYFUNCTION("""COMPUTED_VALUE"""),"PINK UNION JACK  LUGGAGE TAG")</f>
        <v>PINK UNION JACK  LUGGAGE TAG</v>
      </c>
      <c r="F259" s="1">
        <f ca="1">IFERROR(__xludf.DUMMYFUNCTION("""COMPUTED_VALUE"""),1)</f>
        <v>1</v>
      </c>
      <c r="G259" s="1">
        <f ca="1">IFERROR(__xludf.DUMMYFUNCTION("""COMPUTED_VALUE"""),1.25)</f>
        <v>1.25</v>
      </c>
      <c r="J259" s="1" t="str">
        <f ca="1">IFERROR(__xludf.DUMMYFUNCTION("""COMPUTED_VALUE"""),"BLACK DIAMANTE EXPANDABLE RING")</f>
        <v>BLACK DIAMANTE EXPANDABLE RING</v>
      </c>
      <c r="K259" s="1">
        <f ca="1">IFERROR(__xludf.DUMMYFUNCTION("""COMPUTED_VALUE"""),3)</f>
        <v>3</v>
      </c>
      <c r="L259" s="1">
        <f ca="1">IFERROR(__xludf.DUMMYFUNCTION("""COMPUTED_VALUE"""),4.25)</f>
        <v>4.25</v>
      </c>
      <c r="T259" s="1">
        <f ca="1">IFERROR(__xludf.DUMMYFUNCTION("""COMPUTED_VALUE"""),489462)</f>
        <v>489462</v>
      </c>
      <c r="U259" s="1">
        <f ca="1">IFERROR(__xludf.DUMMYFUNCTION("""COMPUTED_VALUE"""),12.75)</f>
        <v>12.75</v>
      </c>
    </row>
    <row r="260" spans="1:21" ht="12.75" x14ac:dyDescent="0.2">
      <c r="A260" s="3">
        <f ca="1">IFERROR(__xludf.DUMMYFUNCTION("""COMPUTED_VALUE"""),40148.4506944444)</f>
        <v>40148.4506944444</v>
      </c>
      <c r="B260" s="1">
        <f ca="1">IFERROR(__xludf.DUMMYFUNCTION("""COMPUTED_VALUE"""),4.25)</f>
        <v>4.25</v>
      </c>
      <c r="E260" s="1" t="str">
        <f ca="1">IFERROR(__xludf.DUMMYFUNCTION("""COMPUTED_VALUE"""),"AIRLINE LOUNGE,METAL SIGN")</f>
        <v>AIRLINE LOUNGE,METAL SIGN</v>
      </c>
      <c r="F260" s="1">
        <f ca="1">IFERROR(__xludf.DUMMYFUNCTION("""COMPUTED_VALUE"""),1)</f>
        <v>1</v>
      </c>
      <c r="G260" s="1">
        <f ca="1">IFERROR(__xludf.DUMMYFUNCTION("""COMPUTED_VALUE"""),2.1)</f>
        <v>2.1</v>
      </c>
      <c r="J260" s="1" t="str">
        <f ca="1">IFERROR(__xludf.DUMMYFUNCTION("""COMPUTED_VALUE"""),"AMETHYST DIAMANTE EXPANDABLE RING")</f>
        <v>AMETHYST DIAMANTE EXPANDABLE RING</v>
      </c>
      <c r="K260" s="1">
        <f ca="1">IFERROR(__xludf.DUMMYFUNCTION("""COMPUTED_VALUE"""),3)</f>
        <v>3</v>
      </c>
      <c r="L260" s="1">
        <f ca="1">IFERROR(__xludf.DUMMYFUNCTION("""COMPUTED_VALUE"""),4.25)</f>
        <v>4.25</v>
      </c>
      <c r="T260" s="1">
        <f ca="1">IFERROR(__xludf.DUMMYFUNCTION("""COMPUTED_VALUE"""),489462)</f>
        <v>489462</v>
      </c>
      <c r="U260" s="1">
        <f ca="1">IFERROR(__xludf.DUMMYFUNCTION("""COMPUTED_VALUE"""),12.75)</f>
        <v>12.75</v>
      </c>
    </row>
    <row r="261" spans="1:21" ht="12.75" x14ac:dyDescent="0.2">
      <c r="A261" s="3">
        <f ca="1">IFERROR(__xludf.DUMMYFUNCTION("""COMPUTED_VALUE"""),40148.4506944444)</f>
        <v>40148.4506944444</v>
      </c>
      <c r="B261" s="1">
        <f ca="1">IFERROR(__xludf.DUMMYFUNCTION("""COMPUTED_VALUE"""),3.75)</f>
        <v>3.75</v>
      </c>
      <c r="E261" s="1" t="str">
        <f ca="1">IFERROR(__xludf.DUMMYFUNCTION("""COMPUTED_VALUE"""),"RETRO SPOT SMALL TUBE MATCHES")</f>
        <v>RETRO SPOT SMALL TUBE MATCHES</v>
      </c>
      <c r="F261" s="1">
        <f ca="1">IFERROR(__xludf.DUMMYFUNCTION("""COMPUTED_VALUE"""),20)</f>
        <v>20</v>
      </c>
      <c r="G261" s="1">
        <f ca="1">IFERROR(__xludf.DUMMYFUNCTION("""COMPUTED_VALUE"""),1.65)</f>
        <v>1.65</v>
      </c>
      <c r="J261" s="1" t="str">
        <f ca="1">IFERROR(__xludf.DUMMYFUNCTION("""COMPUTED_VALUE"""),"MIDNIGHT BLUE PAIR HEART HAIR SLIDE")</f>
        <v>MIDNIGHT BLUE PAIR HEART HAIR SLIDE</v>
      </c>
      <c r="K261" s="1">
        <f ca="1">IFERROR(__xludf.DUMMYFUNCTION("""COMPUTED_VALUE"""),3)</f>
        <v>3</v>
      </c>
      <c r="L261" s="1">
        <f ca="1">IFERROR(__xludf.DUMMYFUNCTION("""COMPUTED_VALUE"""),3.75)</f>
        <v>3.75</v>
      </c>
      <c r="T261" s="1">
        <f ca="1">IFERROR(__xludf.DUMMYFUNCTION("""COMPUTED_VALUE"""),489462)</f>
        <v>489462</v>
      </c>
      <c r="U261" s="1">
        <f ca="1">IFERROR(__xludf.DUMMYFUNCTION("""COMPUTED_VALUE"""),11.25)</f>
        <v>11.25</v>
      </c>
    </row>
    <row r="262" spans="1:21" ht="12.75" x14ac:dyDescent="0.2">
      <c r="A262" s="3">
        <f ca="1">IFERROR(__xludf.DUMMYFUNCTION("""COMPUTED_VALUE"""),40148.4506944444)</f>
        <v>40148.4506944444</v>
      </c>
      <c r="B262" s="1">
        <f ca="1">IFERROR(__xludf.DUMMYFUNCTION("""COMPUTED_VALUE"""),3.75)</f>
        <v>3.75</v>
      </c>
      <c r="E262" s="1" t="str">
        <f ca="1">IFERROR(__xludf.DUMMYFUNCTION("""COMPUTED_VALUE"""),"RED 3 PIECE MINI DOTS CUTLERY SET")</f>
        <v>RED 3 PIECE MINI DOTS CUTLERY SET</v>
      </c>
      <c r="F262" s="1">
        <f ca="1">IFERROR(__xludf.DUMMYFUNCTION("""COMPUTED_VALUE"""),12)</f>
        <v>12</v>
      </c>
      <c r="G262" s="1">
        <f ca="1">IFERROR(__xludf.DUMMYFUNCTION("""COMPUTED_VALUE"""),3.75)</f>
        <v>3.75</v>
      </c>
      <c r="J262" s="1" t="str">
        <f ca="1">IFERROR(__xludf.DUMMYFUNCTION("""COMPUTED_VALUE"""),"CRYSTAL PAIR HEART HAIR SLIDES")</f>
        <v>CRYSTAL PAIR HEART HAIR SLIDES</v>
      </c>
      <c r="K262" s="1">
        <f ca="1">IFERROR(__xludf.DUMMYFUNCTION("""COMPUTED_VALUE"""),3)</f>
        <v>3</v>
      </c>
      <c r="L262" s="1">
        <f ca="1">IFERROR(__xludf.DUMMYFUNCTION("""COMPUTED_VALUE"""),3.75)</f>
        <v>3.75</v>
      </c>
      <c r="T262" s="1">
        <f ca="1">IFERROR(__xludf.DUMMYFUNCTION("""COMPUTED_VALUE"""),489462)</f>
        <v>489462</v>
      </c>
      <c r="U262" s="1">
        <f ca="1">IFERROR(__xludf.DUMMYFUNCTION("""COMPUTED_VALUE"""),11.25)</f>
        <v>11.25</v>
      </c>
    </row>
    <row r="263" spans="1:21" ht="12.75" x14ac:dyDescent="0.2">
      <c r="A263" s="3">
        <f ca="1">IFERROR(__xludf.DUMMYFUNCTION("""COMPUTED_VALUE"""),40148.4506944444)</f>
        <v>40148.4506944444</v>
      </c>
      <c r="B263" s="1">
        <f ca="1">IFERROR(__xludf.DUMMYFUNCTION("""COMPUTED_VALUE"""),3.75)</f>
        <v>3.75</v>
      </c>
      <c r="E263" s="1" t="str">
        <f ca="1">IFERROR(__xludf.DUMMYFUNCTION("""COMPUTED_VALUE"""),"GREEN 3 PIECE MINI DOTS CUTLERY SET")</f>
        <v>GREEN 3 PIECE MINI DOTS CUTLERY SET</v>
      </c>
      <c r="F263" s="1">
        <f ca="1">IFERROR(__xludf.DUMMYFUNCTION("""COMPUTED_VALUE"""),12)</f>
        <v>12</v>
      </c>
      <c r="G263" s="1">
        <f ca="1">IFERROR(__xludf.DUMMYFUNCTION("""COMPUTED_VALUE"""),3.75)</f>
        <v>3.75</v>
      </c>
      <c r="J263" s="1" t="str">
        <f ca="1">IFERROR(__xludf.DUMMYFUNCTION("""COMPUTED_VALUE"""),"ROSE COLOUR PAIR HEART HAIR SLIDES")</f>
        <v>ROSE COLOUR PAIR HEART HAIR SLIDES</v>
      </c>
      <c r="K263" s="1">
        <f ca="1">IFERROR(__xludf.DUMMYFUNCTION("""COMPUTED_VALUE"""),3)</f>
        <v>3</v>
      </c>
      <c r="L263" s="1">
        <f ca="1">IFERROR(__xludf.DUMMYFUNCTION("""COMPUTED_VALUE"""),3.75)</f>
        <v>3.75</v>
      </c>
      <c r="T263" s="1">
        <f ca="1">IFERROR(__xludf.DUMMYFUNCTION("""COMPUTED_VALUE"""),489462)</f>
        <v>489462</v>
      </c>
      <c r="U263" s="1">
        <f ca="1">IFERROR(__xludf.DUMMYFUNCTION("""COMPUTED_VALUE"""),11.25)</f>
        <v>11.25</v>
      </c>
    </row>
    <row r="264" spans="1:21" ht="12.75" x14ac:dyDescent="0.2">
      <c r="A264" s="3">
        <f ca="1">IFERROR(__xludf.DUMMYFUNCTION("""COMPUTED_VALUE"""),40148.4506944444)</f>
        <v>40148.4506944444</v>
      </c>
      <c r="B264" s="1">
        <f ca="1">IFERROR(__xludf.DUMMYFUNCTION("""COMPUTED_VALUE"""),2.1)</f>
        <v>2.1</v>
      </c>
      <c r="E264" s="1" t="str">
        <f ca="1">IFERROR(__xludf.DUMMYFUNCTION("""COMPUTED_VALUE"""),"SET OF 2 FANCY FONT TEA TOWELS")</f>
        <v>SET OF 2 FANCY FONT TEA TOWELS</v>
      </c>
      <c r="F264" s="1">
        <f ca="1">IFERROR(__xludf.DUMMYFUNCTION("""COMPUTED_VALUE"""),12)</f>
        <v>12</v>
      </c>
      <c r="G264" s="1">
        <f ca="1">IFERROR(__xludf.DUMMYFUNCTION("""COMPUTED_VALUE"""),2.95)</f>
        <v>2.95</v>
      </c>
      <c r="J264" s="1" t="str">
        <f ca="1">IFERROR(__xludf.DUMMYFUNCTION("""COMPUTED_VALUE"""),"PINK ENAMEL+GLASS HAIR COMB")</f>
        <v>PINK ENAMEL+GLASS HAIR COMB</v>
      </c>
      <c r="K264" s="1">
        <f ca="1">IFERROR(__xludf.DUMMYFUNCTION("""COMPUTED_VALUE"""),3)</f>
        <v>3</v>
      </c>
      <c r="L264" s="1">
        <f ca="1">IFERROR(__xludf.DUMMYFUNCTION("""COMPUTED_VALUE"""),2.1)</f>
        <v>2.1</v>
      </c>
      <c r="T264" s="1">
        <f ca="1">IFERROR(__xludf.DUMMYFUNCTION("""COMPUTED_VALUE"""),489462)</f>
        <v>489462</v>
      </c>
      <c r="U264" s="1">
        <f ca="1">IFERROR(__xludf.DUMMYFUNCTION("""COMPUTED_VALUE"""),6.3)</f>
        <v>6.3</v>
      </c>
    </row>
    <row r="265" spans="1:21" ht="12.75" x14ac:dyDescent="0.2">
      <c r="A265" s="3">
        <f ca="1">IFERROR(__xludf.DUMMYFUNCTION("""COMPUTED_VALUE"""),40148.4506944444)</f>
        <v>40148.4506944444</v>
      </c>
      <c r="B265" s="1">
        <f ca="1">IFERROR(__xludf.DUMMYFUNCTION("""COMPUTED_VALUE"""),2.1)</f>
        <v>2.1</v>
      </c>
      <c r="E265" s="1" t="str">
        <f ca="1">IFERROR(__xludf.DUMMYFUNCTION("""COMPUTED_VALUE"""),"VINTAGE HEADS AND TAILS CARD GAME")</f>
        <v>VINTAGE HEADS AND TAILS CARD GAME</v>
      </c>
      <c r="F265" s="1">
        <f ca="1">IFERROR(__xludf.DUMMYFUNCTION("""COMPUTED_VALUE"""),6)</f>
        <v>6</v>
      </c>
      <c r="G265" s="1">
        <f ca="1">IFERROR(__xludf.DUMMYFUNCTION("""COMPUTED_VALUE"""),1.25)</f>
        <v>1.25</v>
      </c>
      <c r="J265" s="1" t="str">
        <f ca="1">IFERROR(__xludf.DUMMYFUNCTION("""COMPUTED_VALUE"""),"PURPLE ENAMEL+GLASS HAIR COMB")</f>
        <v>PURPLE ENAMEL+GLASS HAIR COMB</v>
      </c>
      <c r="K265" s="1">
        <f ca="1">IFERROR(__xludf.DUMMYFUNCTION("""COMPUTED_VALUE"""),3)</f>
        <v>3</v>
      </c>
      <c r="L265" s="1">
        <f ca="1">IFERROR(__xludf.DUMMYFUNCTION("""COMPUTED_VALUE"""),2.1)</f>
        <v>2.1</v>
      </c>
      <c r="T265" s="1">
        <f ca="1">IFERROR(__xludf.DUMMYFUNCTION("""COMPUTED_VALUE"""),489462)</f>
        <v>489462</v>
      </c>
      <c r="U265" s="1">
        <f ca="1">IFERROR(__xludf.DUMMYFUNCTION("""COMPUTED_VALUE"""),6.3)</f>
        <v>6.3</v>
      </c>
    </row>
    <row r="266" spans="1:21" ht="12.75" x14ac:dyDescent="0.2">
      <c r="A266" s="3">
        <f ca="1">IFERROR(__xludf.DUMMYFUNCTION("""COMPUTED_VALUE"""),40148.4506944444)</f>
        <v>40148.4506944444</v>
      </c>
      <c r="B266" s="1">
        <f ca="1">IFERROR(__xludf.DUMMYFUNCTION("""COMPUTED_VALUE"""),6.35)</f>
        <v>6.35</v>
      </c>
      <c r="E266" s="1" t="str">
        <f ca="1">IFERROR(__xludf.DUMMYFUNCTION("""COMPUTED_VALUE"""),"BLUE  SPOTTY PLATE")</f>
        <v>BLUE  SPOTTY PLATE</v>
      </c>
      <c r="F266" s="1">
        <f ca="1">IFERROR(__xludf.DUMMYFUNCTION("""COMPUTED_VALUE"""),4)</f>
        <v>4</v>
      </c>
      <c r="G266" s="1">
        <f ca="1">IFERROR(__xludf.DUMMYFUNCTION("""COMPUTED_VALUE"""),1.69)</f>
        <v>1.69</v>
      </c>
      <c r="J266" s="1" t="str">
        <f ca="1">IFERROR(__xludf.DUMMYFUNCTION("""COMPUTED_VALUE"""),"DIAMANTE BOW BROOCH BLACK COLOUR")</f>
        <v>DIAMANTE BOW BROOCH BLACK COLOUR</v>
      </c>
      <c r="K266" s="1">
        <f ca="1">IFERROR(__xludf.DUMMYFUNCTION("""COMPUTED_VALUE"""),2)</f>
        <v>2</v>
      </c>
      <c r="L266" s="1">
        <f ca="1">IFERROR(__xludf.DUMMYFUNCTION("""COMPUTED_VALUE"""),6.35)</f>
        <v>6.35</v>
      </c>
      <c r="T266" s="1">
        <f ca="1">IFERROR(__xludf.DUMMYFUNCTION("""COMPUTED_VALUE"""),489462)</f>
        <v>489462</v>
      </c>
      <c r="U266" s="1">
        <f ca="1">IFERROR(__xludf.DUMMYFUNCTION("""COMPUTED_VALUE"""),12.7)</f>
        <v>12.7</v>
      </c>
    </row>
    <row r="267" spans="1:21" ht="12.75" x14ac:dyDescent="0.2">
      <c r="A267" s="3">
        <f ca="1">IFERROR(__xludf.DUMMYFUNCTION("""COMPUTED_VALUE"""),40148.4527777777)</f>
        <v>40148.452777777697</v>
      </c>
      <c r="B267" s="1">
        <f ca="1">IFERROR(__xludf.DUMMYFUNCTION("""COMPUTED_VALUE"""),0)</f>
        <v>0</v>
      </c>
      <c r="E267" s="1" t="str">
        <f ca="1">IFERROR(__xludf.DUMMYFUNCTION("""COMPUTED_VALUE"""),"BLUE SPOTTY BOWL")</f>
        <v>BLUE SPOTTY BOWL</v>
      </c>
      <c r="F267" s="1">
        <f ca="1">IFERROR(__xludf.DUMMYFUNCTION("""COMPUTED_VALUE"""),4)</f>
        <v>4</v>
      </c>
      <c r="G267" s="1">
        <f ca="1">IFERROR(__xludf.DUMMYFUNCTION("""COMPUTED_VALUE"""),1.25)</f>
        <v>1.25</v>
      </c>
      <c r="J267" s="1" t="str">
        <f ca="1">IFERROR(__xludf.DUMMYFUNCTION("""COMPUTED_VALUE"""),"short")</f>
        <v>short</v>
      </c>
      <c r="K267" s="1">
        <f ca="1">IFERROR(__xludf.DUMMYFUNCTION("""COMPUTED_VALUE"""),-240)</f>
        <v>-240</v>
      </c>
      <c r="L267" s="1">
        <f ca="1">IFERROR(__xludf.DUMMYFUNCTION("""COMPUTED_VALUE"""),0)</f>
        <v>0</v>
      </c>
      <c r="T267" s="1">
        <f ca="1">IFERROR(__xludf.DUMMYFUNCTION("""COMPUTED_VALUE"""),489463)</f>
        <v>489463</v>
      </c>
      <c r="U267" s="1">
        <f ca="1">IFERROR(__xludf.DUMMYFUNCTION("""COMPUTED_VALUE"""),0)</f>
        <v>0</v>
      </c>
    </row>
    <row r="268" spans="1:21" ht="12.75" x14ac:dyDescent="0.2">
      <c r="A268" s="3">
        <f ca="1">IFERROR(__xludf.DUMMYFUNCTION("""COMPUTED_VALUE"""),40148.4527777777)</f>
        <v>40148.452777777697</v>
      </c>
      <c r="B268" s="1">
        <f ca="1">IFERROR(__xludf.DUMMYFUNCTION("""COMPUTED_VALUE"""),0)</f>
        <v>0</v>
      </c>
      <c r="E268" s="1" t="str">
        <f ca="1">IFERROR(__xludf.DUMMYFUNCTION("""COMPUTED_VALUE"""),"PINK STRAWBERRY HANDBAG")</f>
        <v>PINK STRAWBERRY HANDBAG</v>
      </c>
      <c r="F268" s="1">
        <f ca="1">IFERROR(__xludf.DUMMYFUNCTION("""COMPUTED_VALUE"""),2)</f>
        <v>2</v>
      </c>
      <c r="G268" s="1">
        <f ca="1">IFERROR(__xludf.DUMMYFUNCTION("""COMPUTED_VALUE"""),2.95)</f>
        <v>2.95</v>
      </c>
      <c r="J268" s="1" t="str">
        <f ca="1">IFERROR(__xludf.DUMMYFUNCTION("""COMPUTED_VALUE"""),"85123a mixed")</f>
        <v>85123a mixed</v>
      </c>
      <c r="K268" s="1">
        <f ca="1">IFERROR(__xludf.DUMMYFUNCTION("""COMPUTED_VALUE"""),-96)</f>
        <v>-96</v>
      </c>
      <c r="L268" s="1">
        <f ca="1">IFERROR(__xludf.DUMMYFUNCTION("""COMPUTED_VALUE"""),0)</f>
        <v>0</v>
      </c>
      <c r="T268" s="1">
        <f ca="1">IFERROR(__xludf.DUMMYFUNCTION("""COMPUTED_VALUE"""),489464)</f>
        <v>489464</v>
      </c>
      <c r="U268" s="1">
        <f ca="1">IFERROR(__xludf.DUMMYFUNCTION("""COMPUTED_VALUE"""),0)</f>
        <v>0</v>
      </c>
    </row>
    <row r="269" spans="1:21" ht="12.75" x14ac:dyDescent="0.2">
      <c r="A269" s="3">
        <f ca="1">IFERROR(__xludf.DUMMYFUNCTION("""COMPUTED_VALUE"""),40148.4527777777)</f>
        <v>40148.452777777697</v>
      </c>
      <c r="B269" s="1">
        <f ca="1">IFERROR(__xludf.DUMMYFUNCTION("""COMPUTED_VALUE"""),1.45)</f>
        <v>1.45</v>
      </c>
      <c r="E269" s="1" t="str">
        <f ca="1">IFERROR(__xludf.DUMMYFUNCTION("""COMPUTED_VALUE"""),"BAG 500g SWIRLY MARBLES")</f>
        <v>BAG 500g SWIRLY MARBLES</v>
      </c>
      <c r="F269" s="1">
        <f ca="1">IFERROR(__xludf.DUMMYFUNCTION("""COMPUTED_VALUE"""),1)</f>
        <v>1</v>
      </c>
      <c r="G269" s="1">
        <f ca="1">IFERROR(__xludf.DUMMYFUNCTION("""COMPUTED_VALUE"""),1.65)</f>
        <v>1.65</v>
      </c>
      <c r="J269" s="1" t="str">
        <f ca="1">IFERROR(__xludf.DUMMYFUNCTION("""COMPUTED_VALUE"""),"ASSORTED COLOUR BIRD ORNAMENT")</f>
        <v>ASSORTED COLOUR BIRD ORNAMENT</v>
      </c>
      <c r="K269" s="1">
        <f ca="1">IFERROR(__xludf.DUMMYFUNCTION("""COMPUTED_VALUE"""),160)</f>
        <v>160</v>
      </c>
      <c r="L269" s="1">
        <f ca="1">IFERROR(__xludf.DUMMYFUNCTION("""COMPUTED_VALUE"""),1.45)</f>
        <v>1.45</v>
      </c>
      <c r="T269" s="1">
        <f ca="1">IFERROR(__xludf.DUMMYFUNCTION("""COMPUTED_VALUE"""),489465)</f>
        <v>489465</v>
      </c>
      <c r="U269" s="1">
        <f ca="1">IFERROR(__xludf.DUMMYFUNCTION("""COMPUTED_VALUE"""),232)</f>
        <v>232</v>
      </c>
    </row>
    <row r="270" spans="1:21" ht="12.75" x14ac:dyDescent="0.2">
      <c r="A270" s="3">
        <f ca="1">IFERROR(__xludf.DUMMYFUNCTION("""COMPUTED_VALUE"""),40148.4527777777)</f>
        <v>40148.452777777697</v>
      </c>
      <c r="B270" s="1">
        <f ca="1">IFERROR(__xludf.DUMMYFUNCTION("""COMPUTED_VALUE"""),2.55)</f>
        <v>2.5499999999999998</v>
      </c>
      <c r="E270" s="1" t="str">
        <f ca="1">IFERROR(__xludf.DUMMYFUNCTION("""COMPUTED_VALUE"""),"VINTAGE SEASIDE JIGSAW PUZZLES")</f>
        <v>VINTAGE SEASIDE JIGSAW PUZZLES</v>
      </c>
      <c r="F270" s="1">
        <f ca="1">IFERROR(__xludf.DUMMYFUNCTION("""COMPUTED_VALUE"""),1)</f>
        <v>1</v>
      </c>
      <c r="G270" s="1">
        <f ca="1">IFERROR(__xludf.DUMMYFUNCTION("""COMPUTED_VALUE"""),3.75)</f>
        <v>3.75</v>
      </c>
      <c r="J270" s="1" t="str">
        <f ca="1">IFERROR(__xludf.DUMMYFUNCTION("""COMPUTED_VALUE"""),"WHITE HANGING HEART T-LIGHT HOLDER")</f>
        <v>WHITE HANGING HEART T-LIGHT HOLDER</v>
      </c>
      <c r="K270" s="1">
        <f ca="1">IFERROR(__xludf.DUMMYFUNCTION("""COMPUTED_VALUE"""),64)</f>
        <v>64</v>
      </c>
      <c r="L270" s="1">
        <f ca="1">IFERROR(__xludf.DUMMYFUNCTION("""COMPUTED_VALUE"""),2.55)</f>
        <v>2.5499999999999998</v>
      </c>
      <c r="T270" s="1">
        <f ca="1">IFERROR(__xludf.DUMMYFUNCTION("""COMPUTED_VALUE"""),489465)</f>
        <v>489465</v>
      </c>
      <c r="U270" s="1">
        <f ca="1">IFERROR(__xludf.DUMMYFUNCTION("""COMPUTED_VALUE"""),163.2)</f>
        <v>163.19999999999999</v>
      </c>
    </row>
    <row r="271" spans="1:21" ht="12.75" x14ac:dyDescent="0.2">
      <c r="A271" s="3">
        <f ca="1">IFERROR(__xludf.DUMMYFUNCTION("""COMPUTED_VALUE"""),40148.4527777777)</f>
        <v>40148.452777777697</v>
      </c>
      <c r="B271" s="1">
        <f ca="1">IFERROR(__xludf.DUMMYFUNCTION("""COMPUTED_VALUE"""),4.25)</f>
        <v>4.25</v>
      </c>
      <c r="E271" s="1" t="str">
        <f ca="1">IFERROR(__xludf.DUMMYFUNCTION("""COMPUTED_VALUE"""),"VINTAGE SNAKES &amp; LADDERS")</f>
        <v>VINTAGE SNAKES &amp; LADDERS</v>
      </c>
      <c r="F271" s="1">
        <f ca="1">IFERROR(__xludf.DUMMYFUNCTION("""COMPUTED_VALUE"""),1)</f>
        <v>1</v>
      </c>
      <c r="G271" s="1">
        <f ca="1">IFERROR(__xludf.DUMMYFUNCTION("""COMPUTED_VALUE"""),3.75)</f>
        <v>3.75</v>
      </c>
      <c r="J271" s="1" t="str">
        <f ca="1">IFERROR(__xludf.DUMMYFUNCTION("""COMPUTED_VALUE"""),"ANTIQUE LILY FAIRY LIGHTS")</f>
        <v>ANTIQUE LILY FAIRY LIGHTS</v>
      </c>
      <c r="K271" s="1">
        <f ca="1">IFERROR(__xludf.DUMMYFUNCTION("""COMPUTED_VALUE"""),24)</f>
        <v>24</v>
      </c>
      <c r="L271" s="1">
        <f ca="1">IFERROR(__xludf.DUMMYFUNCTION("""COMPUTED_VALUE"""),4.25)</f>
        <v>4.25</v>
      </c>
      <c r="T271" s="1">
        <f ca="1">IFERROR(__xludf.DUMMYFUNCTION("""COMPUTED_VALUE"""),489465)</f>
        <v>489465</v>
      </c>
      <c r="U271" s="1">
        <f ca="1">IFERROR(__xludf.DUMMYFUNCTION("""COMPUTED_VALUE"""),102)</f>
        <v>102</v>
      </c>
    </row>
    <row r="272" spans="1:21" ht="12.75" x14ac:dyDescent="0.2">
      <c r="A272" s="3">
        <f ca="1">IFERROR(__xludf.DUMMYFUNCTION("""COMPUTED_VALUE"""),40148.4527777777)</f>
        <v>40148.452777777697</v>
      </c>
      <c r="B272" s="1">
        <f ca="1">IFERROR(__xludf.DUMMYFUNCTION("""COMPUTED_VALUE"""),2.95)</f>
        <v>2.95</v>
      </c>
      <c r="E272" s="1" t="str">
        <f ca="1">IFERROR(__xludf.DUMMYFUNCTION("""COMPUTED_VALUE"""),"GLITTER STAR GARLAND WITH BELLS")</f>
        <v>GLITTER STAR GARLAND WITH BELLS</v>
      </c>
      <c r="F272" s="1">
        <f ca="1">IFERROR(__xludf.DUMMYFUNCTION("""COMPUTED_VALUE"""),1)</f>
        <v>1</v>
      </c>
      <c r="G272" s="1">
        <f ca="1">IFERROR(__xludf.DUMMYFUNCTION("""COMPUTED_VALUE"""),3.75)</f>
        <v>3.75</v>
      </c>
      <c r="J272" s="1" t="str">
        <f ca="1">IFERROR(__xludf.DUMMYFUNCTION("""COMPUTED_VALUE"""),"RED HANGING HEART T-LIGHT HOLDER")</f>
        <v>RED HANGING HEART T-LIGHT HOLDER</v>
      </c>
      <c r="K272" s="1">
        <f ca="1">IFERROR(__xludf.DUMMYFUNCTION("""COMPUTED_VALUE"""),20)</f>
        <v>20</v>
      </c>
      <c r="L272" s="1">
        <f ca="1">IFERROR(__xludf.DUMMYFUNCTION("""COMPUTED_VALUE"""),2.95)</f>
        <v>2.95</v>
      </c>
      <c r="T272" s="1">
        <f ca="1">IFERROR(__xludf.DUMMYFUNCTION("""COMPUTED_VALUE"""),489465)</f>
        <v>489465</v>
      </c>
      <c r="U272" s="1">
        <f ca="1">IFERROR(__xludf.DUMMYFUNCTION("""COMPUTED_VALUE"""),59)</f>
        <v>59</v>
      </c>
    </row>
    <row r="273" spans="1:21" ht="12.75" x14ac:dyDescent="0.2">
      <c r="A273" s="3">
        <f ca="1">IFERROR(__xludf.DUMMYFUNCTION("""COMPUTED_VALUE"""),40148.4527777777)</f>
        <v>40148.452777777697</v>
      </c>
      <c r="B273" s="1">
        <f ca="1">IFERROR(__xludf.DUMMYFUNCTION("""COMPUTED_VALUE"""),4.95)</f>
        <v>4.95</v>
      </c>
      <c r="E273" s="1" t="str">
        <f ca="1">IFERROR(__xludf.DUMMYFUNCTION("""COMPUTED_VALUE"""),"WHITE HANGING HEART T-LIGHT HOLDER")</f>
        <v>WHITE HANGING HEART T-LIGHT HOLDER</v>
      </c>
      <c r="F273" s="1">
        <f ca="1">IFERROR(__xludf.DUMMYFUNCTION("""COMPUTED_VALUE"""),1)</f>
        <v>1</v>
      </c>
      <c r="G273" s="1">
        <f ca="1">IFERROR(__xludf.DUMMYFUNCTION("""COMPUTED_VALUE"""),2.95)</f>
        <v>2.95</v>
      </c>
      <c r="J273" s="1" t="str">
        <f ca="1">IFERROR(__xludf.DUMMYFUNCTION("""COMPUTED_VALUE"""),"FOLDING UMBRELLA , BLACK/BLUE  SPOT")</f>
        <v>FOLDING UMBRELLA , BLACK/BLUE  SPOT</v>
      </c>
      <c r="K273" s="1">
        <f ca="1">IFERROR(__xludf.DUMMYFUNCTION("""COMPUTED_VALUE"""),12)</f>
        <v>12</v>
      </c>
      <c r="L273" s="1">
        <f ca="1">IFERROR(__xludf.DUMMYFUNCTION("""COMPUTED_VALUE"""),4.95)</f>
        <v>4.95</v>
      </c>
      <c r="T273" s="1">
        <f ca="1">IFERROR(__xludf.DUMMYFUNCTION("""COMPUTED_VALUE"""),489465)</f>
        <v>489465</v>
      </c>
      <c r="U273" s="1">
        <f ca="1">IFERROR(__xludf.DUMMYFUNCTION("""COMPUTED_VALUE"""),59.4)</f>
        <v>59.4</v>
      </c>
    </row>
    <row r="274" spans="1:21" ht="12.75" x14ac:dyDescent="0.2">
      <c r="A274" s="3">
        <f ca="1">IFERROR(__xludf.DUMMYFUNCTION("""COMPUTED_VALUE"""),40148.4527777777)</f>
        <v>40148.452777777697</v>
      </c>
      <c r="B274" s="1">
        <f ca="1">IFERROR(__xludf.DUMMYFUNCTION("""COMPUTED_VALUE"""),4.95)</f>
        <v>4.95</v>
      </c>
      <c r="E274" s="1" t="str">
        <f ca="1">IFERROR(__xludf.DUMMYFUNCTION("""COMPUTED_VALUE"""),"PINK CREAM FELT CRAFT TRINKET BOX")</f>
        <v>PINK CREAM FELT CRAFT TRINKET BOX</v>
      </c>
      <c r="F274" s="1">
        <f ca="1">IFERROR(__xludf.DUMMYFUNCTION("""COMPUTED_VALUE"""),1)</f>
        <v>1</v>
      </c>
      <c r="G274" s="1">
        <f ca="1">IFERROR(__xludf.DUMMYFUNCTION("""COMPUTED_VALUE"""),1.25)</f>
        <v>1.25</v>
      </c>
      <c r="J274" s="1" t="str">
        <f ca="1">IFERROR(__xludf.DUMMYFUNCTION("""COMPUTED_VALUE"""),"FOLDING UMBRELLA  PINK/WHITE  SPOT")</f>
        <v>FOLDING UMBRELLA  PINK/WHITE  SPOT</v>
      </c>
      <c r="K274" s="1">
        <f ca="1">IFERROR(__xludf.DUMMYFUNCTION("""COMPUTED_VALUE"""),12)</f>
        <v>12</v>
      </c>
      <c r="L274" s="1">
        <f ca="1">IFERROR(__xludf.DUMMYFUNCTION("""COMPUTED_VALUE"""),4.95)</f>
        <v>4.95</v>
      </c>
      <c r="T274" s="1">
        <f ca="1">IFERROR(__xludf.DUMMYFUNCTION("""COMPUTED_VALUE"""),489465)</f>
        <v>489465</v>
      </c>
      <c r="U274" s="1">
        <f ca="1">IFERROR(__xludf.DUMMYFUNCTION("""COMPUTED_VALUE"""),59.4)</f>
        <v>59.4</v>
      </c>
    </row>
    <row r="275" spans="1:21" ht="12.75" x14ac:dyDescent="0.2">
      <c r="A275" s="3">
        <f ca="1">IFERROR(__xludf.DUMMYFUNCTION("""COMPUTED_VALUE"""),40148.4527777777)</f>
        <v>40148.452777777697</v>
      </c>
      <c r="B275" s="1">
        <f ca="1">IFERROR(__xludf.DUMMYFUNCTION("""COMPUTED_VALUE"""),4.95)</f>
        <v>4.95</v>
      </c>
      <c r="E275" s="1" t="str">
        <f ca="1">IFERROR(__xludf.DUMMYFUNCTION("""COMPUTED_VALUE"""),"VINTAGE SNAKES &amp; LADDERS")</f>
        <v>VINTAGE SNAKES &amp; LADDERS</v>
      </c>
      <c r="F275" s="1">
        <f ca="1">IFERROR(__xludf.DUMMYFUNCTION("""COMPUTED_VALUE"""),1)</f>
        <v>1</v>
      </c>
      <c r="G275" s="1">
        <f ca="1">IFERROR(__xludf.DUMMYFUNCTION("""COMPUTED_VALUE"""),3.75)</f>
        <v>3.75</v>
      </c>
      <c r="J275" s="1" t="str">
        <f ca="1">IFERROR(__xludf.DUMMYFUNCTION("""COMPUTED_VALUE"""),"FOLDING UMBRELLA  CREAM/MULTI  SPOT")</f>
        <v>FOLDING UMBRELLA  CREAM/MULTI  SPOT</v>
      </c>
      <c r="K275" s="1">
        <f ca="1">IFERROR(__xludf.DUMMYFUNCTION("""COMPUTED_VALUE"""),12)</f>
        <v>12</v>
      </c>
      <c r="L275" s="1">
        <f ca="1">IFERROR(__xludf.DUMMYFUNCTION("""COMPUTED_VALUE"""),4.95)</f>
        <v>4.95</v>
      </c>
      <c r="T275" s="1">
        <f ca="1">IFERROR(__xludf.DUMMYFUNCTION("""COMPUTED_VALUE"""),489465)</f>
        <v>489465</v>
      </c>
      <c r="U275" s="1">
        <f ca="1">IFERROR(__xludf.DUMMYFUNCTION("""COMPUTED_VALUE"""),59.4)</f>
        <v>59.4</v>
      </c>
    </row>
    <row r="276" spans="1:21" ht="12.75" x14ac:dyDescent="0.2">
      <c r="A276" s="3">
        <f ca="1">IFERROR(__xludf.DUMMYFUNCTION("""COMPUTED_VALUE"""),40148.4527777777)</f>
        <v>40148.452777777697</v>
      </c>
      <c r="B276" s="1">
        <f ca="1">IFERROR(__xludf.DUMMYFUNCTION("""COMPUTED_VALUE"""),4.95)</f>
        <v>4.95</v>
      </c>
      <c r="E276" s="1" t="str">
        <f ca="1">IFERROR(__xludf.DUMMYFUNCTION("""COMPUTED_VALUE"""),"JUMBO STORAGE BAG SUKI")</f>
        <v>JUMBO STORAGE BAG SUKI</v>
      </c>
      <c r="F276" s="1">
        <f ca="1">IFERROR(__xludf.DUMMYFUNCTION("""COMPUTED_VALUE"""),1)</f>
        <v>1</v>
      </c>
      <c r="G276" s="1">
        <f ca="1">IFERROR(__xludf.DUMMYFUNCTION("""COMPUTED_VALUE"""),1.95)</f>
        <v>1.95</v>
      </c>
      <c r="J276" s="1" t="str">
        <f ca="1">IFERROR(__xludf.DUMMYFUNCTION("""COMPUTED_VALUE"""),"FOLDING UMBRELLA , RED/WHITE SPOT")</f>
        <v>FOLDING UMBRELLA , RED/WHITE SPOT</v>
      </c>
      <c r="K276" s="1">
        <f ca="1">IFERROR(__xludf.DUMMYFUNCTION("""COMPUTED_VALUE"""),12)</f>
        <v>12</v>
      </c>
      <c r="L276" s="1">
        <f ca="1">IFERROR(__xludf.DUMMYFUNCTION("""COMPUTED_VALUE"""),4.95)</f>
        <v>4.95</v>
      </c>
      <c r="T276" s="1">
        <f ca="1">IFERROR(__xludf.DUMMYFUNCTION("""COMPUTED_VALUE"""),489465)</f>
        <v>489465</v>
      </c>
      <c r="U276" s="1">
        <f ca="1">IFERROR(__xludf.DUMMYFUNCTION("""COMPUTED_VALUE"""),59.4)</f>
        <v>59.4</v>
      </c>
    </row>
    <row r="277" spans="1:21" ht="12.75" x14ac:dyDescent="0.2">
      <c r="A277" s="3">
        <f ca="1">IFERROR(__xludf.DUMMYFUNCTION("""COMPUTED_VALUE"""),40148.4527777777)</f>
        <v>40148.452777777697</v>
      </c>
      <c r="B277" s="1">
        <f ca="1">IFERROR(__xludf.DUMMYFUNCTION("""COMPUTED_VALUE"""),4.95)</f>
        <v>4.95</v>
      </c>
      <c r="E277" s="1" t="str">
        <f ca="1">IFERROR(__xludf.DUMMYFUNCTION("""COMPUTED_VALUE"""),"JUMBO BAG TOYS")</f>
        <v>JUMBO BAG TOYS</v>
      </c>
      <c r="F277" s="1">
        <f ca="1">IFERROR(__xludf.DUMMYFUNCTION("""COMPUTED_VALUE"""),1)</f>
        <v>1</v>
      </c>
      <c r="G277" s="1">
        <f ca="1">IFERROR(__xludf.DUMMYFUNCTION("""COMPUTED_VALUE"""),1.95)</f>
        <v>1.95</v>
      </c>
      <c r="J277" s="1" t="str">
        <f ca="1">IFERROR(__xludf.DUMMYFUNCTION("""COMPUTED_VALUE"""),"FOLDING UMBRELLA  WHITE/RED  SPOT")</f>
        <v>FOLDING UMBRELLA  WHITE/RED  SPOT</v>
      </c>
      <c r="K277" s="1">
        <f ca="1">IFERROR(__xludf.DUMMYFUNCTION("""COMPUTED_VALUE"""),12)</f>
        <v>12</v>
      </c>
      <c r="L277" s="1">
        <f ca="1">IFERROR(__xludf.DUMMYFUNCTION("""COMPUTED_VALUE"""),4.95)</f>
        <v>4.95</v>
      </c>
      <c r="T277" s="1">
        <f ca="1">IFERROR(__xludf.DUMMYFUNCTION("""COMPUTED_VALUE"""),489465)</f>
        <v>489465</v>
      </c>
      <c r="U277" s="1">
        <f ca="1">IFERROR(__xludf.DUMMYFUNCTION("""COMPUTED_VALUE"""),59.4)</f>
        <v>59.4</v>
      </c>
    </row>
    <row r="278" spans="1:21" ht="12.75" x14ac:dyDescent="0.2">
      <c r="A278" s="3">
        <f ca="1">IFERROR(__xludf.DUMMYFUNCTION("""COMPUTED_VALUE"""),40148.4527777777)</f>
        <v>40148.452777777697</v>
      </c>
      <c r="B278" s="1">
        <f ca="1">IFERROR(__xludf.DUMMYFUNCTION("""COMPUTED_VALUE"""),5.95)</f>
        <v>5.95</v>
      </c>
      <c r="E278" s="1" t="str">
        <f ca="1">IFERROR(__xludf.DUMMYFUNCTION("""COMPUTED_VALUE"""),"CAROUSEL DES CHILD'S APRON")</f>
        <v>CAROUSEL DES CHILD'S APRON</v>
      </c>
      <c r="F278" s="1">
        <f ca="1">IFERROR(__xludf.DUMMYFUNCTION("""COMPUTED_VALUE"""),1)</f>
        <v>1</v>
      </c>
      <c r="G278" s="1">
        <f ca="1">IFERROR(__xludf.DUMMYFUNCTION("""COMPUTED_VALUE"""),1.65)</f>
        <v>1.65</v>
      </c>
      <c r="J278" s="1" t="str">
        <f ca="1">IFERROR(__xludf.DUMMYFUNCTION("""COMPUTED_VALUE"""),"UNION JACK HOT WATER BOTTLE")</f>
        <v>UNION JACK HOT WATER BOTTLE</v>
      </c>
      <c r="K278" s="1">
        <f ca="1">IFERROR(__xludf.DUMMYFUNCTION("""COMPUTED_VALUE"""),12)</f>
        <v>12</v>
      </c>
      <c r="L278" s="1">
        <f ca="1">IFERROR(__xludf.DUMMYFUNCTION("""COMPUTED_VALUE"""),5.95)</f>
        <v>5.95</v>
      </c>
      <c r="T278" s="1">
        <f ca="1">IFERROR(__xludf.DUMMYFUNCTION("""COMPUTED_VALUE"""),489465)</f>
        <v>489465</v>
      </c>
      <c r="U278" s="1">
        <f ca="1">IFERROR(__xludf.DUMMYFUNCTION("""COMPUTED_VALUE"""),71.4)</f>
        <v>71.400000000000006</v>
      </c>
    </row>
    <row r="279" spans="1:21" ht="12.75" x14ac:dyDescent="0.2">
      <c r="A279" s="3">
        <f ca="1">IFERROR(__xludf.DUMMYFUNCTION("""COMPUTED_VALUE"""),40148.4527777777)</f>
        <v>40148.452777777697</v>
      </c>
      <c r="B279" s="1">
        <f ca="1">IFERROR(__xludf.DUMMYFUNCTION("""COMPUTED_VALUE"""),2.1)</f>
        <v>2.1</v>
      </c>
      <c r="E279" s="1" t="str">
        <f ca="1">IFERROR(__xludf.DUMMYFUNCTION("""COMPUTED_VALUE"""),"SET OF THREE VINTAGE GIFT WRAPS")</f>
        <v>SET OF THREE VINTAGE GIFT WRAPS</v>
      </c>
      <c r="F279" s="1">
        <f ca="1">IFERROR(__xludf.DUMMYFUNCTION("""COMPUTED_VALUE"""),1)</f>
        <v>1</v>
      </c>
      <c r="G279" s="1">
        <f ca="1">IFERROR(__xludf.DUMMYFUNCTION("""COMPUTED_VALUE"""),1.95)</f>
        <v>1.95</v>
      </c>
      <c r="J279" s="1" t="str">
        <f ca="1">IFERROR(__xludf.DUMMYFUNCTION("""COMPUTED_VALUE"""),"FUNKY WASHING UP GLOVES ASSORTED")</f>
        <v>FUNKY WASHING UP GLOVES ASSORTED</v>
      </c>
      <c r="K279" s="1">
        <f ca="1">IFERROR(__xludf.DUMMYFUNCTION("""COMPUTED_VALUE"""),12)</f>
        <v>12</v>
      </c>
      <c r="L279" s="1">
        <f ca="1">IFERROR(__xludf.DUMMYFUNCTION("""COMPUTED_VALUE"""),2.1)</f>
        <v>2.1</v>
      </c>
      <c r="T279" s="1">
        <f ca="1">IFERROR(__xludf.DUMMYFUNCTION("""COMPUTED_VALUE"""),489465)</f>
        <v>489465</v>
      </c>
      <c r="U279" s="1">
        <f ca="1">IFERROR(__xludf.DUMMYFUNCTION("""COMPUTED_VALUE"""),25.2)</f>
        <v>25.2</v>
      </c>
    </row>
    <row r="280" spans="1:21" ht="12.75" x14ac:dyDescent="0.2">
      <c r="A280" s="3">
        <f ca="1">IFERROR(__xludf.DUMMYFUNCTION("""COMPUTED_VALUE"""),40148.4527777777)</f>
        <v>40148.452777777697</v>
      </c>
      <c r="B280" s="1">
        <f ca="1">IFERROR(__xludf.DUMMYFUNCTION("""COMPUTED_VALUE"""),3.95)</f>
        <v>3.95</v>
      </c>
      <c r="E280" s="1" t="str">
        <f ca="1">IFERROR(__xludf.DUMMYFUNCTION("""COMPUTED_VALUE"""),"PINK BLUE FELT CRAFT TRINKET BOX")</f>
        <v>PINK BLUE FELT CRAFT TRINKET BOX</v>
      </c>
      <c r="F280" s="1">
        <f ca="1">IFERROR(__xludf.DUMMYFUNCTION("""COMPUTED_VALUE"""),1)</f>
        <v>1</v>
      </c>
      <c r="G280" s="1">
        <f ca="1">IFERROR(__xludf.DUMMYFUNCTION("""COMPUTED_VALUE"""),1.25)</f>
        <v>1.25</v>
      </c>
      <c r="J280" s="1" t="str">
        <f ca="1">IFERROR(__xludf.DUMMYFUNCTION("""COMPUTED_VALUE"""),"HOT WATER BOTTLE TEA AND SYMPATHY")</f>
        <v>HOT WATER BOTTLE TEA AND SYMPATHY</v>
      </c>
      <c r="K280" s="1">
        <f ca="1">IFERROR(__xludf.DUMMYFUNCTION("""COMPUTED_VALUE"""),12)</f>
        <v>12</v>
      </c>
      <c r="L280" s="1">
        <f ca="1">IFERROR(__xludf.DUMMYFUNCTION("""COMPUTED_VALUE"""),3.95)</f>
        <v>3.95</v>
      </c>
      <c r="T280" s="1">
        <f ca="1">IFERROR(__xludf.DUMMYFUNCTION("""COMPUTED_VALUE"""),489465)</f>
        <v>489465</v>
      </c>
      <c r="U280" s="1">
        <f ca="1">IFERROR(__xludf.DUMMYFUNCTION("""COMPUTED_VALUE"""),47.4)</f>
        <v>47.4</v>
      </c>
    </row>
    <row r="281" spans="1:21" ht="12.75" x14ac:dyDescent="0.2">
      <c r="A281" s="3">
        <f ca="1">IFERROR(__xludf.DUMMYFUNCTION("""COMPUTED_VALUE"""),40148.4527777777)</f>
        <v>40148.452777777697</v>
      </c>
      <c r="B281" s="1">
        <f ca="1">IFERROR(__xludf.DUMMYFUNCTION("""COMPUTED_VALUE"""),2.1)</f>
        <v>2.1</v>
      </c>
      <c r="E281" s="1" t="str">
        <f ca="1">IFERROR(__xludf.DUMMYFUNCTION("""COMPUTED_VALUE"""),"SET OF MEADOW  FLOWER STICKERS")</f>
        <v>SET OF MEADOW  FLOWER STICKERS</v>
      </c>
      <c r="F281" s="1">
        <f ca="1">IFERROR(__xludf.DUMMYFUNCTION("""COMPUTED_VALUE"""),1)</f>
        <v>1</v>
      </c>
      <c r="G281" s="1">
        <f ca="1">IFERROR(__xludf.DUMMYFUNCTION("""COMPUTED_VALUE"""),2.95)</f>
        <v>2.95</v>
      </c>
      <c r="J281" s="1" t="str">
        <f ca="1">IFERROR(__xludf.DUMMYFUNCTION("""COMPUTED_VALUE"""),"RETRO BLUE SPOTTY WASHING UP GLOVES")</f>
        <v>RETRO BLUE SPOTTY WASHING UP GLOVES</v>
      </c>
      <c r="K281" s="1">
        <f ca="1">IFERROR(__xludf.DUMMYFUNCTION("""COMPUTED_VALUE"""),8)</f>
        <v>8</v>
      </c>
      <c r="L281" s="1">
        <f ca="1">IFERROR(__xludf.DUMMYFUNCTION("""COMPUTED_VALUE"""),2.1)</f>
        <v>2.1</v>
      </c>
      <c r="T281" s="1">
        <f ca="1">IFERROR(__xludf.DUMMYFUNCTION("""COMPUTED_VALUE"""),489465)</f>
        <v>489465</v>
      </c>
      <c r="U281" s="1">
        <f ca="1">IFERROR(__xludf.DUMMYFUNCTION("""COMPUTED_VALUE"""),16.8)</f>
        <v>16.8</v>
      </c>
    </row>
    <row r="282" spans="1:21" ht="12.75" x14ac:dyDescent="0.2">
      <c r="A282" s="3">
        <f ca="1">IFERROR(__xludf.DUMMYFUNCTION("""COMPUTED_VALUE"""),40148.4527777777)</f>
        <v>40148.452777777697</v>
      </c>
      <c r="B282" s="1">
        <f ca="1">IFERROR(__xludf.DUMMYFUNCTION("""COMPUTED_VALUE"""),2.1)</f>
        <v>2.1</v>
      </c>
      <c r="E282" s="1" t="str">
        <f ca="1">IFERROR(__xludf.DUMMYFUNCTION("""COMPUTED_VALUE"""),"VINTAGE SEASIDE JIGSAW PUZZLES")</f>
        <v>VINTAGE SEASIDE JIGSAW PUZZLES</v>
      </c>
      <c r="F282" s="1">
        <f ca="1">IFERROR(__xludf.DUMMYFUNCTION("""COMPUTED_VALUE"""),1)</f>
        <v>1</v>
      </c>
      <c r="G282" s="1">
        <f ca="1">IFERROR(__xludf.DUMMYFUNCTION("""COMPUTED_VALUE"""),3.75)</f>
        <v>3.75</v>
      </c>
      <c r="J282" s="1" t="str">
        <f ca="1">IFERROR(__xludf.DUMMYFUNCTION("""COMPUTED_VALUE"""),"RETRO PINK SPOT WASHING UP GLOVES")</f>
        <v>RETRO PINK SPOT WASHING UP GLOVES</v>
      </c>
      <c r="K282" s="1">
        <f ca="1">IFERROR(__xludf.DUMMYFUNCTION("""COMPUTED_VALUE"""),8)</f>
        <v>8</v>
      </c>
      <c r="L282" s="1">
        <f ca="1">IFERROR(__xludf.DUMMYFUNCTION("""COMPUTED_VALUE"""),2.1)</f>
        <v>2.1</v>
      </c>
      <c r="T282" s="1">
        <f ca="1">IFERROR(__xludf.DUMMYFUNCTION("""COMPUTED_VALUE"""),489465)</f>
        <v>489465</v>
      </c>
      <c r="U282" s="1">
        <f ca="1">IFERROR(__xludf.DUMMYFUNCTION("""COMPUTED_VALUE"""),16.8)</f>
        <v>16.8</v>
      </c>
    </row>
    <row r="283" spans="1:21" ht="12.75" x14ac:dyDescent="0.2">
      <c r="A283" s="3">
        <f ca="1">IFERROR(__xludf.DUMMYFUNCTION("""COMPUTED_VALUE"""),40148.4527777777)</f>
        <v>40148.452777777697</v>
      </c>
      <c r="B283" s="1">
        <f ca="1">IFERROR(__xludf.DUMMYFUNCTION("""COMPUTED_VALUE"""),2.1)</f>
        <v>2.1</v>
      </c>
      <c r="E283" s="1" t="str">
        <f ca="1">IFERROR(__xludf.DUMMYFUNCTION("""COMPUTED_VALUE"""),"GLITTER STAR GARLAND WITH BELLS")</f>
        <v>GLITTER STAR GARLAND WITH BELLS</v>
      </c>
      <c r="F283" s="1">
        <f ca="1">IFERROR(__xludf.DUMMYFUNCTION("""COMPUTED_VALUE"""),1)</f>
        <v>1</v>
      </c>
      <c r="G283" s="1">
        <f ca="1">IFERROR(__xludf.DUMMYFUNCTION("""COMPUTED_VALUE"""),3.75)</f>
        <v>3.75</v>
      </c>
      <c r="J283" s="1" t="str">
        <f ca="1">IFERROR(__xludf.DUMMYFUNCTION("""COMPUTED_VALUE"""),"RETRO RED SPOTTY WASHING UP GLOVES")</f>
        <v>RETRO RED SPOTTY WASHING UP GLOVES</v>
      </c>
      <c r="K283" s="1">
        <f ca="1">IFERROR(__xludf.DUMMYFUNCTION("""COMPUTED_VALUE"""),8)</f>
        <v>8</v>
      </c>
      <c r="L283" s="1">
        <f ca="1">IFERROR(__xludf.DUMMYFUNCTION("""COMPUTED_VALUE"""),2.1)</f>
        <v>2.1</v>
      </c>
      <c r="T283" s="1">
        <f ca="1">IFERROR(__xludf.DUMMYFUNCTION("""COMPUTED_VALUE"""),489465)</f>
        <v>489465</v>
      </c>
      <c r="U283" s="1">
        <f ca="1">IFERROR(__xludf.DUMMYFUNCTION("""COMPUTED_VALUE"""),16.8)</f>
        <v>16.8</v>
      </c>
    </row>
    <row r="284" spans="1:21" ht="12.75" x14ac:dyDescent="0.2">
      <c r="A284" s="3">
        <f ca="1">IFERROR(__xludf.DUMMYFUNCTION("""COMPUTED_VALUE"""),40148.4527777777)</f>
        <v>40148.452777777697</v>
      </c>
      <c r="B284" s="1">
        <f ca="1">IFERROR(__xludf.DUMMYFUNCTION("""COMPUTED_VALUE"""),2.95)</f>
        <v>2.95</v>
      </c>
      <c r="E284" s="1" t="str">
        <f ca="1">IFERROR(__xludf.DUMMYFUNCTION("""COMPUTED_VALUE"""),"S/4 PISTACHIO LOVEBIRD COASTERS")</f>
        <v>S/4 PISTACHIO LOVEBIRD COASTERS</v>
      </c>
      <c r="F284" s="1">
        <f ca="1">IFERROR(__xludf.DUMMYFUNCTION("""COMPUTED_VALUE"""),1)</f>
        <v>1</v>
      </c>
      <c r="G284" s="1">
        <f ca="1">IFERROR(__xludf.DUMMYFUNCTION("""COMPUTED_VALUE"""),2.55)</f>
        <v>2.5499999999999998</v>
      </c>
      <c r="J284" s="1" t="str">
        <f ca="1">IFERROR(__xludf.DUMMYFUNCTION("""COMPUTED_VALUE"""),"FAWN BLUE HOT WATER BOTTLE")</f>
        <v>FAWN BLUE HOT WATER BOTTLE</v>
      </c>
      <c r="K284" s="1">
        <f ca="1">IFERROR(__xludf.DUMMYFUNCTION("""COMPUTED_VALUE"""),8)</f>
        <v>8</v>
      </c>
      <c r="L284" s="1">
        <f ca="1">IFERROR(__xludf.DUMMYFUNCTION("""COMPUTED_VALUE"""),2.95)</f>
        <v>2.95</v>
      </c>
      <c r="T284" s="1">
        <f ca="1">IFERROR(__xludf.DUMMYFUNCTION("""COMPUTED_VALUE"""),489465)</f>
        <v>489465</v>
      </c>
      <c r="U284" s="1">
        <f ca="1">IFERROR(__xludf.DUMMYFUNCTION("""COMPUTED_VALUE"""),23.6)</f>
        <v>23.6</v>
      </c>
    </row>
    <row r="285" spans="1:21" ht="12.75" x14ac:dyDescent="0.2">
      <c r="A285" s="3">
        <f ca="1">IFERROR(__xludf.DUMMYFUNCTION("""COMPUTED_VALUE"""),40148.4527777777)</f>
        <v>40148.452777777697</v>
      </c>
      <c r="B285" s="1">
        <f ca="1">IFERROR(__xludf.DUMMYFUNCTION("""COMPUTED_VALUE"""),14.95)</f>
        <v>14.95</v>
      </c>
      <c r="E285" s="1" t="str">
        <f ca="1">IFERROR(__xludf.DUMMYFUNCTION("""COMPUTED_VALUE"""),"S/4 PISTACHIO LOVEBIRD COASTERS")</f>
        <v>S/4 PISTACHIO LOVEBIRD COASTERS</v>
      </c>
      <c r="F285" s="1">
        <f ca="1">IFERROR(__xludf.DUMMYFUNCTION("""COMPUTED_VALUE"""),1)</f>
        <v>1</v>
      </c>
      <c r="G285" s="1">
        <f ca="1">IFERROR(__xludf.DUMMYFUNCTION("""COMPUTED_VALUE"""),2.55)</f>
        <v>2.5499999999999998</v>
      </c>
      <c r="J285" s="1" t="str">
        <f ca="1">IFERROR(__xludf.DUMMYFUNCTION("""COMPUTED_VALUE"""),"PICCADILLY TEA SET")</f>
        <v>PICCADILLY TEA SET</v>
      </c>
      <c r="K285" s="1">
        <f ca="1">IFERROR(__xludf.DUMMYFUNCTION("""COMPUTED_VALUE"""),4)</f>
        <v>4</v>
      </c>
      <c r="L285" s="1">
        <f ca="1">IFERROR(__xludf.DUMMYFUNCTION("""COMPUTED_VALUE"""),14.95)</f>
        <v>14.95</v>
      </c>
      <c r="T285" s="1">
        <f ca="1">IFERROR(__xludf.DUMMYFUNCTION("""COMPUTED_VALUE"""),489465)</f>
        <v>489465</v>
      </c>
      <c r="U285" s="1">
        <f ca="1">IFERROR(__xludf.DUMMYFUNCTION("""COMPUTED_VALUE"""),59.8)</f>
        <v>59.8</v>
      </c>
    </row>
    <row r="286" spans="1:21" ht="12.75" x14ac:dyDescent="0.2">
      <c r="A286" s="3">
        <f ca="1">IFERROR(__xludf.DUMMYFUNCTION("""COMPUTED_VALUE"""),40148.4527777777)</f>
        <v>40148.452777777697</v>
      </c>
      <c r="B286" s="1">
        <f ca="1">IFERROR(__xludf.DUMMYFUNCTION("""COMPUTED_VALUE"""),6.75)</f>
        <v>6.75</v>
      </c>
      <c r="E286" s="1" t="str">
        <f ca="1">IFERROR(__xludf.DUMMYFUNCTION("""COMPUTED_VALUE"""),"SET OF THREE VINTAGE GIFT WRAPS")</f>
        <v>SET OF THREE VINTAGE GIFT WRAPS</v>
      </c>
      <c r="F286" s="1">
        <f ca="1">IFERROR(__xludf.DUMMYFUNCTION("""COMPUTED_VALUE"""),1)</f>
        <v>1</v>
      </c>
      <c r="G286" s="1">
        <f ca="1">IFERROR(__xludf.DUMMYFUNCTION("""COMPUTED_VALUE"""),1.95)</f>
        <v>1.95</v>
      </c>
      <c r="J286" s="1" t="str">
        <f ca="1">IFERROR(__xludf.DUMMYFUNCTION("""COMPUTED_VALUE"""),"DOOR MAT FAIRY CAKE")</f>
        <v>DOOR MAT FAIRY CAKE</v>
      </c>
      <c r="K286" s="1">
        <f ca="1">IFERROR(__xludf.DUMMYFUNCTION("""COMPUTED_VALUE"""),4)</f>
        <v>4</v>
      </c>
      <c r="L286" s="1">
        <f ca="1">IFERROR(__xludf.DUMMYFUNCTION("""COMPUTED_VALUE"""),6.75)</f>
        <v>6.75</v>
      </c>
      <c r="T286" s="1">
        <f ca="1">IFERROR(__xludf.DUMMYFUNCTION("""COMPUTED_VALUE"""),489465)</f>
        <v>489465</v>
      </c>
      <c r="U286" s="1">
        <f ca="1">IFERROR(__xludf.DUMMYFUNCTION("""COMPUTED_VALUE"""),27)</f>
        <v>27</v>
      </c>
    </row>
    <row r="287" spans="1:21" ht="12.75" x14ac:dyDescent="0.2">
      <c r="A287" s="3">
        <f ca="1">IFERROR(__xludf.DUMMYFUNCTION("""COMPUTED_VALUE"""),40148.4527777777)</f>
        <v>40148.452777777697</v>
      </c>
      <c r="B287" s="1">
        <f ca="1">IFERROR(__xludf.DUMMYFUNCTION("""COMPUTED_VALUE"""),9.95)</f>
        <v>9.9499999999999993</v>
      </c>
      <c r="E287" s="1" t="str">
        <f ca="1">IFERROR(__xludf.DUMMYFUNCTION("""COMPUTED_VALUE"""),"VINTAGE HEADS AND TAILS CARD GAME")</f>
        <v>VINTAGE HEADS AND TAILS CARD GAME</v>
      </c>
      <c r="F287" s="1">
        <f ca="1">IFERROR(__xludf.DUMMYFUNCTION("""COMPUTED_VALUE"""),1)</f>
        <v>1</v>
      </c>
      <c r="G287" s="1">
        <f ca="1">IFERROR(__xludf.DUMMYFUNCTION("""COMPUTED_VALUE"""),1.25)</f>
        <v>1.25</v>
      </c>
      <c r="J287" s="1" t="str">
        <f ca="1">IFERROR(__xludf.DUMMYFUNCTION("""COMPUTED_VALUE"""),"VINTAGE CREAM 3 BASKET CAKE STAND")</f>
        <v>VINTAGE CREAM 3 BASKET CAKE STAND</v>
      </c>
      <c r="K287" s="1">
        <f ca="1">IFERROR(__xludf.DUMMYFUNCTION("""COMPUTED_VALUE"""),4)</f>
        <v>4</v>
      </c>
      <c r="L287" s="1">
        <f ca="1">IFERROR(__xludf.DUMMYFUNCTION("""COMPUTED_VALUE"""),9.95)</f>
        <v>9.9499999999999993</v>
      </c>
      <c r="T287" s="1">
        <f ca="1">IFERROR(__xludf.DUMMYFUNCTION("""COMPUTED_VALUE"""),489465)</f>
        <v>489465</v>
      </c>
      <c r="U287" s="1">
        <f ca="1">IFERROR(__xludf.DUMMYFUNCTION("""COMPUTED_VALUE"""),39.8)</f>
        <v>39.799999999999997</v>
      </c>
    </row>
    <row r="288" spans="1:21" ht="12.75" x14ac:dyDescent="0.2">
      <c r="A288" s="3">
        <f ca="1">IFERROR(__xludf.DUMMYFUNCTION("""COMPUTED_VALUE"""),40148.4534722222)</f>
        <v>40148.453472222202</v>
      </c>
      <c r="B288" s="1">
        <f ca="1">IFERROR(__xludf.DUMMYFUNCTION("""COMPUTED_VALUE"""),0)</f>
        <v>0</v>
      </c>
      <c r="E288" s="1" t="str">
        <f ca="1">IFERROR(__xludf.DUMMYFUNCTION("""COMPUTED_VALUE"""),"VINTAGE SNAKES &amp; LADDERS")</f>
        <v>VINTAGE SNAKES &amp; LADDERS</v>
      </c>
      <c r="F288" s="1">
        <f ca="1">IFERROR(__xludf.DUMMYFUNCTION("""COMPUTED_VALUE"""),1)</f>
        <v>1</v>
      </c>
      <c r="G288" s="1">
        <f ca="1">IFERROR(__xludf.DUMMYFUNCTION("""COMPUTED_VALUE"""),3.75)</f>
        <v>3.75</v>
      </c>
      <c r="J288" s="1" t="str">
        <f ca="1">IFERROR(__xludf.DUMMYFUNCTION("""COMPUTED_VALUE"""),"21733 mixed")</f>
        <v>21733 mixed</v>
      </c>
      <c r="K288" s="1">
        <f ca="1">IFERROR(__xludf.DUMMYFUNCTION("""COMPUTED_VALUE"""),-192)</f>
        <v>-192</v>
      </c>
      <c r="L288" s="1">
        <f ca="1">IFERROR(__xludf.DUMMYFUNCTION("""COMPUTED_VALUE"""),0)</f>
        <v>0</v>
      </c>
      <c r="T288" s="1">
        <f ca="1">IFERROR(__xludf.DUMMYFUNCTION("""COMPUTED_VALUE"""),489467)</f>
        <v>489467</v>
      </c>
      <c r="U288" s="1">
        <f ca="1">IFERROR(__xludf.DUMMYFUNCTION("""COMPUTED_VALUE"""),0)</f>
        <v>0</v>
      </c>
    </row>
    <row r="289" spans="1:21" ht="12.75" x14ac:dyDescent="0.2">
      <c r="A289" s="3">
        <f ca="1">IFERROR(__xludf.DUMMYFUNCTION("""COMPUTED_VALUE"""),40148.4548611111)</f>
        <v>40148.454861111102</v>
      </c>
      <c r="B289" s="1">
        <f ca="1">IFERROR(__xludf.DUMMYFUNCTION("""COMPUTED_VALUE"""),2.1)</f>
        <v>2.1</v>
      </c>
      <c r="E289" s="1" t="str">
        <f ca="1">IFERROR(__xludf.DUMMYFUNCTION("""COMPUTED_VALUE"""),"WHITE PEARL BEADED HEART, SMALL")</f>
        <v>WHITE PEARL BEADED HEART, SMALL</v>
      </c>
      <c r="F289" s="1">
        <f ca="1">IFERROR(__xludf.DUMMYFUNCTION("""COMPUTED_VALUE"""),1)</f>
        <v>1</v>
      </c>
      <c r="G289" s="1">
        <f ca="1">IFERROR(__xludf.DUMMYFUNCTION("""COMPUTED_VALUE"""),1.25)</f>
        <v>1.25</v>
      </c>
      <c r="J289" s="1" t="str">
        <f ca="1">IFERROR(__xludf.DUMMYFUNCTION("""COMPUTED_VALUE"""),"FELTCRAFT 6 FLOWER FRIENDS")</f>
        <v>FELTCRAFT 6 FLOWER FRIENDS</v>
      </c>
      <c r="K289" s="1">
        <f ca="1">IFERROR(__xludf.DUMMYFUNCTION("""COMPUTED_VALUE"""),-6)</f>
        <v>-6</v>
      </c>
      <c r="L289" s="1">
        <f ca="1">IFERROR(__xludf.DUMMYFUNCTION("""COMPUTED_VALUE"""),2.1)</f>
        <v>2.1</v>
      </c>
      <c r="T289" s="1"/>
      <c r="U289" s="1">
        <f ca="1">IFERROR(__xludf.DUMMYFUNCTION("""COMPUTED_VALUE"""),-12.6)</f>
        <v>-12.6</v>
      </c>
    </row>
    <row r="290" spans="1:21" ht="12.75" x14ac:dyDescent="0.2">
      <c r="A290" s="3">
        <f ca="1">IFERROR(__xludf.DUMMYFUNCTION("""COMPUTED_VALUE"""),40148.4576388888)</f>
        <v>40148.457638888802</v>
      </c>
      <c r="B290" s="1">
        <f ca="1">IFERROR(__xludf.DUMMYFUNCTION("""COMPUTED_VALUE"""),0.85)</f>
        <v>0.85</v>
      </c>
      <c r="E290" s="1" t="str">
        <f ca="1">IFERROR(__xludf.DUMMYFUNCTION("""COMPUTED_VALUE"""),"GINGHAM HEART DECORATION")</f>
        <v>GINGHAM HEART DECORATION</v>
      </c>
      <c r="F290" s="1">
        <f ca="1">IFERROR(__xludf.DUMMYFUNCTION("""COMPUTED_VALUE"""),1)</f>
        <v>1</v>
      </c>
      <c r="G290" s="1">
        <f ca="1">IFERROR(__xludf.DUMMYFUNCTION("""COMPUTED_VALUE"""),2.95)</f>
        <v>2.95</v>
      </c>
      <c r="J290" s="1" t="str">
        <f ca="1">IFERROR(__xludf.DUMMYFUNCTION("""COMPUTED_VALUE"""),"VINTAGE DESIGN GIFT TAGS")</f>
        <v>VINTAGE DESIGN GIFT TAGS</v>
      </c>
      <c r="K290" s="1">
        <f ca="1">IFERROR(__xludf.DUMMYFUNCTION("""COMPUTED_VALUE"""),6)</f>
        <v>6</v>
      </c>
      <c r="L290" s="1">
        <f ca="1">IFERROR(__xludf.DUMMYFUNCTION("""COMPUTED_VALUE"""),0.85)</f>
        <v>0.85</v>
      </c>
      <c r="T290" s="1">
        <f ca="1">IFERROR(__xludf.DUMMYFUNCTION("""COMPUTED_VALUE"""),489488)</f>
        <v>489488</v>
      </c>
      <c r="U290" s="1">
        <f ca="1">IFERROR(__xludf.DUMMYFUNCTION("""COMPUTED_VALUE"""),5.1)</f>
        <v>5.0999999999999996</v>
      </c>
    </row>
    <row r="291" spans="1:21" ht="12.75" x14ac:dyDescent="0.2">
      <c r="A291" s="3">
        <f ca="1">IFERROR(__xludf.DUMMYFUNCTION("""COMPUTED_VALUE"""),40148.4576388888)</f>
        <v>40148.457638888802</v>
      </c>
      <c r="B291" s="1">
        <f ca="1">IFERROR(__xludf.DUMMYFUNCTION("""COMPUTED_VALUE"""),2.1)</f>
        <v>2.1</v>
      </c>
      <c r="E291" s="1" t="str">
        <f ca="1">IFERROR(__xludf.DUMMYFUNCTION("""COMPUTED_VALUE"""),"BAKING SET 9 PIECE RETROSPOT")</f>
        <v>BAKING SET 9 PIECE RETROSPOT</v>
      </c>
      <c r="F291" s="1">
        <f ca="1">IFERROR(__xludf.DUMMYFUNCTION("""COMPUTED_VALUE"""),-1)</f>
        <v>-1</v>
      </c>
      <c r="G291" s="1">
        <f ca="1">IFERROR(__xludf.DUMMYFUNCTION("""COMPUTED_VALUE"""),4.95)</f>
        <v>4.95</v>
      </c>
      <c r="J291" s="1" t="str">
        <f ca="1">IFERROR(__xludf.DUMMYFUNCTION("""COMPUTED_VALUE"""),"OPULENT VELVET CANDLE IN BOX")</f>
        <v>OPULENT VELVET CANDLE IN BOX</v>
      </c>
      <c r="K291" s="1">
        <f ca="1">IFERROR(__xludf.DUMMYFUNCTION("""COMPUTED_VALUE"""),6)</f>
        <v>6</v>
      </c>
      <c r="L291" s="1">
        <f ca="1">IFERROR(__xludf.DUMMYFUNCTION("""COMPUTED_VALUE"""),2.1)</f>
        <v>2.1</v>
      </c>
      <c r="T291" s="1">
        <f ca="1">IFERROR(__xludf.DUMMYFUNCTION("""COMPUTED_VALUE"""),489488)</f>
        <v>489488</v>
      </c>
      <c r="U291" s="1">
        <f ca="1">IFERROR(__xludf.DUMMYFUNCTION("""COMPUTED_VALUE"""),12.6)</f>
        <v>12.6</v>
      </c>
    </row>
    <row r="292" spans="1:21" ht="12.75" x14ac:dyDescent="0.2">
      <c r="A292" s="3">
        <f ca="1">IFERROR(__xludf.DUMMYFUNCTION("""COMPUTED_VALUE"""),40148.4576388888)</f>
        <v>40148.457638888802</v>
      </c>
      <c r="B292" s="1">
        <f ca="1">IFERROR(__xludf.DUMMYFUNCTION("""COMPUTED_VALUE"""),2.95)</f>
        <v>2.95</v>
      </c>
      <c r="E292" s="1" t="str">
        <f ca="1">IFERROR(__xludf.DUMMYFUNCTION("""COMPUTED_VALUE"""),"WHITE HANGING HEART T-LIGHT HOLDER")</f>
        <v>WHITE HANGING HEART T-LIGHT HOLDER</v>
      </c>
      <c r="F292" s="1">
        <f ca="1">IFERROR(__xludf.DUMMYFUNCTION("""COMPUTED_VALUE"""),32)</f>
        <v>32</v>
      </c>
      <c r="G292" s="1">
        <f ca="1">IFERROR(__xludf.DUMMYFUNCTION("""COMPUTED_VALUE"""),2.55)</f>
        <v>2.5499999999999998</v>
      </c>
      <c r="J292" s="1" t="str">
        <f ca="1">IFERROR(__xludf.DUMMYFUNCTION("""COMPUTED_VALUE"""),"PAPER CHAIN KIT 50'S CHRISTMAS")</f>
        <v>PAPER CHAIN KIT 50'S CHRISTMAS</v>
      </c>
      <c r="K292" s="1">
        <f ca="1">IFERROR(__xludf.DUMMYFUNCTION("""COMPUTED_VALUE"""),5)</f>
        <v>5</v>
      </c>
      <c r="L292" s="1">
        <f ca="1">IFERROR(__xludf.DUMMYFUNCTION("""COMPUTED_VALUE"""),2.95)</f>
        <v>2.95</v>
      </c>
      <c r="T292" s="1">
        <f ca="1">IFERROR(__xludf.DUMMYFUNCTION("""COMPUTED_VALUE"""),489488)</f>
        <v>489488</v>
      </c>
      <c r="U292" s="1">
        <f ca="1">IFERROR(__xludf.DUMMYFUNCTION("""COMPUTED_VALUE"""),14.75)</f>
        <v>14.75</v>
      </c>
    </row>
    <row r="293" spans="1:21" ht="12.75" x14ac:dyDescent="0.2">
      <c r="A293" s="3">
        <f ca="1">IFERROR(__xludf.DUMMYFUNCTION("""COMPUTED_VALUE"""),40148.4576388888)</f>
        <v>40148.457638888802</v>
      </c>
      <c r="B293" s="1">
        <f ca="1">IFERROR(__xludf.DUMMYFUNCTION("""COMPUTED_VALUE"""),0.85)</f>
        <v>0.85</v>
      </c>
      <c r="E293" s="1" t="str">
        <f ca="1">IFERROR(__xludf.DUMMYFUNCTION("""COMPUTED_VALUE"""),"PAPER CHAIN KIT 50'S CHRISTMAS")</f>
        <v>PAPER CHAIN KIT 50'S CHRISTMAS</v>
      </c>
      <c r="F293" s="1">
        <f ca="1">IFERROR(__xludf.DUMMYFUNCTION("""COMPUTED_VALUE"""),12)</f>
        <v>12</v>
      </c>
      <c r="G293" s="1">
        <f ca="1">IFERROR(__xludf.DUMMYFUNCTION("""COMPUTED_VALUE"""),2.95)</f>
        <v>2.95</v>
      </c>
      <c r="J293" s="1" t="str">
        <f ca="1">IFERROR(__xludf.DUMMYFUNCTION("""COMPUTED_VALUE"""),"PARTY INVITES JAZZ HEARTS")</f>
        <v>PARTY INVITES JAZZ HEARTS</v>
      </c>
      <c r="K293" s="1">
        <f ca="1">IFERROR(__xludf.DUMMYFUNCTION("""COMPUTED_VALUE"""),4)</f>
        <v>4</v>
      </c>
      <c r="L293" s="1">
        <f ca="1">IFERROR(__xludf.DUMMYFUNCTION("""COMPUTED_VALUE"""),0.85)</f>
        <v>0.85</v>
      </c>
      <c r="T293" s="1">
        <f ca="1">IFERROR(__xludf.DUMMYFUNCTION("""COMPUTED_VALUE"""),489488)</f>
        <v>489488</v>
      </c>
      <c r="U293" s="1">
        <f ca="1">IFERROR(__xludf.DUMMYFUNCTION("""COMPUTED_VALUE"""),3.4)</f>
        <v>3.4</v>
      </c>
    </row>
    <row r="294" spans="1:21" ht="12.75" x14ac:dyDescent="0.2">
      <c r="A294" s="3">
        <f ca="1">IFERROR(__xludf.DUMMYFUNCTION("""COMPUTED_VALUE"""),40148.4576388888)</f>
        <v>40148.457638888802</v>
      </c>
      <c r="B294" s="1">
        <f ca="1">IFERROR(__xludf.DUMMYFUNCTION("""COMPUTED_VALUE"""),3.75)</f>
        <v>3.75</v>
      </c>
      <c r="E294" s="1" t="str">
        <f ca="1">IFERROR(__xludf.DUMMYFUNCTION("""COMPUTED_VALUE"""),"ANTIQUE SILVER TEA GLASS ETCHED")</f>
        <v>ANTIQUE SILVER TEA GLASS ETCHED</v>
      </c>
      <c r="F294" s="1">
        <f ca="1">IFERROR(__xludf.DUMMYFUNCTION("""COMPUTED_VALUE"""),12)</f>
        <v>12</v>
      </c>
      <c r="G294" s="1">
        <f ca="1">IFERROR(__xludf.DUMMYFUNCTION("""COMPUTED_VALUE"""),1.25)</f>
        <v>1.25</v>
      </c>
      <c r="J294" s="1" t="str">
        <f ca="1">IFERROR(__xludf.DUMMYFUNCTION("""COMPUTED_VALUE"""),"PINK 3 PIECE MINI DOTS CUTLERY SET")</f>
        <v>PINK 3 PIECE MINI DOTS CUTLERY SET</v>
      </c>
      <c r="K294" s="1">
        <f ca="1">IFERROR(__xludf.DUMMYFUNCTION("""COMPUTED_VALUE"""),4)</f>
        <v>4</v>
      </c>
      <c r="L294" s="1">
        <f ca="1">IFERROR(__xludf.DUMMYFUNCTION("""COMPUTED_VALUE"""),3.75)</f>
        <v>3.75</v>
      </c>
      <c r="T294" s="1">
        <f ca="1">IFERROR(__xludf.DUMMYFUNCTION("""COMPUTED_VALUE"""),489488)</f>
        <v>489488</v>
      </c>
      <c r="U294" s="1">
        <f ca="1">IFERROR(__xludf.DUMMYFUNCTION("""COMPUTED_VALUE"""),15)</f>
        <v>15</v>
      </c>
    </row>
    <row r="295" spans="1:21" ht="12.75" x14ac:dyDescent="0.2">
      <c r="A295" s="3">
        <f ca="1">IFERROR(__xludf.DUMMYFUNCTION("""COMPUTED_VALUE"""),40148.4576388888)</f>
        <v>40148.457638888802</v>
      </c>
      <c r="B295" s="1">
        <f ca="1">IFERROR(__xludf.DUMMYFUNCTION("""COMPUTED_VALUE"""),3.75)</f>
        <v>3.75</v>
      </c>
      <c r="E295" s="1" t="str">
        <f ca="1">IFERROR(__xludf.DUMMYFUNCTION("""COMPUTED_VALUE"""),"PAINTED BIRD ASSORTED CHRISTMAS")</f>
        <v>PAINTED BIRD ASSORTED CHRISTMAS</v>
      </c>
      <c r="F295" s="1">
        <f ca="1">IFERROR(__xludf.DUMMYFUNCTION("""COMPUTED_VALUE"""),12)</f>
        <v>12</v>
      </c>
      <c r="G295" s="1">
        <f ca="1">IFERROR(__xludf.DUMMYFUNCTION("""COMPUTED_VALUE"""),1.69)</f>
        <v>1.69</v>
      </c>
      <c r="J295" s="1" t="str">
        <f ca="1">IFERROR(__xludf.DUMMYFUNCTION("""COMPUTED_VALUE"""),"BLUE 3 PIECE MINI DOTS CUTLERY SET")</f>
        <v>BLUE 3 PIECE MINI DOTS CUTLERY SET</v>
      </c>
      <c r="K295" s="1">
        <f ca="1">IFERROR(__xludf.DUMMYFUNCTION("""COMPUTED_VALUE"""),4)</f>
        <v>4</v>
      </c>
      <c r="L295" s="1">
        <f ca="1">IFERROR(__xludf.DUMMYFUNCTION("""COMPUTED_VALUE"""),3.75)</f>
        <v>3.75</v>
      </c>
      <c r="T295" s="1">
        <f ca="1">IFERROR(__xludf.DUMMYFUNCTION("""COMPUTED_VALUE"""),489488)</f>
        <v>489488</v>
      </c>
      <c r="U295" s="1">
        <f ca="1">IFERROR(__xludf.DUMMYFUNCTION("""COMPUTED_VALUE"""),15)</f>
        <v>15</v>
      </c>
    </row>
    <row r="296" spans="1:21" ht="12.75" x14ac:dyDescent="0.2">
      <c r="A296" s="3">
        <f ca="1">IFERROR(__xludf.DUMMYFUNCTION("""COMPUTED_VALUE"""),40148.4576388888)</f>
        <v>40148.457638888802</v>
      </c>
      <c r="B296" s="1">
        <f ca="1">IFERROR(__xludf.DUMMYFUNCTION("""COMPUTED_VALUE"""),1.25)</f>
        <v>1.25</v>
      </c>
      <c r="E296" s="1" t="str">
        <f ca="1">IFERROR(__xludf.DUMMYFUNCTION("""COMPUTED_VALUE"""),"LARGE HEART FLOWERS HOOK")</f>
        <v>LARGE HEART FLOWERS HOOK</v>
      </c>
      <c r="F296" s="1">
        <f ca="1">IFERROR(__xludf.DUMMYFUNCTION("""COMPUTED_VALUE"""),12)</f>
        <v>12</v>
      </c>
      <c r="G296" s="1">
        <f ca="1">IFERROR(__xludf.DUMMYFUNCTION("""COMPUTED_VALUE"""),1.25)</f>
        <v>1.25</v>
      </c>
      <c r="J296" s="1" t="str">
        <f ca="1">IFERROR(__xludf.DUMMYFUNCTION("""COMPUTED_VALUE"""),"SWEETHEART CERAMIC TRINKET BOX")</f>
        <v>SWEETHEART CERAMIC TRINKET BOX</v>
      </c>
      <c r="K296" s="1">
        <f ca="1">IFERROR(__xludf.DUMMYFUNCTION("""COMPUTED_VALUE"""),4)</f>
        <v>4</v>
      </c>
      <c r="L296" s="1">
        <f ca="1">IFERROR(__xludf.DUMMYFUNCTION("""COMPUTED_VALUE"""),1.25)</f>
        <v>1.25</v>
      </c>
      <c r="T296" s="1">
        <f ca="1">IFERROR(__xludf.DUMMYFUNCTION("""COMPUTED_VALUE"""),489488)</f>
        <v>489488</v>
      </c>
      <c r="U296" s="1">
        <f ca="1">IFERROR(__xludf.DUMMYFUNCTION("""COMPUTED_VALUE"""),5)</f>
        <v>5</v>
      </c>
    </row>
    <row r="297" spans="1:21" ht="12.75" x14ac:dyDescent="0.2">
      <c r="A297" s="3">
        <f ca="1">IFERROR(__xludf.DUMMYFUNCTION("""COMPUTED_VALUE"""),40148.4576388888)</f>
        <v>40148.457638888802</v>
      </c>
      <c r="B297" s="1">
        <f ca="1">IFERROR(__xludf.DUMMYFUNCTION("""COMPUTED_VALUE"""),4.25)</f>
        <v>4.25</v>
      </c>
      <c r="E297" s="1" t="str">
        <f ca="1">IFERROR(__xludf.DUMMYFUNCTION("""COMPUTED_VALUE"""),"VINTAGE SNAKES &amp; LADDERS")</f>
        <v>VINTAGE SNAKES &amp; LADDERS</v>
      </c>
      <c r="F297" s="1">
        <f ca="1">IFERROR(__xludf.DUMMYFUNCTION("""COMPUTED_VALUE"""),8)</f>
        <v>8</v>
      </c>
      <c r="G297" s="1">
        <f ca="1">IFERROR(__xludf.DUMMYFUNCTION("""COMPUTED_VALUE"""),3.75)</f>
        <v>3.75</v>
      </c>
      <c r="J297" s="1" t="str">
        <f ca="1">IFERROR(__xludf.DUMMYFUNCTION("""COMPUTED_VALUE"""),"VINTAGE ROSE BEAD BRACELET BLUE")</f>
        <v>VINTAGE ROSE BEAD BRACELET BLUE</v>
      </c>
      <c r="K297" s="1">
        <f ca="1">IFERROR(__xludf.DUMMYFUNCTION("""COMPUTED_VALUE"""),4)</f>
        <v>4</v>
      </c>
      <c r="L297" s="1">
        <f ca="1">IFERROR(__xludf.DUMMYFUNCTION("""COMPUTED_VALUE"""),4.25)</f>
        <v>4.25</v>
      </c>
      <c r="T297" s="1">
        <f ca="1">IFERROR(__xludf.DUMMYFUNCTION("""COMPUTED_VALUE"""),489488)</f>
        <v>489488</v>
      </c>
      <c r="U297" s="1">
        <f ca="1">IFERROR(__xludf.DUMMYFUNCTION("""COMPUTED_VALUE"""),17)</f>
        <v>17</v>
      </c>
    </row>
    <row r="298" spans="1:21" ht="12.75" x14ac:dyDescent="0.2">
      <c r="A298" s="3">
        <f ca="1">IFERROR(__xludf.DUMMYFUNCTION("""COMPUTED_VALUE"""),40148.4576388888)</f>
        <v>40148.457638888802</v>
      </c>
      <c r="B298" s="1">
        <f ca="1">IFERROR(__xludf.DUMMYFUNCTION("""COMPUTED_VALUE"""),3.45)</f>
        <v>3.45</v>
      </c>
      <c r="E298" s="1" t="str">
        <f ca="1">IFERROR(__xludf.DUMMYFUNCTION("""COMPUTED_VALUE"""),"FRAPPUCINO SCARF KNITTING KIT")</f>
        <v>FRAPPUCINO SCARF KNITTING KIT</v>
      </c>
      <c r="F298" s="1">
        <f ca="1">IFERROR(__xludf.DUMMYFUNCTION("""COMPUTED_VALUE"""),6)</f>
        <v>6</v>
      </c>
      <c r="G298" s="1">
        <f ca="1">IFERROR(__xludf.DUMMYFUNCTION("""COMPUTED_VALUE"""),2.95)</f>
        <v>2.95</v>
      </c>
      <c r="J298" s="1" t="str">
        <f ca="1">IFERROR(__xludf.DUMMYFUNCTION("""COMPUTED_VALUE"""),"CHICK GREY HOT WATER BOTTLE")</f>
        <v>CHICK GREY HOT WATER BOTTLE</v>
      </c>
      <c r="K298" s="1">
        <f ca="1">IFERROR(__xludf.DUMMYFUNCTION("""COMPUTED_VALUE"""),3)</f>
        <v>3</v>
      </c>
      <c r="L298" s="1">
        <f ca="1">IFERROR(__xludf.DUMMYFUNCTION("""COMPUTED_VALUE"""),3.45)</f>
        <v>3.45</v>
      </c>
      <c r="T298" s="1">
        <f ca="1">IFERROR(__xludf.DUMMYFUNCTION("""COMPUTED_VALUE"""),489488)</f>
        <v>489488</v>
      </c>
      <c r="U298" s="1">
        <f ca="1">IFERROR(__xludf.DUMMYFUNCTION("""COMPUTED_VALUE"""),10.35)</f>
        <v>10.35</v>
      </c>
    </row>
    <row r="299" spans="1:21" ht="12.75" x14ac:dyDescent="0.2">
      <c r="A299" s="3">
        <f ca="1">IFERROR(__xludf.DUMMYFUNCTION("""COMPUTED_VALUE"""),40148.4576388888)</f>
        <v>40148.457638888802</v>
      </c>
      <c r="B299" s="1">
        <f ca="1">IFERROR(__xludf.DUMMYFUNCTION("""COMPUTED_VALUE"""),1.25)</f>
        <v>1.25</v>
      </c>
      <c r="E299" s="1" t="str">
        <f ca="1">IFERROR(__xludf.DUMMYFUNCTION("""COMPUTED_VALUE"""),"WASH BAG VINTAGE ROSE PAISLEY")</f>
        <v>WASH BAG VINTAGE ROSE PAISLEY</v>
      </c>
      <c r="F299" s="1">
        <f ca="1">IFERROR(__xludf.DUMMYFUNCTION("""COMPUTED_VALUE"""),6)</f>
        <v>6</v>
      </c>
      <c r="G299" s="1">
        <f ca="1">IFERROR(__xludf.DUMMYFUNCTION("""COMPUTED_VALUE"""),2.55)</f>
        <v>2.5499999999999998</v>
      </c>
      <c r="J299" s="1" t="str">
        <f ca="1">IFERROR(__xludf.DUMMYFUNCTION("""COMPUTED_VALUE"""),"PINK CREAM FELT CRAFT TRINKET BOX")</f>
        <v>PINK CREAM FELT CRAFT TRINKET BOX</v>
      </c>
      <c r="K299" s="1">
        <f ca="1">IFERROR(__xludf.DUMMYFUNCTION("""COMPUTED_VALUE"""),3)</f>
        <v>3</v>
      </c>
      <c r="L299" s="1">
        <f ca="1">IFERROR(__xludf.DUMMYFUNCTION("""COMPUTED_VALUE"""),1.25)</f>
        <v>1.25</v>
      </c>
      <c r="T299" s="1">
        <f ca="1">IFERROR(__xludf.DUMMYFUNCTION("""COMPUTED_VALUE"""),489488)</f>
        <v>489488</v>
      </c>
      <c r="U299" s="1">
        <f ca="1">IFERROR(__xludf.DUMMYFUNCTION("""COMPUTED_VALUE"""),3.75)</f>
        <v>3.75</v>
      </c>
    </row>
    <row r="300" spans="1:21" ht="12.75" x14ac:dyDescent="0.2">
      <c r="A300" s="3">
        <f ca="1">IFERROR(__xludf.DUMMYFUNCTION("""COMPUTED_VALUE"""),40148.4576388888)</f>
        <v>40148.457638888802</v>
      </c>
      <c r="B300" s="1">
        <f ca="1">IFERROR(__xludf.DUMMYFUNCTION("""COMPUTED_VALUE"""),1.95)</f>
        <v>1.95</v>
      </c>
      <c r="E300" s="1" t="str">
        <f ca="1">IFERROR(__xludf.DUMMYFUNCTION("""COMPUTED_VALUE"""),"SILVER HANGING T-LIGHT HOLDER")</f>
        <v>SILVER HANGING T-LIGHT HOLDER</v>
      </c>
      <c r="F300" s="1">
        <f ca="1">IFERROR(__xludf.DUMMYFUNCTION("""COMPUTED_VALUE"""),6)</f>
        <v>6</v>
      </c>
      <c r="G300" s="1">
        <f ca="1">IFERROR(__xludf.DUMMYFUNCTION("""COMPUTED_VALUE"""),1.65)</f>
        <v>1.65</v>
      </c>
      <c r="J300" s="1" t="str">
        <f ca="1">IFERROR(__xludf.DUMMYFUNCTION("""COMPUTED_VALUE"""),"SET OF THREE 50'S GIFT WRAPS")</f>
        <v>SET OF THREE 50'S GIFT WRAPS</v>
      </c>
      <c r="K300" s="1">
        <f ca="1">IFERROR(__xludf.DUMMYFUNCTION("""COMPUTED_VALUE"""),3)</f>
        <v>3</v>
      </c>
      <c r="L300" s="1">
        <f ca="1">IFERROR(__xludf.DUMMYFUNCTION("""COMPUTED_VALUE"""),1.95)</f>
        <v>1.95</v>
      </c>
      <c r="T300" s="1">
        <f ca="1">IFERROR(__xludf.DUMMYFUNCTION("""COMPUTED_VALUE"""),489488)</f>
        <v>489488</v>
      </c>
      <c r="U300" s="1">
        <f ca="1">IFERROR(__xludf.DUMMYFUNCTION("""COMPUTED_VALUE"""),5.85)</f>
        <v>5.85</v>
      </c>
    </row>
    <row r="301" spans="1:21" ht="12.75" x14ac:dyDescent="0.2">
      <c r="A301" s="3">
        <f ca="1">IFERROR(__xludf.DUMMYFUNCTION("""COMPUTED_VALUE"""),40148.4576388888)</f>
        <v>40148.457638888802</v>
      </c>
      <c r="B301" s="1">
        <f ca="1">IFERROR(__xludf.DUMMYFUNCTION("""COMPUTED_VALUE"""),0.85)</f>
        <v>0.85</v>
      </c>
      <c r="E301" s="1" t="str">
        <f ca="1">IFERROR(__xludf.DUMMYFUNCTION("""COMPUTED_VALUE"""),"SET OF THREE VINTAGE GIFT WRAPS")</f>
        <v>SET OF THREE VINTAGE GIFT WRAPS</v>
      </c>
      <c r="F301" s="1">
        <f ca="1">IFERROR(__xludf.DUMMYFUNCTION("""COMPUTED_VALUE"""),6)</f>
        <v>6</v>
      </c>
      <c r="G301" s="1">
        <f ca="1">IFERROR(__xludf.DUMMYFUNCTION("""COMPUTED_VALUE"""),1.95)</f>
        <v>1.95</v>
      </c>
      <c r="J301" s="1" t="str">
        <f ca="1">IFERROR(__xludf.DUMMYFUNCTION("""COMPUTED_VALUE"""),"PARTY INVITES WOODLAND")</f>
        <v>PARTY INVITES WOODLAND</v>
      </c>
      <c r="K301" s="1">
        <f ca="1">IFERROR(__xludf.DUMMYFUNCTION("""COMPUTED_VALUE"""),3)</f>
        <v>3</v>
      </c>
      <c r="L301" s="1">
        <f ca="1">IFERROR(__xludf.DUMMYFUNCTION("""COMPUTED_VALUE"""),0.85)</f>
        <v>0.85</v>
      </c>
      <c r="T301" s="1">
        <f ca="1">IFERROR(__xludf.DUMMYFUNCTION("""COMPUTED_VALUE"""),489488)</f>
        <v>489488</v>
      </c>
      <c r="U301" s="1">
        <f ca="1">IFERROR(__xludf.DUMMYFUNCTION("""COMPUTED_VALUE"""),2.55)</f>
        <v>2.5499999999999998</v>
      </c>
    </row>
    <row r="302" spans="1:21" ht="12.75" x14ac:dyDescent="0.2">
      <c r="A302" s="3">
        <f ca="1">IFERROR(__xludf.DUMMYFUNCTION("""COMPUTED_VALUE"""),40148.4576388888)</f>
        <v>40148.457638888802</v>
      </c>
      <c r="B302" s="1">
        <f ca="1">IFERROR(__xludf.DUMMYFUNCTION("""COMPUTED_VALUE"""),2.55)</f>
        <v>2.5499999999999998</v>
      </c>
      <c r="E302" s="1" t="str">
        <f ca="1">IFERROR(__xludf.DUMMYFUNCTION("""COMPUTED_VALUE"""),"CHOCOLATE THIS WAY METAL SIGN")</f>
        <v>CHOCOLATE THIS WAY METAL SIGN</v>
      </c>
      <c r="F302" s="1">
        <f ca="1">IFERROR(__xludf.DUMMYFUNCTION("""COMPUTED_VALUE"""),6)</f>
        <v>6</v>
      </c>
      <c r="G302" s="1">
        <f ca="1">IFERROR(__xludf.DUMMYFUNCTION("""COMPUTED_VALUE"""),2.1)</f>
        <v>2.1</v>
      </c>
      <c r="J302" s="1" t="str">
        <f ca="1">IFERROR(__xludf.DUMMYFUNCTION("""COMPUTED_VALUE"""),"COFFEE MUG DOG + BALL DESIGN")</f>
        <v>COFFEE MUG DOG + BALL DESIGN</v>
      </c>
      <c r="K302" s="1">
        <f ca="1">IFERROR(__xludf.DUMMYFUNCTION("""COMPUTED_VALUE"""),3)</f>
        <v>3</v>
      </c>
      <c r="L302" s="1">
        <f ca="1">IFERROR(__xludf.DUMMYFUNCTION("""COMPUTED_VALUE"""),2.55)</f>
        <v>2.5499999999999998</v>
      </c>
      <c r="T302" s="1">
        <f ca="1">IFERROR(__xludf.DUMMYFUNCTION("""COMPUTED_VALUE"""),489488)</f>
        <v>489488</v>
      </c>
      <c r="U302" s="1">
        <f ca="1">IFERROR(__xludf.DUMMYFUNCTION("""COMPUTED_VALUE"""),7.64999999999999)</f>
        <v>7.6499999999999897</v>
      </c>
    </row>
    <row r="303" spans="1:21" ht="12.75" x14ac:dyDescent="0.2">
      <c r="A303" s="3">
        <f ca="1">IFERROR(__xludf.DUMMYFUNCTION("""COMPUTED_VALUE"""),40148.4576388888)</f>
        <v>40148.457638888802</v>
      </c>
      <c r="B303" s="1">
        <f ca="1">IFERROR(__xludf.DUMMYFUNCTION("""COMPUTED_VALUE"""),5.95)</f>
        <v>5.95</v>
      </c>
      <c r="E303" s="1" t="str">
        <f ca="1">IFERROR(__xludf.DUMMYFUNCTION("""COMPUTED_VALUE"""),"PLEASE ONE PERSON  METAL SIGN")</f>
        <v>PLEASE ONE PERSON  METAL SIGN</v>
      </c>
      <c r="F303" s="1">
        <f ca="1">IFERROR(__xludf.DUMMYFUNCTION("""COMPUTED_VALUE"""),6)</f>
        <v>6</v>
      </c>
      <c r="G303" s="1">
        <f ca="1">IFERROR(__xludf.DUMMYFUNCTION("""COMPUTED_VALUE"""),2.1)</f>
        <v>2.1</v>
      </c>
      <c r="J303" s="1" t="str">
        <f ca="1">IFERROR(__xludf.DUMMYFUNCTION("""COMPUTED_VALUE"""),"UNION JACK HOT WATER BOTTLE")</f>
        <v>UNION JACK HOT WATER BOTTLE</v>
      </c>
      <c r="K303" s="1">
        <f ca="1">IFERROR(__xludf.DUMMYFUNCTION("""COMPUTED_VALUE"""),2)</f>
        <v>2</v>
      </c>
      <c r="L303" s="1">
        <f ca="1">IFERROR(__xludf.DUMMYFUNCTION("""COMPUTED_VALUE"""),5.95)</f>
        <v>5.95</v>
      </c>
      <c r="T303" s="1">
        <f ca="1">IFERROR(__xludf.DUMMYFUNCTION("""COMPUTED_VALUE"""),489488)</f>
        <v>489488</v>
      </c>
      <c r="U303" s="1">
        <f ca="1">IFERROR(__xludf.DUMMYFUNCTION("""COMPUTED_VALUE"""),11.9)</f>
        <v>11.9</v>
      </c>
    </row>
    <row r="304" spans="1:21" ht="12.75" x14ac:dyDescent="0.2">
      <c r="A304" s="3">
        <f ca="1">IFERROR(__xludf.DUMMYFUNCTION("""COMPUTED_VALUE"""),40148.4576388888)</f>
        <v>40148.457638888802</v>
      </c>
      <c r="B304" s="1">
        <f ca="1">IFERROR(__xludf.DUMMYFUNCTION("""COMPUTED_VALUE"""),2.95)</f>
        <v>2.95</v>
      </c>
      <c r="E304" s="1" t="str">
        <f ca="1">IFERROR(__xludf.DUMMYFUNCTION("""COMPUTED_VALUE"""),"MIRRORED WALL ART POPPIES")</f>
        <v>MIRRORED WALL ART POPPIES</v>
      </c>
      <c r="F304" s="1">
        <f ca="1">IFERROR(__xludf.DUMMYFUNCTION("""COMPUTED_VALUE"""),6)</f>
        <v>6</v>
      </c>
      <c r="G304" s="1">
        <f ca="1">IFERROR(__xludf.DUMMYFUNCTION("""COMPUTED_VALUE"""),2.55)</f>
        <v>2.5499999999999998</v>
      </c>
      <c r="J304" s="1" t="str">
        <f ca="1">IFERROR(__xludf.DUMMYFUNCTION("""COMPUTED_VALUE"""),"MUSHROOM BLUE HOT WATER BOTTLE")</f>
        <v>MUSHROOM BLUE HOT WATER BOTTLE</v>
      </c>
      <c r="K304" s="1">
        <f ca="1">IFERROR(__xludf.DUMMYFUNCTION("""COMPUTED_VALUE"""),2)</f>
        <v>2</v>
      </c>
      <c r="L304" s="1">
        <f ca="1">IFERROR(__xludf.DUMMYFUNCTION("""COMPUTED_VALUE"""),2.95)</f>
        <v>2.95</v>
      </c>
      <c r="T304" s="1">
        <f ca="1">IFERROR(__xludf.DUMMYFUNCTION("""COMPUTED_VALUE"""),489488)</f>
        <v>489488</v>
      </c>
      <c r="U304" s="1">
        <f ca="1">IFERROR(__xludf.DUMMYFUNCTION("""COMPUTED_VALUE"""),5.9)</f>
        <v>5.9</v>
      </c>
    </row>
    <row r="305" spans="1:21" ht="12.75" x14ac:dyDescent="0.2">
      <c r="A305" s="3">
        <f ca="1">IFERROR(__xludf.DUMMYFUNCTION("""COMPUTED_VALUE"""),40148.4576388888)</f>
        <v>40148.457638888802</v>
      </c>
      <c r="B305" s="1">
        <f ca="1">IFERROR(__xludf.DUMMYFUNCTION("""COMPUTED_VALUE"""),3.75)</f>
        <v>3.75</v>
      </c>
      <c r="E305" s="1" t="str">
        <f ca="1">IFERROR(__xludf.DUMMYFUNCTION("""COMPUTED_VALUE"""),"HAND OVER THE CHOCOLATE   SIGN")</f>
        <v>HAND OVER THE CHOCOLATE   SIGN</v>
      </c>
      <c r="F305" s="1">
        <f ca="1">IFERROR(__xludf.DUMMYFUNCTION("""COMPUTED_VALUE"""),6)</f>
        <v>6</v>
      </c>
      <c r="G305" s="1">
        <f ca="1">IFERROR(__xludf.DUMMYFUNCTION("""COMPUTED_VALUE"""),2.1)</f>
        <v>2.1</v>
      </c>
      <c r="J305" s="1" t="str">
        <f ca="1">IFERROR(__xludf.DUMMYFUNCTION("""COMPUTED_VALUE"""),"PINK FLORAL FELTCRAFT SHOULDER BAG")</f>
        <v>PINK FLORAL FELTCRAFT SHOULDER BAG</v>
      </c>
      <c r="K305" s="1">
        <f ca="1">IFERROR(__xludf.DUMMYFUNCTION("""COMPUTED_VALUE"""),2)</f>
        <v>2</v>
      </c>
      <c r="L305" s="1">
        <f ca="1">IFERROR(__xludf.DUMMYFUNCTION("""COMPUTED_VALUE"""),3.75)</f>
        <v>3.75</v>
      </c>
      <c r="T305" s="1">
        <f ca="1">IFERROR(__xludf.DUMMYFUNCTION("""COMPUTED_VALUE"""),489488)</f>
        <v>489488</v>
      </c>
      <c r="U305" s="1">
        <f ca="1">IFERROR(__xludf.DUMMYFUNCTION("""COMPUTED_VALUE"""),7.5)</f>
        <v>7.5</v>
      </c>
    </row>
    <row r="306" spans="1:21" ht="12.75" x14ac:dyDescent="0.2">
      <c r="A306" s="3">
        <f ca="1">IFERROR(__xludf.DUMMYFUNCTION("""COMPUTED_VALUE"""),40148.4576388888)</f>
        <v>40148.457638888802</v>
      </c>
      <c r="B306" s="1">
        <f ca="1">IFERROR(__xludf.DUMMYFUNCTION("""COMPUTED_VALUE"""),1.65)</f>
        <v>1.65</v>
      </c>
      <c r="E306" s="1" t="str">
        <f ca="1">IFERROR(__xludf.DUMMYFUNCTION("""COMPUTED_VALUE"""),"2 DAISIES HAIR COMB")</f>
        <v>2 DAISIES HAIR COMB</v>
      </c>
      <c r="F306" s="1">
        <f ca="1">IFERROR(__xludf.DUMMYFUNCTION("""COMPUTED_VALUE"""),6)</f>
        <v>6</v>
      </c>
      <c r="G306" s="1">
        <f ca="1">IFERROR(__xludf.DUMMYFUNCTION("""COMPUTED_VALUE"""),2.95)</f>
        <v>2.95</v>
      </c>
      <c r="J306" s="1" t="str">
        <f ca="1">IFERROR(__xludf.DUMMYFUNCTION("""COMPUTED_VALUE"""),"CHARLIE AND LOLA CHARLOTTE BAG")</f>
        <v>CHARLIE AND LOLA CHARLOTTE BAG</v>
      </c>
      <c r="K306" s="1">
        <f ca="1">IFERROR(__xludf.DUMMYFUNCTION("""COMPUTED_VALUE"""),2)</f>
        <v>2</v>
      </c>
      <c r="L306" s="1">
        <f ca="1">IFERROR(__xludf.DUMMYFUNCTION("""COMPUTED_VALUE"""),1.65)</f>
        <v>1.65</v>
      </c>
      <c r="T306" s="1">
        <f ca="1">IFERROR(__xludf.DUMMYFUNCTION("""COMPUTED_VALUE"""),489488)</f>
        <v>489488</v>
      </c>
      <c r="U306" s="1">
        <f ca="1">IFERROR(__xludf.DUMMYFUNCTION("""COMPUTED_VALUE"""),3.3)</f>
        <v>3.3</v>
      </c>
    </row>
    <row r="307" spans="1:21" ht="12.75" x14ac:dyDescent="0.2">
      <c r="A307" s="3">
        <f ca="1">IFERROR(__xludf.DUMMYFUNCTION("""COMPUTED_VALUE"""),40148.4576388888)</f>
        <v>40148.457638888802</v>
      </c>
      <c r="B307" s="1">
        <f ca="1">IFERROR(__xludf.DUMMYFUNCTION("""COMPUTED_VALUE"""),4.25)</f>
        <v>4.25</v>
      </c>
      <c r="E307" s="1" t="str">
        <f ca="1">IFERROR(__xludf.DUMMYFUNCTION("""COMPUTED_VALUE"""),"PINK VINTAGE VICTORIAN EARRINGS")</f>
        <v>PINK VINTAGE VICTORIAN EARRINGS</v>
      </c>
      <c r="F307" s="1">
        <f ca="1">IFERROR(__xludf.DUMMYFUNCTION("""COMPUTED_VALUE"""),6)</f>
        <v>6</v>
      </c>
      <c r="G307" s="1">
        <f ca="1">IFERROR(__xludf.DUMMYFUNCTION("""COMPUTED_VALUE"""),2.95)</f>
        <v>2.95</v>
      </c>
      <c r="J307" s="1" t="str">
        <f ca="1">IFERROR(__xludf.DUMMYFUNCTION("""COMPUTED_VALUE"""),"PINK CROCHET CAT WITH SCARF")</f>
        <v>PINK CROCHET CAT WITH SCARF</v>
      </c>
      <c r="K307" s="1">
        <f ca="1">IFERROR(__xludf.DUMMYFUNCTION("""COMPUTED_VALUE"""),2)</f>
        <v>2</v>
      </c>
      <c r="L307" s="1">
        <f ca="1">IFERROR(__xludf.DUMMYFUNCTION("""COMPUTED_VALUE"""),4.25)</f>
        <v>4.25</v>
      </c>
      <c r="T307" s="1">
        <f ca="1">IFERROR(__xludf.DUMMYFUNCTION("""COMPUTED_VALUE"""),489488)</f>
        <v>489488</v>
      </c>
      <c r="U307" s="1">
        <f ca="1">IFERROR(__xludf.DUMMYFUNCTION("""COMPUTED_VALUE"""),8.5)</f>
        <v>8.5</v>
      </c>
    </row>
    <row r="308" spans="1:21" ht="12.75" x14ac:dyDescent="0.2">
      <c r="A308" s="3">
        <f ca="1">IFERROR(__xludf.DUMMYFUNCTION("""COMPUTED_VALUE"""),40148.4576388888)</f>
        <v>40148.457638888802</v>
      </c>
      <c r="B308" s="1">
        <f ca="1">IFERROR(__xludf.DUMMYFUNCTION("""COMPUTED_VALUE"""),2.1)</f>
        <v>2.1</v>
      </c>
      <c r="E308" s="1" t="str">
        <f ca="1">IFERROR(__xludf.DUMMYFUNCTION("""COMPUTED_VALUE"""),"BROWN VINTAGE VICTORIAN EARRINGS")</f>
        <v>BROWN VINTAGE VICTORIAN EARRINGS</v>
      </c>
      <c r="F308" s="1">
        <f ca="1">IFERROR(__xludf.DUMMYFUNCTION("""COMPUTED_VALUE"""),6)</f>
        <v>6</v>
      </c>
      <c r="G308" s="1">
        <f ca="1">IFERROR(__xludf.DUMMYFUNCTION("""COMPUTED_VALUE"""),2.95)</f>
        <v>2.95</v>
      </c>
      <c r="J308" s="1" t="str">
        <f ca="1">IFERROR(__xludf.DUMMYFUNCTION("""COMPUTED_VALUE"""),"PINK JUMPER LARRY THE LAMB")</f>
        <v>PINK JUMPER LARRY THE LAMB</v>
      </c>
      <c r="K308" s="1">
        <f ca="1">IFERROR(__xludf.DUMMYFUNCTION("""COMPUTED_VALUE"""),2)</f>
        <v>2</v>
      </c>
      <c r="L308" s="1">
        <f ca="1">IFERROR(__xludf.DUMMYFUNCTION("""COMPUTED_VALUE"""),2.1)</f>
        <v>2.1</v>
      </c>
      <c r="T308" s="1">
        <f ca="1">IFERROR(__xludf.DUMMYFUNCTION("""COMPUTED_VALUE"""),489488)</f>
        <v>489488</v>
      </c>
      <c r="U308" s="1">
        <f ca="1">IFERROR(__xludf.DUMMYFUNCTION("""COMPUTED_VALUE"""),4.2)</f>
        <v>4.2</v>
      </c>
    </row>
    <row r="309" spans="1:21" ht="12.75" x14ac:dyDescent="0.2">
      <c r="A309" s="3">
        <f ca="1">IFERROR(__xludf.DUMMYFUNCTION("""COMPUTED_VALUE"""),40148.4576388888)</f>
        <v>40148.457638888802</v>
      </c>
      <c r="B309" s="1">
        <f ca="1">IFERROR(__xludf.DUMMYFUNCTION("""COMPUTED_VALUE"""),2.55)</f>
        <v>2.5499999999999998</v>
      </c>
      <c r="E309" s="1" t="str">
        <f ca="1">IFERROR(__xludf.DUMMYFUNCTION("""COMPUTED_VALUE"""),"OLD ROSE COMBO BEAD NECKLACE")</f>
        <v>OLD ROSE COMBO BEAD NECKLACE</v>
      </c>
      <c r="F309" s="1">
        <f ca="1">IFERROR(__xludf.DUMMYFUNCTION("""COMPUTED_VALUE"""),6)</f>
        <v>6</v>
      </c>
      <c r="G309" s="1">
        <f ca="1">IFERROR(__xludf.DUMMYFUNCTION("""COMPUTED_VALUE"""),2.95)</f>
        <v>2.95</v>
      </c>
      <c r="J309" s="1" t="str">
        <f ca="1">IFERROR(__xludf.DUMMYFUNCTION("""COMPUTED_VALUE"""),"COFFEE MUG CAT + BIRD DESIGN")</f>
        <v>COFFEE MUG CAT + BIRD DESIGN</v>
      </c>
      <c r="K309" s="1">
        <f ca="1">IFERROR(__xludf.DUMMYFUNCTION("""COMPUTED_VALUE"""),2)</f>
        <v>2</v>
      </c>
      <c r="L309" s="1">
        <f ca="1">IFERROR(__xludf.DUMMYFUNCTION("""COMPUTED_VALUE"""),2.55)</f>
        <v>2.5499999999999998</v>
      </c>
      <c r="T309" s="1">
        <f ca="1">IFERROR(__xludf.DUMMYFUNCTION("""COMPUTED_VALUE"""),489488)</f>
        <v>489488</v>
      </c>
      <c r="U309" s="1">
        <f ca="1">IFERROR(__xludf.DUMMYFUNCTION("""COMPUTED_VALUE"""),5.1)</f>
        <v>5.0999999999999996</v>
      </c>
    </row>
    <row r="310" spans="1:21" ht="12.75" x14ac:dyDescent="0.2">
      <c r="A310" s="3">
        <f ca="1">IFERROR(__xludf.DUMMYFUNCTION("""COMPUTED_VALUE"""),40148.4576388888)</f>
        <v>40148.457638888802</v>
      </c>
      <c r="B310" s="1">
        <f ca="1">IFERROR(__xludf.DUMMYFUNCTION("""COMPUTED_VALUE"""),8.95)</f>
        <v>8.9499999999999993</v>
      </c>
      <c r="E310" s="1" t="str">
        <f ca="1">IFERROR(__xludf.DUMMYFUNCTION("""COMPUTED_VALUE"""),"ANT WHITE WIRE HEART SPIRAL")</f>
        <v>ANT WHITE WIRE HEART SPIRAL</v>
      </c>
      <c r="F310" s="1">
        <f ca="1">IFERROR(__xludf.DUMMYFUNCTION("""COMPUTED_VALUE"""),5)</f>
        <v>5</v>
      </c>
      <c r="G310" s="1">
        <f ca="1">IFERROR(__xludf.DUMMYFUNCTION("""COMPUTED_VALUE"""),3.95)</f>
        <v>3.95</v>
      </c>
      <c r="J310" s="1" t="str">
        <f ca="1">IFERROR(__xludf.DUMMYFUNCTION("""COMPUTED_VALUE"""),"WHITE GLASS CHUNKY CHARM BRACELET")</f>
        <v>WHITE GLASS CHUNKY CHARM BRACELET</v>
      </c>
      <c r="K310" s="1">
        <f ca="1">IFERROR(__xludf.DUMMYFUNCTION("""COMPUTED_VALUE"""),2)</f>
        <v>2</v>
      </c>
      <c r="L310" s="1">
        <f ca="1">IFERROR(__xludf.DUMMYFUNCTION("""COMPUTED_VALUE"""),8.95)</f>
        <v>8.9499999999999993</v>
      </c>
      <c r="T310" s="1">
        <f ca="1">IFERROR(__xludf.DUMMYFUNCTION("""COMPUTED_VALUE"""),489488)</f>
        <v>489488</v>
      </c>
      <c r="U310" s="1">
        <f ca="1">IFERROR(__xludf.DUMMYFUNCTION("""COMPUTED_VALUE"""),17.9)</f>
        <v>17.899999999999999</v>
      </c>
    </row>
    <row r="311" spans="1:21" ht="12.75" x14ac:dyDescent="0.2">
      <c r="A311" s="3">
        <f ca="1">IFERROR(__xludf.DUMMYFUNCTION("""COMPUTED_VALUE"""),40148.4576388888)</f>
        <v>40148.457638888802</v>
      </c>
      <c r="B311" s="1">
        <f ca="1">IFERROR(__xludf.DUMMYFUNCTION("""COMPUTED_VALUE"""),8.95)</f>
        <v>8.9499999999999993</v>
      </c>
      <c r="E311" s="1" t="str">
        <f ca="1">IFERROR(__xludf.DUMMYFUNCTION("""COMPUTED_VALUE"""),"GREEN ROSE WASHBAG")</f>
        <v>GREEN ROSE WASHBAG</v>
      </c>
      <c r="F311" s="1">
        <f ca="1">IFERROR(__xludf.DUMMYFUNCTION("""COMPUTED_VALUE"""),4)</f>
        <v>4</v>
      </c>
      <c r="G311" s="1">
        <f ca="1">IFERROR(__xludf.DUMMYFUNCTION("""COMPUTED_VALUE"""),3.75)</f>
        <v>3.75</v>
      </c>
      <c r="J311" s="1" t="str">
        <f ca="1">IFERROR(__xludf.DUMMYFUNCTION("""COMPUTED_VALUE"""),"BLACK GEMSTONE BRACELET")</f>
        <v>BLACK GEMSTONE BRACELET</v>
      </c>
      <c r="K311" s="1">
        <f ca="1">IFERROR(__xludf.DUMMYFUNCTION("""COMPUTED_VALUE"""),2)</f>
        <v>2</v>
      </c>
      <c r="L311" s="1">
        <f ca="1">IFERROR(__xludf.DUMMYFUNCTION("""COMPUTED_VALUE"""),8.95)</f>
        <v>8.9499999999999993</v>
      </c>
      <c r="T311" s="1">
        <f ca="1">IFERROR(__xludf.DUMMYFUNCTION("""COMPUTED_VALUE"""),489488)</f>
        <v>489488</v>
      </c>
      <c r="U311" s="1">
        <f ca="1">IFERROR(__xludf.DUMMYFUNCTION("""COMPUTED_VALUE"""),17.9)</f>
        <v>17.899999999999999</v>
      </c>
    </row>
    <row r="312" spans="1:21" ht="12.75" x14ac:dyDescent="0.2">
      <c r="A312" s="3">
        <f ca="1">IFERROR(__xludf.DUMMYFUNCTION("""COMPUTED_VALUE"""),40148.4576388888)</f>
        <v>40148.457638888802</v>
      </c>
      <c r="B312" s="1">
        <f ca="1">IFERROR(__xludf.DUMMYFUNCTION("""COMPUTED_VALUE"""),12.75)</f>
        <v>12.75</v>
      </c>
      <c r="E312" s="1" t="str">
        <f ca="1">IFERROR(__xludf.DUMMYFUNCTION("""COMPUTED_VALUE"""),"GREEN VINTAGE EARRINGS")</f>
        <v>GREEN VINTAGE EARRINGS</v>
      </c>
      <c r="F312" s="1">
        <f ca="1">IFERROR(__xludf.DUMMYFUNCTION("""COMPUTED_VALUE"""),4)</f>
        <v>4</v>
      </c>
      <c r="G312" s="1">
        <f ca="1">IFERROR(__xludf.DUMMYFUNCTION("""COMPUTED_VALUE"""),3.75)</f>
        <v>3.75</v>
      </c>
      <c r="J312" s="1" t="str">
        <f ca="1">IFERROR(__xludf.DUMMYFUNCTION("""COMPUTED_VALUE"""),"CARNIVAL BRACELET")</f>
        <v>CARNIVAL BRACELET</v>
      </c>
      <c r="K312" s="1">
        <f ca="1">IFERROR(__xludf.DUMMYFUNCTION("""COMPUTED_VALUE"""),2)</f>
        <v>2</v>
      </c>
      <c r="L312" s="1">
        <f ca="1">IFERROR(__xludf.DUMMYFUNCTION("""COMPUTED_VALUE"""),12.75)</f>
        <v>12.75</v>
      </c>
      <c r="T312" s="1">
        <f ca="1">IFERROR(__xludf.DUMMYFUNCTION("""COMPUTED_VALUE"""),489488)</f>
        <v>489488</v>
      </c>
      <c r="U312" s="1">
        <f ca="1">IFERROR(__xludf.DUMMYFUNCTION("""COMPUTED_VALUE"""),25.5)</f>
        <v>25.5</v>
      </c>
    </row>
    <row r="313" spans="1:21" ht="12.75" x14ac:dyDescent="0.2">
      <c r="A313" s="3">
        <f ca="1">IFERROR(__xludf.DUMMYFUNCTION("""COMPUTED_VALUE"""),40148.4576388888)</f>
        <v>40148.457638888802</v>
      </c>
      <c r="B313" s="1">
        <f ca="1">IFERROR(__xludf.DUMMYFUNCTION("""COMPUTED_VALUE"""),1.95)</f>
        <v>1.95</v>
      </c>
      <c r="E313" s="1" t="str">
        <f ca="1">IFERROR(__xludf.DUMMYFUNCTION("""COMPUTED_VALUE"""),"FILIGREE DIAMANTE EARRINGS")</f>
        <v>FILIGREE DIAMANTE EARRINGS</v>
      </c>
      <c r="F313" s="1">
        <f ca="1">IFERROR(__xludf.DUMMYFUNCTION("""COMPUTED_VALUE"""),2)</f>
        <v>2</v>
      </c>
      <c r="G313" s="1">
        <f ca="1">IFERROR(__xludf.DUMMYFUNCTION("""COMPUTED_VALUE"""),4.25)</f>
        <v>4.25</v>
      </c>
      <c r="J313" s="1" t="str">
        <f ca="1">IFERROR(__xludf.DUMMYFUNCTION("""COMPUTED_VALUE"""),"JUMBO STORAGE BAG SKULLS")</f>
        <v>JUMBO STORAGE BAG SKULLS</v>
      </c>
      <c r="K313" s="1">
        <f ca="1">IFERROR(__xludf.DUMMYFUNCTION("""COMPUTED_VALUE"""),2)</f>
        <v>2</v>
      </c>
      <c r="L313" s="1">
        <f ca="1">IFERROR(__xludf.DUMMYFUNCTION("""COMPUTED_VALUE"""),1.95)</f>
        <v>1.95</v>
      </c>
      <c r="T313" s="1">
        <f ca="1">IFERROR(__xludf.DUMMYFUNCTION("""COMPUTED_VALUE"""),489488)</f>
        <v>489488</v>
      </c>
      <c r="U313" s="1">
        <f ca="1">IFERROR(__xludf.DUMMYFUNCTION("""COMPUTED_VALUE"""),3.9)</f>
        <v>3.9</v>
      </c>
    </row>
    <row r="314" spans="1:21" ht="12.75" x14ac:dyDescent="0.2">
      <c r="A314" s="3">
        <f ca="1">IFERROR(__xludf.DUMMYFUNCTION("""COMPUTED_VALUE"""),40148.4576388888)</f>
        <v>40148.457638888802</v>
      </c>
      <c r="B314" s="1">
        <f ca="1">IFERROR(__xludf.DUMMYFUNCTION("""COMPUTED_VALUE"""),4.65)</f>
        <v>4.6500000000000004</v>
      </c>
      <c r="E314" s="1" t="str">
        <f ca="1">IFERROR(__xludf.DUMMYFUNCTION("""COMPUTED_VALUE"""),"PINK HEART CANDY BUTTON CALCULATOR")</f>
        <v>PINK HEART CANDY BUTTON CALCULATOR</v>
      </c>
      <c r="F314" s="1">
        <f ca="1">IFERROR(__xludf.DUMMYFUNCTION("""COMPUTED_VALUE"""),54)</f>
        <v>54</v>
      </c>
      <c r="G314" s="1">
        <f ca="1">IFERROR(__xludf.DUMMYFUNCTION("""COMPUTED_VALUE"""),2.55)</f>
        <v>2.5499999999999998</v>
      </c>
      <c r="J314" s="1" t="str">
        <f ca="1">IFERROR(__xludf.DUMMYFUNCTION("""COMPUTED_VALUE"""),"CHARLIE LOLA BLUE HOT WATER BOTTLE")</f>
        <v>CHARLIE LOLA BLUE HOT WATER BOTTLE</v>
      </c>
      <c r="K314" s="1">
        <f ca="1">IFERROR(__xludf.DUMMYFUNCTION("""COMPUTED_VALUE"""),1)</f>
        <v>1</v>
      </c>
      <c r="L314" s="1">
        <f ca="1">IFERROR(__xludf.DUMMYFUNCTION("""COMPUTED_VALUE"""),4.65)</f>
        <v>4.6500000000000004</v>
      </c>
      <c r="T314" s="1">
        <f ca="1">IFERROR(__xludf.DUMMYFUNCTION("""COMPUTED_VALUE"""),489488)</f>
        <v>489488</v>
      </c>
      <c r="U314" s="1">
        <f ca="1">IFERROR(__xludf.DUMMYFUNCTION("""COMPUTED_VALUE"""),4.65)</f>
        <v>4.6500000000000004</v>
      </c>
    </row>
    <row r="315" spans="1:21" ht="12.75" x14ac:dyDescent="0.2">
      <c r="A315" s="3">
        <f ca="1">IFERROR(__xludf.DUMMYFUNCTION("""COMPUTED_VALUE"""),40148.4576388888)</f>
        <v>40148.457638888802</v>
      </c>
      <c r="B315" s="1">
        <f ca="1">IFERROR(__xludf.DUMMYFUNCTION("""COMPUTED_VALUE"""),2.95)</f>
        <v>2.95</v>
      </c>
      <c r="E315" s="1" t="str">
        <f ca="1">IFERROR(__xludf.DUMMYFUNCTION("""COMPUTED_VALUE"""),"GRAND CHOCOLATECANDLE")</f>
        <v>GRAND CHOCOLATECANDLE</v>
      </c>
      <c r="F315" s="1">
        <f ca="1">IFERROR(__xludf.DUMMYFUNCTION("""COMPUTED_VALUE"""),36)</f>
        <v>36</v>
      </c>
      <c r="G315" s="1">
        <f ca="1">IFERROR(__xludf.DUMMYFUNCTION("""COMPUTED_VALUE"""),1.45)</f>
        <v>1.45</v>
      </c>
      <c r="J315" s="1" t="str">
        <f ca="1">IFERROR(__xludf.DUMMYFUNCTION("""COMPUTED_VALUE"""),"CHARLIE+LOLA PINK HOT WATER BOTTLE")</f>
        <v>CHARLIE+LOLA PINK HOT WATER BOTTLE</v>
      </c>
      <c r="K315" s="1">
        <f ca="1">IFERROR(__xludf.DUMMYFUNCTION("""COMPUTED_VALUE"""),1)</f>
        <v>1</v>
      </c>
      <c r="L315" s="1">
        <f ca="1">IFERROR(__xludf.DUMMYFUNCTION("""COMPUTED_VALUE"""),2.95)</f>
        <v>2.95</v>
      </c>
      <c r="T315" s="1">
        <f ca="1">IFERROR(__xludf.DUMMYFUNCTION("""COMPUTED_VALUE"""),489488)</f>
        <v>489488</v>
      </c>
      <c r="U315" s="1">
        <f ca="1">IFERROR(__xludf.DUMMYFUNCTION("""COMPUTED_VALUE"""),2.95)</f>
        <v>2.95</v>
      </c>
    </row>
    <row r="316" spans="1:21" ht="12.75" x14ac:dyDescent="0.2">
      <c r="A316" s="3">
        <f ca="1">IFERROR(__xludf.DUMMYFUNCTION("""COMPUTED_VALUE"""),40148.4576388888)</f>
        <v>40148.457638888802</v>
      </c>
      <c r="B316" s="1">
        <f ca="1">IFERROR(__xludf.DUMMYFUNCTION("""COMPUTED_VALUE"""),2.95)</f>
        <v>2.95</v>
      </c>
      <c r="E316" s="1" t="str">
        <f ca="1">IFERROR(__xludf.DUMMYFUNCTION("""COMPUTED_VALUE"""),"WHITE CHOCOLATE SCENT CANDLE")</f>
        <v>WHITE CHOCOLATE SCENT CANDLE</v>
      </c>
      <c r="F316" s="1">
        <f ca="1">IFERROR(__xludf.DUMMYFUNCTION("""COMPUTED_VALUE"""),12)</f>
        <v>12</v>
      </c>
      <c r="G316" s="1">
        <f ca="1">IFERROR(__xludf.DUMMYFUNCTION("""COMPUTED_VALUE"""),1.25)</f>
        <v>1.25</v>
      </c>
      <c r="J316" s="1" t="str">
        <f ca="1">IFERROR(__xludf.DUMMYFUNCTION("""COMPUTED_VALUE"""),"CHARLIE + LOLA RED HOT WATER BOTTLE")</f>
        <v>CHARLIE + LOLA RED HOT WATER BOTTLE</v>
      </c>
      <c r="K316" s="1">
        <f ca="1">IFERROR(__xludf.DUMMYFUNCTION("""COMPUTED_VALUE"""),1)</f>
        <v>1</v>
      </c>
      <c r="L316" s="1">
        <f ca="1">IFERROR(__xludf.DUMMYFUNCTION("""COMPUTED_VALUE"""),2.95)</f>
        <v>2.95</v>
      </c>
      <c r="T316" s="1">
        <f ca="1">IFERROR(__xludf.DUMMYFUNCTION("""COMPUTED_VALUE"""),489488)</f>
        <v>489488</v>
      </c>
      <c r="U316" s="1">
        <f ca="1">IFERROR(__xludf.DUMMYFUNCTION("""COMPUTED_VALUE"""),2.95)</f>
        <v>2.95</v>
      </c>
    </row>
    <row r="317" spans="1:21" ht="12.75" x14ac:dyDescent="0.2">
      <c r="A317" s="3">
        <f ca="1">IFERROR(__xludf.DUMMYFUNCTION("""COMPUTED_VALUE"""),40148.4576388888)</f>
        <v>40148.457638888802</v>
      </c>
      <c r="B317" s="1">
        <f ca="1">IFERROR(__xludf.DUMMYFUNCTION("""COMPUTED_VALUE"""),3.75)</f>
        <v>3.75</v>
      </c>
      <c r="E317" s="1" t="str">
        <f ca="1">IFERROR(__xludf.DUMMYFUNCTION("""COMPUTED_VALUE"""),"PARTY METAL SIGN")</f>
        <v>PARTY METAL SIGN</v>
      </c>
      <c r="F317" s="1">
        <f ca="1">IFERROR(__xludf.DUMMYFUNCTION("""COMPUTED_VALUE"""),12)</f>
        <v>12</v>
      </c>
      <c r="G317" s="1">
        <f ca="1">IFERROR(__xludf.DUMMYFUNCTION("""COMPUTED_VALUE"""),1.45)</f>
        <v>1.45</v>
      </c>
      <c r="J317" s="1" t="str">
        <f ca="1">IFERROR(__xludf.DUMMYFUNCTION("""COMPUTED_VALUE"""),"GREY FLORAL FELTCRAFT SHOULDER BAG")</f>
        <v>GREY FLORAL FELTCRAFT SHOULDER BAG</v>
      </c>
      <c r="K317" s="1">
        <f ca="1">IFERROR(__xludf.DUMMYFUNCTION("""COMPUTED_VALUE"""),1)</f>
        <v>1</v>
      </c>
      <c r="L317" s="1">
        <f ca="1">IFERROR(__xludf.DUMMYFUNCTION("""COMPUTED_VALUE"""),3.75)</f>
        <v>3.75</v>
      </c>
      <c r="T317" s="1">
        <f ca="1">IFERROR(__xludf.DUMMYFUNCTION("""COMPUTED_VALUE"""),489488)</f>
        <v>489488</v>
      </c>
      <c r="U317" s="1">
        <f ca="1">IFERROR(__xludf.DUMMYFUNCTION("""COMPUTED_VALUE"""),3.75)</f>
        <v>3.75</v>
      </c>
    </row>
    <row r="318" spans="1:21" ht="12.75" x14ac:dyDescent="0.2">
      <c r="A318" s="3">
        <f ca="1">IFERROR(__xludf.DUMMYFUNCTION("""COMPUTED_VALUE"""),40148.4576388888)</f>
        <v>40148.457638888802</v>
      </c>
      <c r="B318" s="1">
        <f ca="1">IFERROR(__xludf.DUMMYFUNCTION("""COMPUTED_VALUE"""),1.25)</f>
        <v>1.25</v>
      </c>
      <c r="E318" s="1" t="str">
        <f ca="1">IFERROR(__xludf.DUMMYFUNCTION("""COMPUTED_VALUE"""),"NO SINGING METAL SIGN")</f>
        <v>NO SINGING METAL SIGN</v>
      </c>
      <c r="F318" s="1">
        <f ca="1">IFERROR(__xludf.DUMMYFUNCTION("""COMPUTED_VALUE"""),12)</f>
        <v>12</v>
      </c>
      <c r="G318" s="1">
        <f ca="1">IFERROR(__xludf.DUMMYFUNCTION("""COMPUTED_VALUE"""),2.1)</f>
        <v>2.1</v>
      </c>
      <c r="J318" s="1" t="str">
        <f ca="1">IFERROR(__xludf.DUMMYFUNCTION("""COMPUTED_VALUE"""),"PINK BLUE FELT CRAFT TRINKET BOX")</f>
        <v>PINK BLUE FELT CRAFT TRINKET BOX</v>
      </c>
      <c r="K318" s="1">
        <f ca="1">IFERROR(__xludf.DUMMYFUNCTION("""COMPUTED_VALUE"""),1)</f>
        <v>1</v>
      </c>
      <c r="L318" s="1">
        <f ca="1">IFERROR(__xludf.DUMMYFUNCTION("""COMPUTED_VALUE"""),1.25)</f>
        <v>1.25</v>
      </c>
      <c r="T318" s="1">
        <f ca="1">IFERROR(__xludf.DUMMYFUNCTION("""COMPUTED_VALUE"""),489488)</f>
        <v>489488</v>
      </c>
      <c r="U318" s="1">
        <f ca="1">IFERROR(__xludf.DUMMYFUNCTION("""COMPUTED_VALUE"""),1.25)</f>
        <v>1.25</v>
      </c>
    </row>
    <row r="319" spans="1:21" ht="12.75" x14ac:dyDescent="0.2">
      <c r="A319" s="3">
        <f ca="1">IFERROR(__xludf.DUMMYFUNCTION("""COMPUTED_VALUE"""),40148.4576388888)</f>
        <v>40148.457638888802</v>
      </c>
      <c r="B319" s="1">
        <f ca="1">IFERROR(__xludf.DUMMYFUNCTION("""COMPUTED_VALUE"""),5.95)</f>
        <v>5.95</v>
      </c>
      <c r="E319" s="1" t="str">
        <f ca="1">IFERROR(__xludf.DUMMYFUNCTION("""COMPUTED_VALUE"""),"PAINTED BIRD ASSORTED CHRISTMAS")</f>
        <v>PAINTED BIRD ASSORTED CHRISTMAS</v>
      </c>
      <c r="F319" s="1">
        <f ca="1">IFERROR(__xludf.DUMMYFUNCTION("""COMPUTED_VALUE"""),12)</f>
        <v>12</v>
      </c>
      <c r="G319" s="1">
        <f ca="1">IFERROR(__xludf.DUMMYFUNCTION("""COMPUTED_VALUE"""),1.69)</f>
        <v>1.69</v>
      </c>
      <c r="J319" s="1" t="str">
        <f ca="1">IFERROR(__xludf.DUMMYFUNCTION("""COMPUTED_VALUE"""),"UNION JACK HOT WATER BOTTLE")</f>
        <v>UNION JACK HOT WATER BOTTLE</v>
      </c>
      <c r="K319" s="1">
        <f ca="1">IFERROR(__xludf.DUMMYFUNCTION("""COMPUTED_VALUE"""),1)</f>
        <v>1</v>
      </c>
      <c r="L319" s="1">
        <f ca="1">IFERROR(__xludf.DUMMYFUNCTION("""COMPUTED_VALUE"""),5.95)</f>
        <v>5.95</v>
      </c>
      <c r="T319" s="1">
        <f ca="1">IFERROR(__xludf.DUMMYFUNCTION("""COMPUTED_VALUE"""),489488)</f>
        <v>489488</v>
      </c>
      <c r="U319" s="1">
        <f ca="1">IFERROR(__xludf.DUMMYFUNCTION("""COMPUTED_VALUE"""),5.95)</f>
        <v>5.95</v>
      </c>
    </row>
    <row r="320" spans="1:21" ht="12.75" x14ac:dyDescent="0.2">
      <c r="A320" s="3">
        <f ca="1">IFERROR(__xludf.DUMMYFUNCTION("""COMPUTED_VALUE"""),40148.4611111111)</f>
        <v>40148.461111111101</v>
      </c>
      <c r="B320" s="1">
        <f ca="1">IFERROR(__xludf.DUMMYFUNCTION("""COMPUTED_VALUE"""),4.95)</f>
        <v>4.95</v>
      </c>
      <c r="E320" s="1" t="str">
        <f ca="1">IFERROR(__xludf.DUMMYFUNCTION("""COMPUTED_VALUE"""),"ZINC METAL HEART DECORATION")</f>
        <v>ZINC METAL HEART DECORATION</v>
      </c>
      <c r="F320" s="1">
        <f ca="1">IFERROR(__xludf.DUMMYFUNCTION("""COMPUTED_VALUE"""),12)</f>
        <v>12</v>
      </c>
      <c r="G320" s="1">
        <f ca="1">IFERROR(__xludf.DUMMYFUNCTION("""COMPUTED_VALUE"""),1.25)</f>
        <v>1.25</v>
      </c>
      <c r="J320" s="1" t="str">
        <f ca="1">IFERROR(__xludf.DUMMYFUNCTION("""COMPUTED_VALUE"""),"RETRO SPOT LARGE MILK JUG")</f>
        <v>RETRO SPOT LARGE MILK JUG</v>
      </c>
      <c r="K320" s="1">
        <f ca="1">IFERROR(__xludf.DUMMYFUNCTION("""COMPUTED_VALUE"""),-1)</f>
        <v>-1</v>
      </c>
      <c r="L320" s="1">
        <f ca="1">IFERROR(__xludf.DUMMYFUNCTION("""COMPUTED_VALUE"""),4.95)</f>
        <v>4.95</v>
      </c>
      <c r="T320" s="1"/>
      <c r="U320" s="1">
        <f ca="1">IFERROR(__xludf.DUMMYFUNCTION("""COMPUTED_VALUE"""),-4.95)</f>
        <v>-4.95</v>
      </c>
    </row>
    <row r="321" spans="1:21" ht="12.75" x14ac:dyDescent="0.2">
      <c r="A321" s="3">
        <f ca="1">IFERROR(__xludf.DUMMYFUNCTION("""COMPUTED_VALUE"""),40148.4611111111)</f>
        <v>40148.461111111101</v>
      </c>
      <c r="B321" s="1">
        <f ca="1">IFERROR(__xludf.DUMMYFUNCTION("""COMPUTED_VALUE"""),4.25)</f>
        <v>4.25</v>
      </c>
      <c r="E321" s="1" t="str">
        <f ca="1">IFERROR(__xludf.DUMMYFUNCTION("""COMPUTED_VALUE"""),"SET OF 2 FANCY FONT TEA TOWELS")</f>
        <v>SET OF 2 FANCY FONT TEA TOWELS</v>
      </c>
      <c r="F321" s="1">
        <f ca="1">IFERROR(__xludf.DUMMYFUNCTION("""COMPUTED_VALUE"""),12)</f>
        <v>12</v>
      </c>
      <c r="G321" s="1">
        <f ca="1">IFERROR(__xludf.DUMMYFUNCTION("""COMPUTED_VALUE"""),2.95)</f>
        <v>2.95</v>
      </c>
      <c r="J321" s="1" t="str">
        <f ca="1">IFERROR(__xludf.DUMMYFUNCTION("""COMPUTED_VALUE"""),"DAIRY MAID CERAMIC BUTTER DISH")</f>
        <v>DAIRY MAID CERAMIC BUTTER DISH</v>
      </c>
      <c r="K321" s="1">
        <f ca="1">IFERROR(__xludf.DUMMYFUNCTION("""COMPUTED_VALUE"""),-2)</f>
        <v>-2</v>
      </c>
      <c r="L321" s="1">
        <f ca="1">IFERROR(__xludf.DUMMYFUNCTION("""COMPUTED_VALUE"""),4.25)</f>
        <v>4.25</v>
      </c>
      <c r="T321" s="1"/>
      <c r="U321" s="1">
        <f ca="1">IFERROR(__xludf.DUMMYFUNCTION("""COMPUTED_VALUE"""),-8.5)</f>
        <v>-8.5</v>
      </c>
    </row>
    <row r="322" spans="1:21" ht="12.75" x14ac:dyDescent="0.2">
      <c r="A322" s="3">
        <f ca="1">IFERROR(__xludf.DUMMYFUNCTION("""COMPUTED_VALUE"""),40148.4652777777)</f>
        <v>40148.465277777701</v>
      </c>
      <c r="B322" s="1">
        <f ca="1">IFERROR(__xludf.DUMMYFUNCTION("""COMPUTED_VALUE"""),2.55)</f>
        <v>2.5499999999999998</v>
      </c>
      <c r="E322" s="1" t="str">
        <f ca="1">IFERROR(__xludf.DUMMYFUNCTION("""COMPUTED_VALUE"""),"RIBBON REEL SPOTS DESIGN")</f>
        <v>RIBBON REEL SPOTS DESIGN</v>
      </c>
      <c r="F322" s="1">
        <f ca="1">IFERROR(__xludf.DUMMYFUNCTION("""COMPUTED_VALUE"""),10)</f>
        <v>10</v>
      </c>
      <c r="G322" s="1">
        <f ca="1">IFERROR(__xludf.DUMMYFUNCTION("""COMPUTED_VALUE"""),1.65)</f>
        <v>1.65</v>
      </c>
      <c r="J322" s="1" t="str">
        <f ca="1">IFERROR(__xludf.DUMMYFUNCTION("""COMPUTED_VALUE"""),"KISS REINDEER SCANDINAVIAN STOCKING")</f>
        <v>KISS REINDEER SCANDINAVIAN STOCKING</v>
      </c>
      <c r="K322" s="1">
        <f ca="1">IFERROR(__xludf.DUMMYFUNCTION("""COMPUTED_VALUE"""),-6)</f>
        <v>-6</v>
      </c>
      <c r="L322" s="1">
        <f ca="1">IFERROR(__xludf.DUMMYFUNCTION("""COMPUTED_VALUE"""),2.55)</f>
        <v>2.5499999999999998</v>
      </c>
      <c r="T322" s="1"/>
      <c r="U322" s="1">
        <f ca="1">IFERROR(__xludf.DUMMYFUNCTION("""COMPUTED_VALUE"""),-15.2999999999999)</f>
        <v>-15.299999999999899</v>
      </c>
    </row>
    <row r="323" spans="1:21" ht="12.75" x14ac:dyDescent="0.2">
      <c r="A323" s="3">
        <f ca="1">IFERROR(__xludf.DUMMYFUNCTION("""COMPUTED_VALUE"""),40148.4701388888)</f>
        <v>40148.470138888799</v>
      </c>
      <c r="B323" s="1">
        <f ca="1">IFERROR(__xludf.DUMMYFUNCTION("""COMPUTED_VALUE"""),1.95)</f>
        <v>1.95</v>
      </c>
      <c r="E323" s="1" t="str">
        <f ca="1">IFERROR(__xludf.DUMMYFUNCTION("""COMPUTED_VALUE"""),"RIBBON REEL STRIPES DESIGN")</f>
        <v>RIBBON REEL STRIPES DESIGN</v>
      </c>
      <c r="F323" s="1">
        <f ca="1">IFERROR(__xludf.DUMMYFUNCTION("""COMPUTED_VALUE"""),10)</f>
        <v>10</v>
      </c>
      <c r="G323" s="1">
        <f ca="1">IFERROR(__xludf.DUMMYFUNCTION("""COMPUTED_VALUE"""),1.65)</f>
        <v>1.65</v>
      </c>
      <c r="J323" s="1" t="str">
        <f ca="1">IFERROR(__xludf.DUMMYFUNCTION("""COMPUTED_VALUE"""),"JUMBO BAG RED WHITE SPOTTY")</f>
        <v>JUMBO BAG RED WHITE SPOTTY</v>
      </c>
      <c r="K323" s="1">
        <f ca="1">IFERROR(__xludf.DUMMYFUNCTION("""COMPUTED_VALUE"""),10)</f>
        <v>10</v>
      </c>
      <c r="L323" s="1">
        <f ca="1">IFERROR(__xludf.DUMMYFUNCTION("""COMPUTED_VALUE"""),1.95)</f>
        <v>1.95</v>
      </c>
      <c r="T323" s="1">
        <f ca="1">IFERROR(__xludf.DUMMYFUNCTION("""COMPUTED_VALUE"""),489505)</f>
        <v>489505</v>
      </c>
      <c r="U323" s="1">
        <f ca="1">IFERROR(__xludf.DUMMYFUNCTION("""COMPUTED_VALUE"""),19.5)</f>
        <v>19.5</v>
      </c>
    </row>
    <row r="324" spans="1:21" ht="12.75" x14ac:dyDescent="0.2">
      <c r="A324" s="3">
        <f ca="1">IFERROR(__xludf.DUMMYFUNCTION("""COMPUTED_VALUE"""),40148.4701388888)</f>
        <v>40148.470138888799</v>
      </c>
      <c r="B324" s="1">
        <f ca="1">IFERROR(__xludf.DUMMYFUNCTION("""COMPUTED_VALUE"""),5.95)</f>
        <v>5.95</v>
      </c>
      <c r="E324" s="1" t="str">
        <f ca="1">IFERROR(__xludf.DUMMYFUNCTION("""COMPUTED_VALUE"""),"HOT WATER BOTTLE TEA AND SYMPATHY")</f>
        <v>HOT WATER BOTTLE TEA AND SYMPATHY</v>
      </c>
      <c r="F324" s="1">
        <f ca="1">IFERROR(__xludf.DUMMYFUNCTION("""COMPUTED_VALUE"""),8)</f>
        <v>8</v>
      </c>
      <c r="G324" s="1">
        <f ca="1">IFERROR(__xludf.DUMMYFUNCTION("""COMPUTED_VALUE"""),3.95)</f>
        <v>3.95</v>
      </c>
      <c r="J324" s="1" t="str">
        <f ca="1">IFERROR(__xludf.DUMMYFUNCTION("""COMPUTED_VALUE"""),"DOOR MAT FAIRY CAKE")</f>
        <v>DOOR MAT FAIRY CAKE</v>
      </c>
      <c r="K324" s="1">
        <f ca="1">IFERROR(__xludf.DUMMYFUNCTION("""COMPUTED_VALUE"""),10)</f>
        <v>10</v>
      </c>
      <c r="L324" s="1">
        <f ca="1">IFERROR(__xludf.DUMMYFUNCTION("""COMPUTED_VALUE"""),5.95)</f>
        <v>5.95</v>
      </c>
      <c r="T324" s="1">
        <f ca="1">IFERROR(__xludf.DUMMYFUNCTION("""COMPUTED_VALUE"""),489505)</f>
        <v>489505</v>
      </c>
      <c r="U324" s="1">
        <f ca="1">IFERROR(__xludf.DUMMYFUNCTION("""COMPUTED_VALUE"""),59.5)</f>
        <v>59.5</v>
      </c>
    </row>
    <row r="325" spans="1:21" ht="12.75" x14ac:dyDescent="0.2">
      <c r="A325" s="3">
        <f ca="1">IFERROR(__xludf.DUMMYFUNCTION("""COMPUTED_VALUE"""),40148.4701388888)</f>
        <v>40148.470138888799</v>
      </c>
      <c r="B325" s="1">
        <f ca="1">IFERROR(__xludf.DUMMYFUNCTION("""COMPUTED_VALUE"""),1.95)</f>
        <v>1.95</v>
      </c>
      <c r="E325" s="1" t="str">
        <f ca="1">IFERROR(__xludf.DUMMYFUNCTION("""COMPUTED_VALUE"""),"FOUR HOOK  WHITE LOVEBIRDS")</f>
        <v>FOUR HOOK  WHITE LOVEBIRDS</v>
      </c>
      <c r="F325" s="1">
        <f ca="1">IFERROR(__xludf.DUMMYFUNCTION("""COMPUTED_VALUE"""),6)</f>
        <v>6</v>
      </c>
      <c r="G325" s="1">
        <f ca="1">IFERROR(__xludf.DUMMYFUNCTION("""COMPUTED_VALUE"""),2.1)</f>
        <v>2.1</v>
      </c>
      <c r="J325" s="1" t="str">
        <f ca="1">IFERROR(__xludf.DUMMYFUNCTION("""COMPUTED_VALUE"""),"JUMBO BAG PINK VINTAGE PAISLEY")</f>
        <v>JUMBO BAG PINK VINTAGE PAISLEY</v>
      </c>
      <c r="K325" s="1">
        <f ca="1">IFERROR(__xludf.DUMMYFUNCTION("""COMPUTED_VALUE"""),10)</f>
        <v>10</v>
      </c>
      <c r="L325" s="1">
        <f ca="1">IFERROR(__xludf.DUMMYFUNCTION("""COMPUTED_VALUE"""),1.95)</f>
        <v>1.95</v>
      </c>
      <c r="T325" s="1">
        <f ca="1">IFERROR(__xludf.DUMMYFUNCTION("""COMPUTED_VALUE"""),489505)</f>
        <v>489505</v>
      </c>
      <c r="U325" s="1">
        <f ca="1">IFERROR(__xludf.DUMMYFUNCTION("""COMPUTED_VALUE"""),19.5)</f>
        <v>19.5</v>
      </c>
    </row>
    <row r="326" spans="1:21" ht="12.75" x14ac:dyDescent="0.2">
      <c r="A326" s="3">
        <f ca="1">IFERROR(__xludf.DUMMYFUNCTION("""COMPUTED_VALUE"""),40148.4701388888)</f>
        <v>40148.470138888799</v>
      </c>
      <c r="B326" s="1">
        <f ca="1">IFERROR(__xludf.DUMMYFUNCTION("""COMPUTED_VALUE"""),3.75)</f>
        <v>3.75</v>
      </c>
      <c r="E326" s="1" t="str">
        <f ca="1">IFERROR(__xludf.DUMMYFUNCTION("""COMPUTED_VALUE"""),"GLITTER BUTTERFLY CLIPS")</f>
        <v>GLITTER BUTTERFLY CLIPS</v>
      </c>
      <c r="F326" s="1">
        <f ca="1">IFERROR(__xludf.DUMMYFUNCTION("""COMPUTED_VALUE"""),6)</f>
        <v>6</v>
      </c>
      <c r="G326" s="1">
        <f ca="1">IFERROR(__xludf.DUMMYFUNCTION("""COMPUTED_VALUE"""),2.55)</f>
        <v>2.5499999999999998</v>
      </c>
      <c r="J326" s="1" t="str">
        <f ca="1">IFERROR(__xludf.DUMMYFUNCTION("""COMPUTED_VALUE"""),"LADYBIRD + BEE RAFFIA FOOD COVER")</f>
        <v>LADYBIRD + BEE RAFFIA FOOD COVER</v>
      </c>
      <c r="K326" s="1">
        <f ca="1">IFERROR(__xludf.DUMMYFUNCTION("""COMPUTED_VALUE"""),6)</f>
        <v>6</v>
      </c>
      <c r="L326" s="1">
        <f ca="1">IFERROR(__xludf.DUMMYFUNCTION("""COMPUTED_VALUE"""),3.75)</f>
        <v>3.75</v>
      </c>
      <c r="T326" s="1">
        <f ca="1">IFERROR(__xludf.DUMMYFUNCTION("""COMPUTED_VALUE"""),489505)</f>
        <v>489505</v>
      </c>
      <c r="U326" s="1">
        <f ca="1">IFERROR(__xludf.DUMMYFUNCTION("""COMPUTED_VALUE"""),22.5)</f>
        <v>22.5</v>
      </c>
    </row>
    <row r="327" spans="1:21" ht="12.75" x14ac:dyDescent="0.2">
      <c r="A327" s="3">
        <f ca="1">IFERROR(__xludf.DUMMYFUNCTION("""COMPUTED_VALUE"""),40148.4701388888)</f>
        <v>40148.470138888799</v>
      </c>
      <c r="B327" s="1">
        <f ca="1">IFERROR(__xludf.DUMMYFUNCTION("""COMPUTED_VALUE"""),4.95)</f>
        <v>4.95</v>
      </c>
      <c r="E327" s="1" t="str">
        <f ca="1">IFERROR(__xludf.DUMMYFUNCTION("""COMPUTED_VALUE"""),"PLEASE ONE PERSON  METAL SIGN")</f>
        <v>PLEASE ONE PERSON  METAL SIGN</v>
      </c>
      <c r="F327" s="1">
        <f ca="1">IFERROR(__xludf.DUMMYFUNCTION("""COMPUTED_VALUE"""),6)</f>
        <v>6</v>
      </c>
      <c r="G327" s="1">
        <f ca="1">IFERROR(__xludf.DUMMYFUNCTION("""COMPUTED_VALUE"""),2.1)</f>
        <v>2.1</v>
      </c>
      <c r="J327" s="1" t="str">
        <f ca="1">IFERROR(__xludf.DUMMYFUNCTION("""COMPUTED_VALUE"""),"RETRO SPOT TEA SET CERAMIC 11 PC")</f>
        <v>RETRO SPOT TEA SET CERAMIC 11 PC</v>
      </c>
      <c r="K327" s="1">
        <f ca="1">IFERROR(__xludf.DUMMYFUNCTION("""COMPUTED_VALUE"""),6)</f>
        <v>6</v>
      </c>
      <c r="L327" s="1">
        <f ca="1">IFERROR(__xludf.DUMMYFUNCTION("""COMPUTED_VALUE"""),4.95)</f>
        <v>4.95</v>
      </c>
      <c r="T327" s="1">
        <f ca="1">IFERROR(__xludf.DUMMYFUNCTION("""COMPUTED_VALUE"""),489505)</f>
        <v>489505</v>
      </c>
      <c r="U327" s="1">
        <f ca="1">IFERROR(__xludf.DUMMYFUNCTION("""COMPUTED_VALUE"""),29.7)</f>
        <v>29.7</v>
      </c>
    </row>
    <row r="328" spans="1:21" ht="12.75" x14ac:dyDescent="0.2">
      <c r="A328" s="3">
        <f ca="1">IFERROR(__xludf.DUMMYFUNCTION("""COMPUTED_VALUE"""),40148.4701388888)</f>
        <v>40148.470138888799</v>
      </c>
      <c r="B328" s="1">
        <f ca="1">IFERROR(__xludf.DUMMYFUNCTION("""COMPUTED_VALUE"""),2.95)</f>
        <v>2.95</v>
      </c>
      <c r="E328" s="1" t="str">
        <f ca="1">IFERROR(__xludf.DUMMYFUNCTION("""COMPUTED_VALUE"""),"PAPER BUNTING VINTAGE PAISLEY")</f>
        <v>PAPER BUNTING VINTAGE PAISLEY</v>
      </c>
      <c r="F328" s="1">
        <f ca="1">IFERROR(__xludf.DUMMYFUNCTION("""COMPUTED_VALUE"""),6)</f>
        <v>6</v>
      </c>
      <c r="G328" s="1">
        <f ca="1">IFERROR(__xludf.DUMMYFUNCTION("""COMPUTED_VALUE"""),2.95)</f>
        <v>2.95</v>
      </c>
      <c r="J328" s="1" t="str">
        <f ca="1">IFERROR(__xludf.DUMMYFUNCTION("""COMPUTED_VALUE"""),"PAPER CHAIN KIT 50'S CHRISTMAS")</f>
        <v>PAPER CHAIN KIT 50'S CHRISTMAS</v>
      </c>
      <c r="K328" s="1">
        <f ca="1">IFERROR(__xludf.DUMMYFUNCTION("""COMPUTED_VALUE"""),6)</f>
        <v>6</v>
      </c>
      <c r="L328" s="1">
        <f ca="1">IFERROR(__xludf.DUMMYFUNCTION("""COMPUTED_VALUE"""),2.95)</f>
        <v>2.95</v>
      </c>
      <c r="T328" s="1">
        <f ca="1">IFERROR(__xludf.DUMMYFUNCTION("""COMPUTED_VALUE"""),489505)</f>
        <v>489505</v>
      </c>
      <c r="U328" s="1">
        <f ca="1">IFERROR(__xludf.DUMMYFUNCTION("""COMPUTED_VALUE"""),17.7)</f>
        <v>17.7</v>
      </c>
    </row>
    <row r="329" spans="1:21" ht="12.75" x14ac:dyDescent="0.2">
      <c r="A329" s="3">
        <f ca="1">IFERROR(__xludf.DUMMYFUNCTION("""COMPUTED_VALUE"""),40148.4701388888)</f>
        <v>40148.470138888799</v>
      </c>
      <c r="B329" s="1">
        <f ca="1">IFERROR(__xludf.DUMMYFUNCTION("""COMPUTED_VALUE"""),4.65)</f>
        <v>4.6500000000000004</v>
      </c>
      <c r="E329" s="1" t="str">
        <f ca="1">IFERROR(__xludf.DUMMYFUNCTION("""COMPUTED_VALUE"""),"PAPER CHAIN KIT RETRO SPOT")</f>
        <v>PAPER CHAIN KIT RETRO SPOT</v>
      </c>
      <c r="F329" s="1">
        <f ca="1">IFERROR(__xludf.DUMMYFUNCTION("""COMPUTED_VALUE"""),6)</f>
        <v>6</v>
      </c>
      <c r="G329" s="1">
        <f ca="1">IFERROR(__xludf.DUMMYFUNCTION("""COMPUTED_VALUE"""),2.95)</f>
        <v>2.95</v>
      </c>
      <c r="J329" s="1" t="str">
        <f ca="1">IFERROR(__xludf.DUMMYFUNCTION("""COMPUTED_VALUE"""),"TEA TIME PARTY BUNTING")</f>
        <v>TEA TIME PARTY BUNTING</v>
      </c>
      <c r="K329" s="1">
        <f ca="1">IFERROR(__xludf.DUMMYFUNCTION("""COMPUTED_VALUE"""),5)</f>
        <v>5</v>
      </c>
      <c r="L329" s="1">
        <f ca="1">IFERROR(__xludf.DUMMYFUNCTION("""COMPUTED_VALUE"""),4.65)</f>
        <v>4.6500000000000004</v>
      </c>
      <c r="T329" s="1">
        <f ca="1">IFERROR(__xludf.DUMMYFUNCTION("""COMPUTED_VALUE"""),489505)</f>
        <v>489505</v>
      </c>
      <c r="U329" s="1">
        <f ca="1">IFERROR(__xludf.DUMMYFUNCTION("""COMPUTED_VALUE"""),23.25)</f>
        <v>23.25</v>
      </c>
    </row>
    <row r="330" spans="1:21" ht="12.75" x14ac:dyDescent="0.2">
      <c r="A330" s="3">
        <f ca="1">IFERROR(__xludf.DUMMYFUNCTION("""COMPUTED_VALUE"""),40148.4701388888)</f>
        <v>40148.470138888799</v>
      </c>
      <c r="B330" s="1">
        <f ca="1">IFERROR(__xludf.DUMMYFUNCTION("""COMPUTED_VALUE"""),8.5)</f>
        <v>8.5</v>
      </c>
      <c r="E330" s="1" t="str">
        <f ca="1">IFERROR(__xludf.DUMMYFUNCTION("""COMPUTED_VALUE"""),"PAPER CHAIN KIT 50'S CHRISTMAS")</f>
        <v>PAPER CHAIN KIT 50'S CHRISTMAS</v>
      </c>
      <c r="F330" s="1">
        <f ca="1">IFERROR(__xludf.DUMMYFUNCTION("""COMPUTED_VALUE"""),6)</f>
        <v>6</v>
      </c>
      <c r="G330" s="1">
        <f ca="1">IFERROR(__xludf.DUMMYFUNCTION("""COMPUTED_VALUE"""),2.95)</f>
        <v>2.95</v>
      </c>
      <c r="J330" s="1" t="str">
        <f ca="1">IFERROR(__xludf.DUMMYFUNCTION("""COMPUTED_VALUE"""),"WEEKEND BAG VINTAGE ROSE PAISLEY")</f>
        <v>WEEKEND BAG VINTAGE ROSE PAISLEY</v>
      </c>
      <c r="K330" s="1">
        <f ca="1">IFERROR(__xludf.DUMMYFUNCTION("""COMPUTED_VALUE"""),4)</f>
        <v>4</v>
      </c>
      <c r="L330" s="1">
        <f ca="1">IFERROR(__xludf.DUMMYFUNCTION("""COMPUTED_VALUE"""),8.5)</f>
        <v>8.5</v>
      </c>
      <c r="T330" s="1">
        <f ca="1">IFERROR(__xludf.DUMMYFUNCTION("""COMPUTED_VALUE"""),489505)</f>
        <v>489505</v>
      </c>
      <c r="U330" s="1">
        <f ca="1">IFERROR(__xludf.DUMMYFUNCTION("""COMPUTED_VALUE"""),34)</f>
        <v>34</v>
      </c>
    </row>
    <row r="331" spans="1:21" ht="12.75" x14ac:dyDescent="0.2">
      <c r="A331" s="3">
        <f ca="1">IFERROR(__xludf.DUMMYFUNCTION("""COMPUTED_VALUE"""),40148.4701388888)</f>
        <v>40148.470138888799</v>
      </c>
      <c r="B331" s="1">
        <f ca="1">IFERROR(__xludf.DUMMYFUNCTION("""COMPUTED_VALUE"""),3.75)</f>
        <v>3.75</v>
      </c>
      <c r="E331" s="1" t="str">
        <f ca="1">IFERROR(__xludf.DUMMYFUNCTION("""COMPUTED_VALUE"""),"SET/3 RED GINGHAM ROSE STORAGE BOX")</f>
        <v>SET/3 RED GINGHAM ROSE STORAGE BOX</v>
      </c>
      <c r="F331" s="1">
        <f ca="1">IFERROR(__xludf.DUMMYFUNCTION("""COMPUTED_VALUE"""),4)</f>
        <v>4</v>
      </c>
      <c r="G331" s="1">
        <f ca="1">IFERROR(__xludf.DUMMYFUNCTION("""COMPUTED_VALUE"""),3.75)</f>
        <v>3.75</v>
      </c>
      <c r="J331" s="1" t="str">
        <f ca="1">IFERROR(__xludf.DUMMYFUNCTION("""COMPUTED_VALUE"""),"WHITE SKULL HOT WATER BOTTLE")</f>
        <v>WHITE SKULL HOT WATER BOTTLE</v>
      </c>
      <c r="K331" s="1">
        <f ca="1">IFERROR(__xludf.DUMMYFUNCTION("""COMPUTED_VALUE"""),4)</f>
        <v>4</v>
      </c>
      <c r="L331" s="1">
        <f ca="1">IFERROR(__xludf.DUMMYFUNCTION("""COMPUTED_VALUE"""),3.75)</f>
        <v>3.75</v>
      </c>
      <c r="T331" s="1">
        <f ca="1">IFERROR(__xludf.DUMMYFUNCTION("""COMPUTED_VALUE"""),489505)</f>
        <v>489505</v>
      </c>
      <c r="U331" s="1">
        <f ca="1">IFERROR(__xludf.DUMMYFUNCTION("""COMPUTED_VALUE"""),15)</f>
        <v>15</v>
      </c>
    </row>
    <row r="332" spans="1:21" ht="12.75" x14ac:dyDescent="0.2">
      <c r="A332" s="3">
        <f ca="1">IFERROR(__xludf.DUMMYFUNCTION("""COMPUTED_VALUE"""),40148.4701388888)</f>
        <v>40148.470138888799</v>
      </c>
      <c r="B332" s="1">
        <f ca="1">IFERROR(__xludf.DUMMYFUNCTION("""COMPUTED_VALUE"""),4.95)</f>
        <v>4.95</v>
      </c>
      <c r="E332" s="1" t="str">
        <f ca="1">IFERROR(__xludf.DUMMYFUNCTION("""COMPUTED_VALUE"""),"SET/3 DECOUPAGE STACKING TINS")</f>
        <v>SET/3 DECOUPAGE STACKING TINS</v>
      </c>
      <c r="F332" s="1">
        <f ca="1">IFERROR(__xludf.DUMMYFUNCTION("""COMPUTED_VALUE"""),3)</f>
        <v>3</v>
      </c>
      <c r="G332" s="1">
        <f ca="1">IFERROR(__xludf.DUMMYFUNCTION("""COMPUTED_VALUE"""),4.95)</f>
        <v>4.95</v>
      </c>
      <c r="J332" s="1" t="str">
        <f ca="1">IFERROR(__xludf.DUMMYFUNCTION("""COMPUTED_VALUE"""),"BAKING SET 9 PIECE RETROSPOT")</f>
        <v>BAKING SET 9 PIECE RETROSPOT</v>
      </c>
      <c r="K332" s="1">
        <f ca="1">IFERROR(__xludf.DUMMYFUNCTION("""COMPUTED_VALUE"""),3)</f>
        <v>3</v>
      </c>
      <c r="L332" s="1">
        <f ca="1">IFERROR(__xludf.DUMMYFUNCTION("""COMPUTED_VALUE"""),4.95)</f>
        <v>4.95</v>
      </c>
      <c r="T332" s="1">
        <f ca="1">IFERROR(__xludf.DUMMYFUNCTION("""COMPUTED_VALUE"""),489505)</f>
        <v>489505</v>
      </c>
      <c r="U332" s="1">
        <f ca="1">IFERROR(__xludf.DUMMYFUNCTION("""COMPUTED_VALUE"""),14.85)</f>
        <v>14.85</v>
      </c>
    </row>
    <row r="333" spans="1:21" ht="12.75" x14ac:dyDescent="0.2">
      <c r="A333" s="3">
        <f ca="1">IFERROR(__xludf.DUMMYFUNCTION("""COMPUTED_VALUE"""),40148.4729166666)</f>
        <v>40148.4729166666</v>
      </c>
      <c r="B333" s="1">
        <f ca="1">IFERROR(__xludf.DUMMYFUNCTION("""COMPUTED_VALUE"""),1.06)</f>
        <v>1.06</v>
      </c>
      <c r="E333" s="1" t="str">
        <f ca="1">IFERROR(__xludf.DUMMYFUNCTION("""COMPUTED_VALUE"""),"RED SPOT HEART HOT WATER BOTTLE")</f>
        <v>RED SPOT HEART HOT WATER BOTTLE</v>
      </c>
      <c r="F333" s="1">
        <f ca="1">IFERROR(__xludf.DUMMYFUNCTION("""COMPUTED_VALUE"""),3)</f>
        <v>3</v>
      </c>
      <c r="G333" s="1">
        <f ca="1">IFERROR(__xludf.DUMMYFUNCTION("""COMPUTED_VALUE"""),4.95)</f>
        <v>4.95</v>
      </c>
      <c r="J333" s="1" t="str">
        <f ca="1">IFERROR(__xludf.DUMMYFUNCTION("""COMPUTED_VALUE"""),"VINTAGE HEADS AND TAILS CARD GAME")</f>
        <v>VINTAGE HEADS AND TAILS CARD GAME</v>
      </c>
      <c r="K333" s="1">
        <f ca="1">IFERROR(__xludf.DUMMYFUNCTION("""COMPUTED_VALUE"""),72)</f>
        <v>72</v>
      </c>
      <c r="L333" s="1">
        <f ca="1">IFERROR(__xludf.DUMMYFUNCTION("""COMPUTED_VALUE"""),1.06)</f>
        <v>1.06</v>
      </c>
      <c r="T333" s="1">
        <f ca="1">IFERROR(__xludf.DUMMYFUNCTION("""COMPUTED_VALUE"""),489514)</f>
        <v>489514</v>
      </c>
      <c r="U333" s="1">
        <f ca="1">IFERROR(__xludf.DUMMYFUNCTION("""COMPUTED_VALUE"""),76.32)</f>
        <v>76.319999999999993</v>
      </c>
    </row>
    <row r="334" spans="1:21" ht="12.75" x14ac:dyDescent="0.2">
      <c r="A334" s="3">
        <f ca="1">IFERROR(__xludf.DUMMYFUNCTION("""COMPUTED_VALUE"""),40148.4729166666)</f>
        <v>40148.4729166666</v>
      </c>
      <c r="B334" s="1">
        <f ca="1">IFERROR(__xludf.DUMMYFUNCTION("""COMPUTED_VALUE"""),1.65)</f>
        <v>1.65</v>
      </c>
      <c r="E334" s="1" t="str">
        <f ca="1">IFERROR(__xludf.DUMMYFUNCTION("""COMPUTED_VALUE"""),"CAMOUFLAGE LED TORCH")</f>
        <v>CAMOUFLAGE LED TORCH</v>
      </c>
      <c r="F334" s="1">
        <f ca="1">IFERROR(__xludf.DUMMYFUNCTION("""COMPUTED_VALUE"""),12)</f>
        <v>12</v>
      </c>
      <c r="G334" s="1">
        <f ca="1">IFERROR(__xludf.DUMMYFUNCTION("""COMPUTED_VALUE"""),1.69)</f>
        <v>1.69</v>
      </c>
      <c r="J334" s="1" t="str">
        <f ca="1">IFERROR(__xludf.DUMMYFUNCTION("""COMPUTED_VALUE"""),"PINK FAIRY CAKE CHILD'S APRON")</f>
        <v>PINK FAIRY CAKE CHILD'S APRON</v>
      </c>
      <c r="K334" s="1">
        <f ca="1">IFERROR(__xludf.DUMMYFUNCTION("""COMPUTED_VALUE"""),50)</f>
        <v>50</v>
      </c>
      <c r="L334" s="1">
        <f ca="1">IFERROR(__xludf.DUMMYFUNCTION("""COMPUTED_VALUE"""),1.65)</f>
        <v>1.65</v>
      </c>
      <c r="T334" s="1">
        <f ca="1">IFERROR(__xludf.DUMMYFUNCTION("""COMPUTED_VALUE"""),489514)</f>
        <v>489514</v>
      </c>
      <c r="U334" s="1">
        <f ca="1">IFERROR(__xludf.DUMMYFUNCTION("""COMPUTED_VALUE"""),82.5)</f>
        <v>82.5</v>
      </c>
    </row>
    <row r="335" spans="1:21" ht="12.75" x14ac:dyDescent="0.2">
      <c r="A335" s="3">
        <f ca="1">IFERROR(__xludf.DUMMYFUNCTION("""COMPUTED_VALUE"""),40148.4729166666)</f>
        <v>40148.4729166666</v>
      </c>
      <c r="B335" s="1">
        <f ca="1">IFERROR(__xludf.DUMMYFUNCTION("""COMPUTED_VALUE"""),2.55)</f>
        <v>2.5499999999999998</v>
      </c>
      <c r="E335" s="1" t="str">
        <f ca="1">IFERROR(__xludf.DUMMYFUNCTION("""COMPUTED_VALUE"""),"PAINTED METAL PEARS ASSORTED")</f>
        <v>PAINTED METAL PEARS ASSORTED</v>
      </c>
      <c r="F335" s="1">
        <f ca="1">IFERROR(__xludf.DUMMYFUNCTION("""COMPUTED_VALUE"""),8)</f>
        <v>8</v>
      </c>
      <c r="G335" s="1">
        <f ca="1">IFERROR(__xludf.DUMMYFUNCTION("""COMPUTED_VALUE"""),1.69)</f>
        <v>1.69</v>
      </c>
      <c r="J335" s="1" t="str">
        <f ca="1">IFERROR(__xludf.DUMMYFUNCTION("""COMPUTED_VALUE"""),"CHARLIE+LOLA PINK HOT WATER BOTTLE")</f>
        <v>CHARLIE+LOLA PINK HOT WATER BOTTLE</v>
      </c>
      <c r="K335" s="1">
        <f ca="1">IFERROR(__xludf.DUMMYFUNCTION("""COMPUTED_VALUE"""),36)</f>
        <v>36</v>
      </c>
      <c r="L335" s="1">
        <f ca="1">IFERROR(__xludf.DUMMYFUNCTION("""COMPUTED_VALUE"""),2.55)</f>
        <v>2.5499999999999998</v>
      </c>
      <c r="T335" s="1">
        <f ca="1">IFERROR(__xludf.DUMMYFUNCTION("""COMPUTED_VALUE"""),489514)</f>
        <v>489514</v>
      </c>
      <c r="U335" s="1">
        <f ca="1">IFERROR(__xludf.DUMMYFUNCTION("""COMPUTED_VALUE"""),91.8)</f>
        <v>91.8</v>
      </c>
    </row>
    <row r="336" spans="1:21" ht="12.75" x14ac:dyDescent="0.2">
      <c r="A336" s="3">
        <f ca="1">IFERROR(__xludf.DUMMYFUNCTION("""COMPUTED_VALUE"""),40148.4729166666)</f>
        <v>40148.4729166666</v>
      </c>
      <c r="B336" s="1">
        <f ca="1">IFERROR(__xludf.DUMMYFUNCTION("""COMPUTED_VALUE"""),1.25)</f>
        <v>1.25</v>
      </c>
      <c r="E336" s="1" t="str">
        <f ca="1">IFERROR(__xludf.DUMMYFUNCTION("""COMPUTED_VALUE"""),"ASSORTED COLOUR BIRD ORNAMENT")</f>
        <v>ASSORTED COLOUR BIRD ORNAMENT</v>
      </c>
      <c r="F336" s="1">
        <f ca="1">IFERROR(__xludf.DUMMYFUNCTION("""COMPUTED_VALUE"""),8)</f>
        <v>8</v>
      </c>
      <c r="G336" s="1">
        <f ca="1">IFERROR(__xludf.DUMMYFUNCTION("""COMPUTED_VALUE"""),1.69)</f>
        <v>1.69</v>
      </c>
      <c r="J336" s="1" t="str">
        <f ca="1">IFERROR(__xludf.DUMMYFUNCTION("""COMPUTED_VALUE"""),"MINI CAKE STAND WITH HANGING CAKES")</f>
        <v>MINI CAKE STAND WITH HANGING CAKES</v>
      </c>
      <c r="K336" s="1">
        <f ca="1">IFERROR(__xludf.DUMMYFUNCTION("""COMPUTED_VALUE"""),32)</f>
        <v>32</v>
      </c>
      <c r="L336" s="1">
        <f ca="1">IFERROR(__xludf.DUMMYFUNCTION("""COMPUTED_VALUE"""),1.25)</f>
        <v>1.25</v>
      </c>
      <c r="T336" s="1">
        <f ca="1">IFERROR(__xludf.DUMMYFUNCTION("""COMPUTED_VALUE"""),489514)</f>
        <v>489514</v>
      </c>
      <c r="U336" s="1">
        <f ca="1">IFERROR(__xludf.DUMMYFUNCTION("""COMPUTED_VALUE"""),40)</f>
        <v>40</v>
      </c>
    </row>
    <row r="337" spans="1:21" ht="12.75" x14ac:dyDescent="0.2">
      <c r="A337" s="3">
        <f ca="1">IFERROR(__xludf.DUMMYFUNCTION("""COMPUTED_VALUE"""),40148.4729166666)</f>
        <v>40148.4729166666</v>
      </c>
      <c r="B337" s="1">
        <f ca="1">IFERROR(__xludf.DUMMYFUNCTION("""COMPUTED_VALUE"""),4.25)</f>
        <v>4.25</v>
      </c>
      <c r="E337" s="1" t="str">
        <f ca="1">IFERROR(__xludf.DUMMYFUNCTION("""COMPUTED_VALUE"""),"ANTIQUE GLASS HEART DECORATION")</f>
        <v>ANTIQUE GLASS HEART DECORATION</v>
      </c>
      <c r="F337" s="1">
        <f ca="1">IFERROR(__xludf.DUMMYFUNCTION("""COMPUTED_VALUE"""),7)</f>
        <v>7</v>
      </c>
      <c r="G337" s="1">
        <f ca="1">IFERROR(__xludf.DUMMYFUNCTION("""COMPUTED_VALUE"""),1.95)</f>
        <v>1.95</v>
      </c>
      <c r="J337" s="1" t="str">
        <f ca="1">IFERROR(__xludf.DUMMYFUNCTION("""COMPUTED_VALUE"""),"ANTIQUE LILY FAIRY LIGHTS")</f>
        <v>ANTIQUE LILY FAIRY LIGHTS</v>
      </c>
      <c r="K337" s="1">
        <f ca="1">IFERROR(__xludf.DUMMYFUNCTION("""COMPUTED_VALUE"""),24)</f>
        <v>24</v>
      </c>
      <c r="L337" s="1">
        <f ca="1">IFERROR(__xludf.DUMMYFUNCTION("""COMPUTED_VALUE"""),4.25)</f>
        <v>4.25</v>
      </c>
      <c r="T337" s="1">
        <f ca="1">IFERROR(__xludf.DUMMYFUNCTION("""COMPUTED_VALUE"""),489514)</f>
        <v>489514</v>
      </c>
      <c r="U337" s="1">
        <f ca="1">IFERROR(__xludf.DUMMYFUNCTION("""COMPUTED_VALUE"""),102)</f>
        <v>102</v>
      </c>
    </row>
    <row r="338" spans="1:21" ht="12.75" x14ac:dyDescent="0.2">
      <c r="A338" s="3">
        <f ca="1">IFERROR(__xludf.DUMMYFUNCTION("""COMPUTED_VALUE"""),40148.4729166666)</f>
        <v>40148.4729166666</v>
      </c>
      <c r="B338" s="1">
        <f ca="1">IFERROR(__xludf.DUMMYFUNCTION("""COMPUTED_VALUE"""),2.75)</f>
        <v>2.75</v>
      </c>
      <c r="E338" s="1" t="str">
        <f ca="1">IFERROR(__xludf.DUMMYFUNCTION("""COMPUTED_VALUE"""),"SET/6 CHRISTMAS ICICLE T-LIGHTS")</f>
        <v>SET/6 CHRISTMAS ICICLE T-LIGHTS</v>
      </c>
      <c r="F338" s="1">
        <f ca="1">IFERROR(__xludf.DUMMYFUNCTION("""COMPUTED_VALUE"""),7)</f>
        <v>7</v>
      </c>
      <c r="G338" s="1">
        <f ca="1">IFERROR(__xludf.DUMMYFUNCTION("""COMPUTED_VALUE"""),1.25)</f>
        <v>1.25</v>
      </c>
      <c r="J338" s="1" t="str">
        <f ca="1">IFERROR(__xludf.DUMMYFUNCTION("""COMPUTED_VALUE"""),"COLOUR GLASS. STAR T-LIGHT HOLDER")</f>
        <v>COLOUR GLASS. STAR T-LIGHT HOLDER</v>
      </c>
      <c r="K338" s="1">
        <f ca="1">IFERROR(__xludf.DUMMYFUNCTION("""COMPUTED_VALUE"""),24)</f>
        <v>24</v>
      </c>
      <c r="L338" s="1">
        <f ca="1">IFERROR(__xludf.DUMMYFUNCTION("""COMPUTED_VALUE"""),2.75)</f>
        <v>2.75</v>
      </c>
      <c r="T338" s="1">
        <f ca="1">IFERROR(__xludf.DUMMYFUNCTION("""COMPUTED_VALUE"""),489514)</f>
        <v>489514</v>
      </c>
      <c r="U338" s="1">
        <f ca="1">IFERROR(__xludf.DUMMYFUNCTION("""COMPUTED_VALUE"""),66)</f>
        <v>66</v>
      </c>
    </row>
    <row r="339" spans="1:21" ht="12.75" x14ac:dyDescent="0.2">
      <c r="A339" s="3">
        <f ca="1">IFERROR(__xludf.DUMMYFUNCTION("""COMPUTED_VALUE"""),40148.4729166666)</f>
        <v>40148.4729166666</v>
      </c>
      <c r="B339" s="1">
        <f ca="1">IFERROR(__xludf.DUMMYFUNCTION("""COMPUTED_VALUE"""),5.95)</f>
        <v>5.95</v>
      </c>
      <c r="E339" s="1" t="str">
        <f ca="1">IFERROR(__xludf.DUMMYFUNCTION("""COMPUTED_VALUE"""),"GEISHA GIRL CHOPSTICKS SET/5")</f>
        <v>GEISHA GIRL CHOPSTICKS SET/5</v>
      </c>
      <c r="F339" s="1">
        <f ca="1">IFERROR(__xludf.DUMMYFUNCTION("""COMPUTED_VALUE"""),6)</f>
        <v>6</v>
      </c>
      <c r="G339" s="1">
        <f ca="1">IFERROR(__xludf.DUMMYFUNCTION("""COMPUTED_VALUE"""),1.95)</f>
        <v>1.95</v>
      </c>
      <c r="J339" s="1" t="str">
        <f ca="1">IFERROR(__xludf.DUMMYFUNCTION("""COMPUTED_VALUE"""),"UNION JACK GUNS &amp; ROSES  DOORMAT")</f>
        <v>UNION JACK GUNS &amp; ROSES  DOORMAT</v>
      </c>
      <c r="K339" s="1">
        <f ca="1">IFERROR(__xludf.DUMMYFUNCTION("""COMPUTED_VALUE"""),10)</f>
        <v>10</v>
      </c>
      <c r="L339" s="1">
        <f ca="1">IFERROR(__xludf.DUMMYFUNCTION("""COMPUTED_VALUE"""),5.95)</f>
        <v>5.95</v>
      </c>
      <c r="T339" s="1">
        <f ca="1">IFERROR(__xludf.DUMMYFUNCTION("""COMPUTED_VALUE"""),489514)</f>
        <v>489514</v>
      </c>
      <c r="U339" s="1">
        <f ca="1">IFERROR(__xludf.DUMMYFUNCTION("""COMPUTED_VALUE"""),59.5)</f>
        <v>59.5</v>
      </c>
    </row>
    <row r="340" spans="1:21" ht="12.75" x14ac:dyDescent="0.2">
      <c r="A340" s="3">
        <f ca="1">IFERROR(__xludf.DUMMYFUNCTION("""COMPUTED_VALUE"""),40148.4729166666)</f>
        <v>40148.4729166666</v>
      </c>
      <c r="B340" s="1">
        <f ca="1">IFERROR(__xludf.DUMMYFUNCTION("""COMPUTED_VALUE"""),8.5)</f>
        <v>8.5</v>
      </c>
      <c r="E340" s="1" t="str">
        <f ca="1">IFERROR(__xludf.DUMMYFUNCTION("""COMPUTED_VALUE"""),"ASSORTED TUTTI FRUTTI NOTEBOOK")</f>
        <v>ASSORTED TUTTI FRUTTI NOTEBOOK</v>
      </c>
      <c r="F340" s="1">
        <f ca="1">IFERROR(__xludf.DUMMYFUNCTION("""COMPUTED_VALUE"""),6)</f>
        <v>6</v>
      </c>
      <c r="G340" s="1">
        <f ca="1">IFERROR(__xludf.DUMMYFUNCTION("""COMPUTED_VALUE"""),2.1)</f>
        <v>2.1</v>
      </c>
      <c r="J340" s="1" t="str">
        <f ca="1">IFERROR(__xludf.DUMMYFUNCTION("""COMPUTED_VALUE"""),"CERAMIC CAKE STAND + HANGING CAKES")</f>
        <v>CERAMIC CAKE STAND + HANGING CAKES</v>
      </c>
      <c r="K340" s="1">
        <f ca="1">IFERROR(__xludf.DUMMYFUNCTION("""COMPUTED_VALUE"""),8)</f>
        <v>8</v>
      </c>
      <c r="L340" s="1">
        <f ca="1">IFERROR(__xludf.DUMMYFUNCTION("""COMPUTED_VALUE"""),8.5)</f>
        <v>8.5</v>
      </c>
      <c r="T340" s="1">
        <f ca="1">IFERROR(__xludf.DUMMYFUNCTION("""COMPUTED_VALUE"""),489514)</f>
        <v>489514</v>
      </c>
      <c r="U340" s="1">
        <f ca="1">IFERROR(__xludf.DUMMYFUNCTION("""COMPUTED_VALUE"""),68)</f>
        <v>68</v>
      </c>
    </row>
    <row r="341" spans="1:21" ht="12.75" x14ac:dyDescent="0.2">
      <c r="A341" s="3">
        <f ca="1">IFERROR(__xludf.DUMMYFUNCTION("""COMPUTED_VALUE"""),40148.4729166666)</f>
        <v>40148.4729166666</v>
      </c>
      <c r="B341" s="1">
        <f ca="1">IFERROR(__xludf.DUMMYFUNCTION("""COMPUTED_VALUE"""),10.95)</f>
        <v>10.95</v>
      </c>
      <c r="E341" s="1" t="str">
        <f ca="1">IFERROR(__xludf.DUMMYFUNCTION("""COMPUTED_VALUE"""),"PARTY CONES CARNIVAL ASSORTED")</f>
        <v>PARTY CONES CARNIVAL ASSORTED</v>
      </c>
      <c r="F341" s="1">
        <f ca="1">IFERROR(__xludf.DUMMYFUNCTION("""COMPUTED_VALUE"""),6)</f>
        <v>6</v>
      </c>
      <c r="G341" s="1">
        <f ca="1">IFERROR(__xludf.DUMMYFUNCTION("""COMPUTED_VALUE"""),1.25)</f>
        <v>1.25</v>
      </c>
      <c r="J341" s="1" t="str">
        <f ca="1">IFERROR(__xludf.DUMMYFUNCTION("""COMPUTED_VALUE"""),"VICTORIAN SEWING BOX LARGE")</f>
        <v>VICTORIAN SEWING BOX LARGE</v>
      </c>
      <c r="K341" s="1">
        <f ca="1">IFERROR(__xludf.DUMMYFUNCTION("""COMPUTED_VALUE"""),8)</f>
        <v>8</v>
      </c>
      <c r="L341" s="1">
        <f ca="1">IFERROR(__xludf.DUMMYFUNCTION("""COMPUTED_VALUE"""),10.95)</f>
        <v>10.95</v>
      </c>
      <c r="T341" s="1">
        <f ca="1">IFERROR(__xludf.DUMMYFUNCTION("""COMPUTED_VALUE"""),489514)</f>
        <v>489514</v>
      </c>
      <c r="U341" s="1">
        <f ca="1">IFERROR(__xludf.DUMMYFUNCTION("""COMPUTED_VALUE"""),87.6)</f>
        <v>87.6</v>
      </c>
    </row>
    <row r="342" spans="1:21" ht="12.75" x14ac:dyDescent="0.2">
      <c r="A342" s="3">
        <f ca="1">IFERROR(__xludf.DUMMYFUNCTION("""COMPUTED_VALUE"""),40148.4729166666)</f>
        <v>40148.4729166666</v>
      </c>
      <c r="B342" s="1">
        <f ca="1">IFERROR(__xludf.DUMMYFUNCTION("""COMPUTED_VALUE"""),3.95)</f>
        <v>3.95</v>
      </c>
      <c r="E342" s="1" t="str">
        <f ca="1">IFERROR(__xludf.DUMMYFUNCTION("""COMPUTED_VALUE"""),"HEART FILIGREE DOVE  SMALL")</f>
        <v>HEART FILIGREE DOVE  SMALL</v>
      </c>
      <c r="F342" s="1">
        <f ca="1">IFERROR(__xludf.DUMMYFUNCTION("""COMPUTED_VALUE"""),6)</f>
        <v>6</v>
      </c>
      <c r="G342" s="1">
        <f ca="1">IFERROR(__xludf.DUMMYFUNCTION("""COMPUTED_VALUE"""),1.25)</f>
        <v>1.25</v>
      </c>
      <c r="J342" s="1" t="str">
        <f ca="1">IFERROR(__xludf.DUMMYFUNCTION("""COMPUTED_VALUE"""),"SET/3 TALL GLASS CANDLE HOLDER PINK")</f>
        <v>SET/3 TALL GLASS CANDLE HOLDER PINK</v>
      </c>
      <c r="K342" s="1">
        <f ca="1">IFERROR(__xludf.DUMMYFUNCTION("""COMPUTED_VALUE"""),8)</f>
        <v>8</v>
      </c>
      <c r="L342" s="1">
        <f ca="1">IFERROR(__xludf.DUMMYFUNCTION("""COMPUTED_VALUE"""),3.95)</f>
        <v>3.95</v>
      </c>
      <c r="T342" s="1">
        <f ca="1">IFERROR(__xludf.DUMMYFUNCTION("""COMPUTED_VALUE"""),489514)</f>
        <v>489514</v>
      </c>
      <c r="U342" s="1">
        <f ca="1">IFERROR(__xludf.DUMMYFUNCTION("""COMPUTED_VALUE"""),31.6)</f>
        <v>31.6</v>
      </c>
    </row>
    <row r="343" spans="1:21" ht="12.75" x14ac:dyDescent="0.2">
      <c r="A343" s="3">
        <f ca="1">IFERROR(__xludf.DUMMYFUNCTION("""COMPUTED_VALUE"""),40148.4729166666)</f>
        <v>40148.4729166666</v>
      </c>
      <c r="B343" s="1">
        <f ca="1">IFERROR(__xludf.DUMMYFUNCTION("""COMPUTED_VALUE"""),2.95)</f>
        <v>2.95</v>
      </c>
      <c r="E343" s="1" t="str">
        <f ca="1">IFERROR(__xludf.DUMMYFUNCTION("""COMPUTED_VALUE"""),"PAINTED BIRD ASSORTED CHRISTMAS")</f>
        <v>PAINTED BIRD ASSORTED CHRISTMAS</v>
      </c>
      <c r="F343" s="1">
        <f ca="1">IFERROR(__xludf.DUMMYFUNCTION("""COMPUTED_VALUE"""),6)</f>
        <v>6</v>
      </c>
      <c r="G343" s="1">
        <f ca="1">IFERROR(__xludf.DUMMYFUNCTION("""COMPUTED_VALUE"""),1.69)</f>
        <v>1.69</v>
      </c>
      <c r="J343" s="1" t="str">
        <f ca="1">IFERROR(__xludf.DUMMYFUNCTION("""COMPUTED_VALUE"""),"RED SPOTTY OVEN GLOVE DOUBLE")</f>
        <v>RED SPOTTY OVEN GLOVE DOUBLE</v>
      </c>
      <c r="K343" s="1">
        <f ca="1">IFERROR(__xludf.DUMMYFUNCTION("""COMPUTED_VALUE"""),5)</f>
        <v>5</v>
      </c>
      <c r="L343" s="1">
        <f ca="1">IFERROR(__xludf.DUMMYFUNCTION("""COMPUTED_VALUE"""),2.95)</f>
        <v>2.95</v>
      </c>
      <c r="T343" s="1">
        <f ca="1">IFERROR(__xludf.DUMMYFUNCTION("""COMPUTED_VALUE"""),489514)</f>
        <v>489514</v>
      </c>
      <c r="U343" s="1">
        <f ca="1">IFERROR(__xludf.DUMMYFUNCTION("""COMPUTED_VALUE"""),14.75)</f>
        <v>14.75</v>
      </c>
    </row>
    <row r="344" spans="1:21" ht="12.75" x14ac:dyDescent="0.2">
      <c r="A344" s="3">
        <f ca="1">IFERROR(__xludf.DUMMYFUNCTION("""COMPUTED_VALUE"""),40148.4729166666)</f>
        <v>40148.4729166666</v>
      </c>
      <c r="B344" s="1">
        <f ca="1">IFERROR(__xludf.DUMMYFUNCTION("""COMPUTED_VALUE"""),2.1)</f>
        <v>2.1</v>
      </c>
      <c r="E344" s="1" t="str">
        <f ca="1">IFERROR(__xludf.DUMMYFUNCTION("""COMPUTED_VALUE"""),"COSY HOUR GIANT TUBE MATCHES")</f>
        <v>COSY HOUR GIANT TUBE MATCHES</v>
      </c>
      <c r="F344" s="1">
        <f ca="1">IFERROR(__xludf.DUMMYFUNCTION("""COMPUTED_VALUE"""),6)</f>
        <v>6</v>
      </c>
      <c r="G344" s="1">
        <f ca="1">IFERROR(__xludf.DUMMYFUNCTION("""COMPUTED_VALUE"""),2.55)</f>
        <v>2.5499999999999998</v>
      </c>
      <c r="J344" s="1" t="str">
        <f ca="1">IFERROR(__xludf.DUMMYFUNCTION("""COMPUTED_VALUE"""),"UNION JACK FLAG PASSPORT COVER")</f>
        <v>UNION JACK FLAG PASSPORT COVER</v>
      </c>
      <c r="K344" s="1">
        <f ca="1">IFERROR(__xludf.DUMMYFUNCTION("""COMPUTED_VALUE"""),5)</f>
        <v>5</v>
      </c>
      <c r="L344" s="1">
        <f ca="1">IFERROR(__xludf.DUMMYFUNCTION("""COMPUTED_VALUE"""),2.1)</f>
        <v>2.1</v>
      </c>
      <c r="T344" s="1">
        <f ca="1">IFERROR(__xludf.DUMMYFUNCTION("""COMPUTED_VALUE"""),489514)</f>
        <v>489514</v>
      </c>
      <c r="U344" s="1">
        <f ca="1">IFERROR(__xludf.DUMMYFUNCTION("""COMPUTED_VALUE"""),10.5)</f>
        <v>10.5</v>
      </c>
    </row>
    <row r="345" spans="1:21" ht="12.75" x14ac:dyDescent="0.2">
      <c r="A345" s="3">
        <f ca="1">IFERROR(__xludf.DUMMYFUNCTION("""COMPUTED_VALUE"""),40148.4729166666)</f>
        <v>40148.4729166666</v>
      </c>
      <c r="B345" s="1">
        <f ca="1">IFERROR(__xludf.DUMMYFUNCTION("""COMPUTED_VALUE"""),1.45)</f>
        <v>1.45</v>
      </c>
      <c r="E345" s="1" t="str">
        <f ca="1">IFERROR(__xludf.DUMMYFUNCTION("""COMPUTED_VALUE"""),"COLOURING PENCILS BROWN TUBE")</f>
        <v>COLOURING PENCILS BROWN TUBE</v>
      </c>
      <c r="F345" s="1">
        <f ca="1">IFERROR(__xludf.DUMMYFUNCTION("""COMPUTED_VALUE"""),6)</f>
        <v>6</v>
      </c>
      <c r="G345" s="1">
        <f ca="1">IFERROR(__xludf.DUMMYFUNCTION("""COMPUTED_VALUE"""),1.25)</f>
        <v>1.25</v>
      </c>
      <c r="J345" s="1" t="str">
        <f ca="1">IFERROR(__xludf.DUMMYFUNCTION("""COMPUTED_VALUE"""),"KEEP OUT BOYS DOOR HANGER")</f>
        <v>KEEP OUT BOYS DOOR HANGER</v>
      </c>
      <c r="K345" s="1">
        <f ca="1">IFERROR(__xludf.DUMMYFUNCTION("""COMPUTED_VALUE"""),3)</f>
        <v>3</v>
      </c>
      <c r="L345" s="1">
        <f ca="1">IFERROR(__xludf.DUMMYFUNCTION("""COMPUTED_VALUE"""),1.45)</f>
        <v>1.45</v>
      </c>
      <c r="T345" s="1">
        <f ca="1">IFERROR(__xludf.DUMMYFUNCTION("""COMPUTED_VALUE"""),489514)</f>
        <v>489514</v>
      </c>
      <c r="U345" s="1">
        <f ca="1">IFERROR(__xludf.DUMMYFUNCTION("""COMPUTED_VALUE"""),4.35)</f>
        <v>4.3499999999999996</v>
      </c>
    </row>
    <row r="346" spans="1:21" ht="12.75" x14ac:dyDescent="0.2">
      <c r="A346" s="3">
        <f ca="1">IFERROR(__xludf.DUMMYFUNCTION("""COMPUTED_VALUE"""),40148.4729166666)</f>
        <v>40148.4729166666</v>
      </c>
      <c r="B346" s="1">
        <f ca="1">IFERROR(__xludf.DUMMYFUNCTION("""COMPUTED_VALUE"""),2.1)</f>
        <v>2.1</v>
      </c>
      <c r="E346" s="1" t="str">
        <f ca="1">IFERROR(__xludf.DUMMYFUNCTION("""COMPUTED_VALUE"""),"SET OF 6 CAKE CHOPSTICKS")</f>
        <v>SET OF 6 CAKE CHOPSTICKS</v>
      </c>
      <c r="F346" s="1">
        <f ca="1">IFERROR(__xludf.DUMMYFUNCTION("""COMPUTED_VALUE"""),6)</f>
        <v>6</v>
      </c>
      <c r="G346" s="1">
        <f ca="1">IFERROR(__xludf.DUMMYFUNCTION("""COMPUTED_VALUE"""),1.25)</f>
        <v>1.25</v>
      </c>
      <c r="J346" s="1" t="str">
        <f ca="1">IFERROR(__xludf.DUMMYFUNCTION("""COMPUTED_VALUE"""),"PINK UNION JACK  PASSPORT COVER")</f>
        <v>PINK UNION JACK  PASSPORT COVER</v>
      </c>
      <c r="K346" s="1">
        <f ca="1">IFERROR(__xludf.DUMMYFUNCTION("""COMPUTED_VALUE"""),3)</f>
        <v>3</v>
      </c>
      <c r="L346" s="1">
        <f ca="1">IFERROR(__xludf.DUMMYFUNCTION("""COMPUTED_VALUE"""),2.1)</f>
        <v>2.1</v>
      </c>
      <c r="T346" s="1">
        <f ca="1">IFERROR(__xludf.DUMMYFUNCTION("""COMPUTED_VALUE"""),489514)</f>
        <v>489514</v>
      </c>
      <c r="U346" s="1">
        <f ca="1">IFERROR(__xludf.DUMMYFUNCTION("""COMPUTED_VALUE"""),6.3)</f>
        <v>6.3</v>
      </c>
    </row>
    <row r="347" spans="1:21" ht="12.75" x14ac:dyDescent="0.2">
      <c r="A347" s="3">
        <f ca="1">IFERROR(__xludf.DUMMYFUNCTION("""COMPUTED_VALUE"""),40148.4729166666)</f>
        <v>40148.4729166666</v>
      </c>
      <c r="B347" s="1">
        <f ca="1">IFERROR(__xludf.DUMMYFUNCTION("""COMPUTED_VALUE"""),0.85)</f>
        <v>0.85</v>
      </c>
      <c r="E347" s="1" t="str">
        <f ca="1">IFERROR(__xludf.DUMMYFUNCTION("""COMPUTED_VALUE"""),"MIRROR MOSAIC T-LIGHT HOLDER ROUND")</f>
        <v>MIRROR MOSAIC T-LIGHT HOLDER ROUND</v>
      </c>
      <c r="F347" s="1">
        <f ca="1">IFERROR(__xludf.DUMMYFUNCTION("""COMPUTED_VALUE"""),6)</f>
        <v>6</v>
      </c>
      <c r="G347" s="1">
        <f ca="1">IFERROR(__xludf.DUMMYFUNCTION("""COMPUTED_VALUE"""),1.65)</f>
        <v>1.65</v>
      </c>
      <c r="J347" s="1" t="str">
        <f ca="1">IFERROR(__xludf.DUMMYFUNCTION("""COMPUTED_VALUE"""),"WOODLAND CHARLOTTE BAG")</f>
        <v>WOODLAND CHARLOTTE BAG</v>
      </c>
      <c r="K347" s="1">
        <f ca="1">IFERROR(__xludf.DUMMYFUNCTION("""COMPUTED_VALUE"""),3)</f>
        <v>3</v>
      </c>
      <c r="L347" s="1">
        <f ca="1">IFERROR(__xludf.DUMMYFUNCTION("""COMPUTED_VALUE"""),0.85)</f>
        <v>0.85</v>
      </c>
      <c r="T347" s="1">
        <f ca="1">IFERROR(__xludf.DUMMYFUNCTION("""COMPUTED_VALUE"""),489514)</f>
        <v>489514</v>
      </c>
      <c r="U347" s="1">
        <f ca="1">IFERROR(__xludf.DUMMYFUNCTION("""COMPUTED_VALUE"""),2.55)</f>
        <v>2.5499999999999998</v>
      </c>
    </row>
    <row r="348" spans="1:21" ht="12.75" x14ac:dyDescent="0.2">
      <c r="A348" s="3">
        <f ca="1">IFERROR(__xludf.DUMMYFUNCTION("""COMPUTED_VALUE"""),40148.4729166666)</f>
        <v>40148.4729166666</v>
      </c>
      <c r="B348" s="1">
        <f ca="1">IFERROR(__xludf.DUMMYFUNCTION("""COMPUTED_VALUE"""),2.1)</f>
        <v>2.1</v>
      </c>
      <c r="E348" s="1" t="str">
        <f ca="1">IFERROR(__xludf.DUMMYFUNCTION("""COMPUTED_VALUE"""),"CHOCOLATE CALCULATOR")</f>
        <v>CHOCOLATE CALCULATOR</v>
      </c>
      <c r="F348" s="1">
        <f ca="1">IFERROR(__xludf.DUMMYFUNCTION("""COMPUTED_VALUE"""),5)</f>
        <v>5</v>
      </c>
      <c r="G348" s="1">
        <f ca="1">IFERROR(__xludf.DUMMYFUNCTION("""COMPUTED_VALUE"""),1.65)</f>
        <v>1.65</v>
      </c>
      <c r="J348" s="1" t="str">
        <f ca="1">IFERROR(__xludf.DUMMYFUNCTION("""COMPUTED_VALUE"""),"RETRO RED SPOTTY WASHING UP GLOVES")</f>
        <v>RETRO RED SPOTTY WASHING UP GLOVES</v>
      </c>
      <c r="K348" s="1">
        <f ca="1">IFERROR(__xludf.DUMMYFUNCTION("""COMPUTED_VALUE"""),3)</f>
        <v>3</v>
      </c>
      <c r="L348" s="1">
        <f ca="1">IFERROR(__xludf.DUMMYFUNCTION("""COMPUTED_VALUE"""),2.1)</f>
        <v>2.1</v>
      </c>
      <c r="T348" s="1">
        <f ca="1">IFERROR(__xludf.DUMMYFUNCTION("""COMPUTED_VALUE"""),489514)</f>
        <v>489514</v>
      </c>
      <c r="U348" s="1">
        <f ca="1">IFERROR(__xludf.DUMMYFUNCTION("""COMPUTED_VALUE"""),6.3)</f>
        <v>6.3</v>
      </c>
    </row>
    <row r="349" spans="1:21" ht="12.75" x14ac:dyDescent="0.2">
      <c r="A349" s="3">
        <f ca="1">IFERROR(__xludf.DUMMYFUNCTION("""COMPUTED_VALUE"""),40148.4729166666)</f>
        <v>40148.4729166666</v>
      </c>
      <c r="B349" s="1">
        <f ca="1">IFERROR(__xludf.DUMMYFUNCTION("""COMPUTED_VALUE"""),3.75)</f>
        <v>3.75</v>
      </c>
      <c r="E349" s="1" t="str">
        <f ca="1">IFERROR(__xludf.DUMMYFUNCTION("""COMPUTED_VALUE"""),"GREY HEART HOT WATER BOTTLE")</f>
        <v>GREY HEART HOT WATER BOTTLE</v>
      </c>
      <c r="F349" s="1">
        <f ca="1">IFERROR(__xludf.DUMMYFUNCTION("""COMPUTED_VALUE"""),4)</f>
        <v>4</v>
      </c>
      <c r="G349" s="1">
        <f ca="1">IFERROR(__xludf.DUMMYFUNCTION("""COMPUTED_VALUE"""),3.45)</f>
        <v>3.45</v>
      </c>
      <c r="J349" s="1" t="str">
        <f ca="1">IFERROR(__xludf.DUMMYFUNCTION("""COMPUTED_VALUE"""),"GREEN 3 PIECE MINI DOTS CUTLERY SET")</f>
        <v>GREEN 3 PIECE MINI DOTS CUTLERY SET</v>
      </c>
      <c r="K349" s="1">
        <f ca="1">IFERROR(__xludf.DUMMYFUNCTION("""COMPUTED_VALUE"""),3)</f>
        <v>3</v>
      </c>
      <c r="L349" s="1">
        <f ca="1">IFERROR(__xludf.DUMMYFUNCTION("""COMPUTED_VALUE"""),3.75)</f>
        <v>3.75</v>
      </c>
      <c r="T349" s="1">
        <f ca="1">IFERROR(__xludf.DUMMYFUNCTION("""COMPUTED_VALUE"""),489514)</f>
        <v>489514</v>
      </c>
      <c r="U349" s="1">
        <f ca="1">IFERROR(__xludf.DUMMYFUNCTION("""COMPUTED_VALUE"""),11.25)</f>
        <v>11.25</v>
      </c>
    </row>
    <row r="350" spans="1:21" ht="12.75" x14ac:dyDescent="0.2">
      <c r="A350" s="3">
        <f ca="1">IFERROR(__xludf.DUMMYFUNCTION("""COMPUTED_VALUE"""),40148.4729166666)</f>
        <v>40148.4729166666</v>
      </c>
      <c r="B350" s="1">
        <f ca="1">IFERROR(__xludf.DUMMYFUNCTION("""COMPUTED_VALUE"""),1.69)</f>
        <v>1.69</v>
      </c>
      <c r="E350" s="1" t="str">
        <f ca="1">IFERROR(__xludf.DUMMYFUNCTION("""COMPUTED_VALUE"""),"RATTLE SNAKE EGGS")</f>
        <v>RATTLE SNAKE EGGS</v>
      </c>
      <c r="F350" s="1">
        <f ca="1">IFERROR(__xludf.DUMMYFUNCTION("""COMPUTED_VALUE"""),4)</f>
        <v>4</v>
      </c>
      <c r="G350" s="1">
        <f ca="1">IFERROR(__xludf.DUMMYFUNCTION("""COMPUTED_VALUE"""),1.25)</f>
        <v>1.25</v>
      </c>
      <c r="J350" s="1" t="str">
        <f ca="1">IFERROR(__xludf.DUMMYFUNCTION("""COMPUTED_VALUE"""),"GREEN  SPOTTY PLATE")</f>
        <v>GREEN  SPOTTY PLATE</v>
      </c>
      <c r="K350" s="1">
        <f ca="1">IFERROR(__xludf.DUMMYFUNCTION("""COMPUTED_VALUE"""),3)</f>
        <v>3</v>
      </c>
      <c r="L350" s="1">
        <f ca="1">IFERROR(__xludf.DUMMYFUNCTION("""COMPUTED_VALUE"""),1.69)</f>
        <v>1.69</v>
      </c>
      <c r="T350" s="1">
        <f ca="1">IFERROR(__xludf.DUMMYFUNCTION("""COMPUTED_VALUE"""),489514)</f>
        <v>489514</v>
      </c>
      <c r="U350" s="1">
        <f ca="1">IFERROR(__xludf.DUMMYFUNCTION("""COMPUTED_VALUE"""),5.07)</f>
        <v>5.07</v>
      </c>
    </row>
    <row r="351" spans="1:21" ht="12.75" x14ac:dyDescent="0.2">
      <c r="A351" s="3">
        <f ca="1">IFERROR(__xludf.DUMMYFUNCTION("""COMPUTED_VALUE"""),40148.4729166666)</f>
        <v>40148.4729166666</v>
      </c>
      <c r="B351" s="1">
        <f ca="1">IFERROR(__xludf.DUMMYFUNCTION("""COMPUTED_VALUE"""),0.85)</f>
        <v>0.85</v>
      </c>
      <c r="E351" s="1" t="str">
        <f ca="1">IFERROR(__xludf.DUMMYFUNCTION("""COMPUTED_VALUE"""),"KINGS CHOICE GIANT TUBE MATCHES")</f>
        <v>KINGS CHOICE GIANT TUBE MATCHES</v>
      </c>
      <c r="F351" s="1">
        <f ca="1">IFERROR(__xludf.DUMMYFUNCTION("""COMPUTED_VALUE"""),4)</f>
        <v>4</v>
      </c>
      <c r="G351" s="1">
        <f ca="1">IFERROR(__xludf.DUMMYFUNCTION("""COMPUTED_VALUE"""),2.55)</f>
        <v>2.5499999999999998</v>
      </c>
      <c r="J351" s="1" t="str">
        <f ca="1">IFERROR(__xludf.DUMMYFUNCTION("""COMPUTED_VALUE"""),"GREEN SPOTTY CUP")</f>
        <v>GREEN SPOTTY CUP</v>
      </c>
      <c r="K351" s="1">
        <f ca="1">IFERROR(__xludf.DUMMYFUNCTION("""COMPUTED_VALUE"""),3)</f>
        <v>3</v>
      </c>
      <c r="L351" s="1">
        <f ca="1">IFERROR(__xludf.DUMMYFUNCTION("""COMPUTED_VALUE"""),0.85)</f>
        <v>0.85</v>
      </c>
      <c r="T351" s="1">
        <f ca="1">IFERROR(__xludf.DUMMYFUNCTION("""COMPUTED_VALUE"""),489514)</f>
        <v>489514</v>
      </c>
      <c r="U351" s="1">
        <f ca="1">IFERROR(__xludf.DUMMYFUNCTION("""COMPUTED_VALUE"""),2.55)</f>
        <v>2.5499999999999998</v>
      </c>
    </row>
    <row r="352" spans="1:21" ht="12.75" x14ac:dyDescent="0.2">
      <c r="A352" s="3">
        <f ca="1">IFERROR(__xludf.DUMMYFUNCTION("""COMPUTED_VALUE"""),40148.4729166666)</f>
        <v>40148.4729166666</v>
      </c>
      <c r="B352" s="1">
        <f ca="1">IFERROR(__xludf.DUMMYFUNCTION("""COMPUTED_VALUE"""),1.25)</f>
        <v>1.25</v>
      </c>
      <c r="E352" s="1" t="str">
        <f ca="1">IFERROR(__xludf.DUMMYFUNCTION("""COMPUTED_VALUE"""),"MAGIC GARDEN MOUNT FUJI")</f>
        <v>MAGIC GARDEN MOUNT FUJI</v>
      </c>
      <c r="F352" s="1">
        <f ca="1">IFERROR(__xludf.DUMMYFUNCTION("""COMPUTED_VALUE"""),4)</f>
        <v>4</v>
      </c>
      <c r="G352" s="1">
        <f ca="1">IFERROR(__xludf.DUMMYFUNCTION("""COMPUTED_VALUE"""),2.55)</f>
        <v>2.5499999999999998</v>
      </c>
      <c r="J352" s="1" t="str">
        <f ca="1">IFERROR(__xludf.DUMMYFUNCTION("""COMPUTED_VALUE"""),"LAUNDRY 15C METAL SIGN")</f>
        <v>LAUNDRY 15C METAL SIGN</v>
      </c>
      <c r="K352" s="1">
        <f ca="1">IFERROR(__xludf.DUMMYFUNCTION("""COMPUTED_VALUE"""),2)</f>
        <v>2</v>
      </c>
      <c r="L352" s="1">
        <f ca="1">IFERROR(__xludf.DUMMYFUNCTION("""COMPUTED_VALUE"""),1.25)</f>
        <v>1.25</v>
      </c>
      <c r="T352" s="1">
        <f ca="1">IFERROR(__xludf.DUMMYFUNCTION("""COMPUTED_VALUE"""),489514)</f>
        <v>489514</v>
      </c>
      <c r="U352" s="1">
        <f ca="1">IFERROR(__xludf.DUMMYFUNCTION("""COMPUTED_VALUE"""),2.5)</f>
        <v>2.5</v>
      </c>
    </row>
    <row r="353" spans="1:21" ht="12.75" x14ac:dyDescent="0.2">
      <c r="A353" s="3">
        <f ca="1">IFERROR(__xludf.DUMMYFUNCTION("""COMPUTED_VALUE"""),40148.4729166666)</f>
        <v>40148.4729166666</v>
      </c>
      <c r="B353" s="1">
        <f ca="1">IFERROR(__xludf.DUMMYFUNCTION("""COMPUTED_VALUE"""),1.25)</f>
        <v>1.25</v>
      </c>
      <c r="E353" s="1" t="str">
        <f ca="1">IFERROR(__xludf.DUMMYFUNCTION("""COMPUTED_VALUE"""),"MAGIC SHEEP WOOL GROWING FROM PAPER")</f>
        <v>MAGIC SHEEP WOOL GROWING FROM PAPER</v>
      </c>
      <c r="F353" s="1">
        <f ca="1">IFERROR(__xludf.DUMMYFUNCTION("""COMPUTED_VALUE"""),4)</f>
        <v>4</v>
      </c>
      <c r="G353" s="1">
        <f ca="1">IFERROR(__xludf.DUMMYFUNCTION("""COMPUTED_VALUE"""),2.55)</f>
        <v>2.5499999999999998</v>
      </c>
      <c r="J353" s="1" t="str">
        <f ca="1">IFERROR(__xludf.DUMMYFUNCTION("""COMPUTED_VALUE"""),"METAL SIGN CUPCAKE SINGLE HOOK")</f>
        <v>METAL SIGN CUPCAKE SINGLE HOOK</v>
      </c>
      <c r="K353" s="1">
        <f ca="1">IFERROR(__xludf.DUMMYFUNCTION("""COMPUTED_VALUE"""),2)</f>
        <v>2</v>
      </c>
      <c r="L353" s="1">
        <f ca="1">IFERROR(__xludf.DUMMYFUNCTION("""COMPUTED_VALUE"""),1.25)</f>
        <v>1.25</v>
      </c>
      <c r="T353" s="1">
        <f ca="1">IFERROR(__xludf.DUMMYFUNCTION("""COMPUTED_VALUE"""),489514)</f>
        <v>489514</v>
      </c>
      <c r="U353" s="1">
        <f ca="1">IFERROR(__xludf.DUMMYFUNCTION("""COMPUTED_VALUE"""),2.5)</f>
        <v>2.5</v>
      </c>
    </row>
    <row r="354" spans="1:21" ht="12.75" x14ac:dyDescent="0.2">
      <c r="A354" s="3">
        <f ca="1">IFERROR(__xludf.DUMMYFUNCTION("""COMPUTED_VALUE"""),40148.4729166666)</f>
        <v>40148.4729166666</v>
      </c>
      <c r="B354" s="1">
        <f ca="1">IFERROR(__xludf.DUMMYFUNCTION("""COMPUTED_VALUE"""),1.25)</f>
        <v>1.25</v>
      </c>
      <c r="E354" s="1" t="str">
        <f ca="1">IFERROR(__xludf.DUMMYFUNCTION("""COMPUTED_VALUE"""),"EIGHT PIECE DINOSAUR SET")</f>
        <v>EIGHT PIECE DINOSAUR SET</v>
      </c>
      <c r="F354" s="1">
        <f ca="1">IFERROR(__xludf.DUMMYFUNCTION("""COMPUTED_VALUE"""),3)</f>
        <v>3</v>
      </c>
      <c r="G354" s="1">
        <f ca="1">IFERROR(__xludf.DUMMYFUNCTION("""COMPUTED_VALUE"""),1.25)</f>
        <v>1.25</v>
      </c>
      <c r="J354" s="1" t="str">
        <f ca="1">IFERROR(__xludf.DUMMYFUNCTION("""COMPUTED_VALUE"""),"NO JUNK MAIL METAL SIGN")</f>
        <v>NO JUNK MAIL METAL SIGN</v>
      </c>
      <c r="K354" s="1">
        <f ca="1">IFERROR(__xludf.DUMMYFUNCTION("""COMPUTED_VALUE"""),2)</f>
        <v>2</v>
      </c>
      <c r="L354" s="1">
        <f ca="1">IFERROR(__xludf.DUMMYFUNCTION("""COMPUTED_VALUE"""),1.25)</f>
        <v>1.25</v>
      </c>
      <c r="T354" s="1">
        <f ca="1">IFERROR(__xludf.DUMMYFUNCTION("""COMPUTED_VALUE"""),489514)</f>
        <v>489514</v>
      </c>
      <c r="U354" s="1">
        <f ca="1">IFERROR(__xludf.DUMMYFUNCTION("""COMPUTED_VALUE"""),2.5)</f>
        <v>2.5</v>
      </c>
    </row>
    <row r="355" spans="1:21" ht="12.75" x14ac:dyDescent="0.2">
      <c r="A355" s="3">
        <f ca="1">IFERROR(__xludf.DUMMYFUNCTION("""COMPUTED_VALUE"""),40148.4729166666)</f>
        <v>40148.4729166666</v>
      </c>
      <c r="B355" s="1">
        <f ca="1">IFERROR(__xludf.DUMMYFUNCTION("""COMPUTED_VALUE"""),2.1)</f>
        <v>2.1</v>
      </c>
      <c r="E355" s="1" t="str">
        <f ca="1">IFERROR(__xludf.DUMMYFUNCTION("""COMPUTED_VALUE"""),"EIGHT PIECE CREEPY CRAWLIE SET")</f>
        <v>EIGHT PIECE CREEPY CRAWLIE SET</v>
      </c>
      <c r="F355" s="1">
        <f ca="1">IFERROR(__xludf.DUMMYFUNCTION("""COMPUTED_VALUE"""),3)</f>
        <v>3</v>
      </c>
      <c r="G355" s="1">
        <f ca="1">IFERROR(__xludf.DUMMYFUNCTION("""COMPUTED_VALUE"""),1.25)</f>
        <v>1.25</v>
      </c>
      <c r="J355" s="1" t="str">
        <f ca="1">IFERROR(__xludf.DUMMYFUNCTION("""COMPUTED_VALUE"""),"BLACK SIL'T SQU CANDLE PLATE")</f>
        <v>BLACK SIL'T SQU CANDLE PLATE</v>
      </c>
      <c r="K355" s="1">
        <f ca="1">IFERROR(__xludf.DUMMYFUNCTION("""COMPUTED_VALUE"""),2)</f>
        <v>2</v>
      </c>
      <c r="L355" s="1">
        <f ca="1">IFERROR(__xludf.DUMMYFUNCTION("""COMPUTED_VALUE"""),2.1)</f>
        <v>2.1</v>
      </c>
      <c r="T355" s="1">
        <f ca="1">IFERROR(__xludf.DUMMYFUNCTION("""COMPUTED_VALUE"""),489514)</f>
        <v>489514</v>
      </c>
      <c r="U355" s="1">
        <f ca="1">IFERROR(__xludf.DUMMYFUNCTION("""COMPUTED_VALUE"""),4.2)</f>
        <v>4.2</v>
      </c>
    </row>
    <row r="356" spans="1:21" ht="12.75" x14ac:dyDescent="0.2">
      <c r="A356" s="3">
        <f ca="1">IFERROR(__xludf.DUMMYFUNCTION("""COMPUTED_VALUE"""),40148.4729166666)</f>
        <v>40148.4729166666</v>
      </c>
      <c r="B356" s="1">
        <f ca="1">IFERROR(__xludf.DUMMYFUNCTION("""COMPUTED_VALUE"""),1.25)</f>
        <v>1.25</v>
      </c>
      <c r="E356" s="1" t="str">
        <f ca="1">IFERROR(__xludf.DUMMYFUNCTION("""COMPUTED_VALUE"""),"EIGHT PIECE SNAKE  SET")</f>
        <v>EIGHT PIECE SNAKE  SET</v>
      </c>
      <c r="F356" s="1">
        <f ca="1">IFERROR(__xludf.DUMMYFUNCTION("""COMPUTED_VALUE"""),3)</f>
        <v>3</v>
      </c>
      <c r="G356" s="1">
        <f ca="1">IFERROR(__xludf.DUMMYFUNCTION("""COMPUTED_VALUE"""),1.25)</f>
        <v>1.25</v>
      </c>
      <c r="J356" s="1" t="str">
        <f ca="1">IFERROR(__xludf.DUMMYFUNCTION("""COMPUTED_VALUE"""),"POTTING SHED COFFEE MUG")</f>
        <v>POTTING SHED COFFEE MUG</v>
      </c>
      <c r="K356" s="1">
        <f ca="1">IFERROR(__xludf.DUMMYFUNCTION("""COMPUTED_VALUE"""),2)</f>
        <v>2</v>
      </c>
      <c r="L356" s="1">
        <f ca="1">IFERROR(__xludf.DUMMYFUNCTION("""COMPUTED_VALUE"""),1.25)</f>
        <v>1.25</v>
      </c>
      <c r="T356" s="1">
        <f ca="1">IFERROR(__xludf.DUMMYFUNCTION("""COMPUTED_VALUE"""),489514)</f>
        <v>489514</v>
      </c>
      <c r="U356" s="1">
        <f ca="1">IFERROR(__xludf.DUMMYFUNCTION("""COMPUTED_VALUE"""),2.5)</f>
        <v>2.5</v>
      </c>
    </row>
    <row r="357" spans="1:21" ht="12.75" x14ac:dyDescent="0.2">
      <c r="A357" s="3">
        <f ca="1">IFERROR(__xludf.DUMMYFUNCTION("""COMPUTED_VALUE"""),40148.4729166666)</f>
        <v>40148.4729166666</v>
      </c>
      <c r="B357" s="1">
        <f ca="1">IFERROR(__xludf.DUMMYFUNCTION("""COMPUTED_VALUE"""),1.25)</f>
        <v>1.25</v>
      </c>
      <c r="E357" s="1" t="str">
        <f ca="1">IFERROR(__xludf.DUMMYFUNCTION("""COMPUTED_VALUE"""),"COFFEE MUG DOG + BALL DESIGN")</f>
        <v>COFFEE MUG DOG + BALL DESIGN</v>
      </c>
      <c r="F357" s="1">
        <f ca="1">IFERROR(__xludf.DUMMYFUNCTION("""COMPUTED_VALUE"""),3)</f>
        <v>3</v>
      </c>
      <c r="G357" s="1">
        <f ca="1">IFERROR(__xludf.DUMMYFUNCTION("""COMPUTED_VALUE"""),2.55)</f>
        <v>2.5499999999999998</v>
      </c>
      <c r="J357" s="1" t="str">
        <f ca="1">IFERROR(__xludf.DUMMYFUNCTION("""COMPUTED_VALUE"""),"POTTERING MUG")</f>
        <v>POTTERING MUG</v>
      </c>
      <c r="K357" s="1">
        <f ca="1">IFERROR(__xludf.DUMMYFUNCTION("""COMPUTED_VALUE"""),2)</f>
        <v>2</v>
      </c>
      <c r="L357" s="1">
        <f ca="1">IFERROR(__xludf.DUMMYFUNCTION("""COMPUTED_VALUE"""),1.25)</f>
        <v>1.25</v>
      </c>
      <c r="T357" s="1">
        <f ca="1">IFERROR(__xludf.DUMMYFUNCTION("""COMPUTED_VALUE"""),489514)</f>
        <v>489514</v>
      </c>
      <c r="U357" s="1">
        <f ca="1">IFERROR(__xludf.DUMMYFUNCTION("""COMPUTED_VALUE"""),2.5)</f>
        <v>2.5</v>
      </c>
    </row>
    <row r="358" spans="1:21" ht="12.75" x14ac:dyDescent="0.2">
      <c r="A358" s="3">
        <f ca="1">IFERROR(__xludf.DUMMYFUNCTION("""COMPUTED_VALUE"""),40148.4729166666)</f>
        <v>40148.4729166666</v>
      </c>
      <c r="B358" s="1">
        <f ca="1">IFERROR(__xludf.DUMMYFUNCTION("""COMPUTED_VALUE"""),1.69)</f>
        <v>1.69</v>
      </c>
      <c r="E358" s="1" t="str">
        <f ca="1">IFERROR(__xludf.DUMMYFUNCTION("""COMPUTED_VALUE"""),"COFFEE MUG CAT + BIRD DESIGN")</f>
        <v>COFFEE MUG CAT + BIRD DESIGN</v>
      </c>
      <c r="F358" s="1">
        <f ca="1">IFERROR(__xludf.DUMMYFUNCTION("""COMPUTED_VALUE"""),3)</f>
        <v>3</v>
      </c>
      <c r="G358" s="1">
        <f ca="1">IFERROR(__xludf.DUMMYFUNCTION("""COMPUTED_VALUE"""),2.55)</f>
        <v>2.5499999999999998</v>
      </c>
      <c r="J358" s="1" t="str">
        <f ca="1">IFERROR(__xludf.DUMMYFUNCTION("""COMPUTED_VALUE"""),"FAIRY SOAP SOAP HOLDER")</f>
        <v>FAIRY SOAP SOAP HOLDER</v>
      </c>
      <c r="K358" s="1">
        <f ca="1">IFERROR(__xludf.DUMMYFUNCTION("""COMPUTED_VALUE"""),2)</f>
        <v>2</v>
      </c>
      <c r="L358" s="1">
        <f ca="1">IFERROR(__xludf.DUMMYFUNCTION("""COMPUTED_VALUE"""),1.69)</f>
        <v>1.69</v>
      </c>
      <c r="T358" s="1">
        <f ca="1">IFERROR(__xludf.DUMMYFUNCTION("""COMPUTED_VALUE"""),489514)</f>
        <v>489514</v>
      </c>
      <c r="U358" s="1">
        <f ca="1">IFERROR(__xludf.DUMMYFUNCTION("""COMPUTED_VALUE"""),3.38)</f>
        <v>3.38</v>
      </c>
    </row>
    <row r="359" spans="1:21" ht="12.75" x14ac:dyDescent="0.2">
      <c r="A359" s="3">
        <f ca="1">IFERROR(__xludf.DUMMYFUNCTION("""COMPUTED_VALUE"""),40148.4729166666)</f>
        <v>40148.4729166666</v>
      </c>
      <c r="B359" s="1">
        <f ca="1">IFERROR(__xludf.DUMMYFUNCTION("""COMPUTED_VALUE"""),3.75)</f>
        <v>3.75</v>
      </c>
      <c r="E359" s="1" t="str">
        <f ca="1">IFERROR(__xludf.DUMMYFUNCTION("""COMPUTED_VALUE"""),"COFFEE MUG PINK PAISLEY DESIGN")</f>
        <v>COFFEE MUG PINK PAISLEY DESIGN</v>
      </c>
      <c r="F359" s="1">
        <f ca="1">IFERROR(__xludf.DUMMYFUNCTION("""COMPUTED_VALUE"""),3)</f>
        <v>3</v>
      </c>
      <c r="G359" s="1">
        <f ca="1">IFERROR(__xludf.DUMMYFUNCTION("""COMPUTED_VALUE"""),2.55)</f>
        <v>2.5499999999999998</v>
      </c>
      <c r="J359" s="1" t="str">
        <f ca="1">IFERROR(__xludf.DUMMYFUNCTION("""COMPUTED_VALUE"""),"FLOWER VINE RAFFIA FOOD COVER")</f>
        <v>FLOWER VINE RAFFIA FOOD COVER</v>
      </c>
      <c r="K359" s="1">
        <f ca="1">IFERROR(__xludf.DUMMYFUNCTION("""COMPUTED_VALUE"""),2)</f>
        <v>2</v>
      </c>
      <c r="L359" s="1">
        <f ca="1">IFERROR(__xludf.DUMMYFUNCTION("""COMPUTED_VALUE"""),3.75)</f>
        <v>3.75</v>
      </c>
      <c r="T359" s="1">
        <f ca="1">IFERROR(__xludf.DUMMYFUNCTION("""COMPUTED_VALUE"""),489514)</f>
        <v>489514</v>
      </c>
      <c r="U359" s="1">
        <f ca="1">IFERROR(__xludf.DUMMYFUNCTION("""COMPUTED_VALUE"""),7.5)</f>
        <v>7.5</v>
      </c>
    </row>
    <row r="360" spans="1:21" ht="12.75" x14ac:dyDescent="0.2">
      <c r="A360" s="3">
        <f ca="1">IFERROR(__xludf.DUMMYFUNCTION("""COMPUTED_VALUE"""),40148.4729166666)</f>
        <v>40148.4729166666</v>
      </c>
      <c r="B360" s="1">
        <f ca="1">IFERROR(__xludf.DUMMYFUNCTION("""COMPUTED_VALUE"""),2.95)</f>
        <v>2.95</v>
      </c>
      <c r="E360" s="1" t="str">
        <f ca="1">IFERROR(__xludf.DUMMYFUNCTION("""COMPUTED_VALUE"""),"COFFEE MUG BLUE PAISLEY DESIGN")</f>
        <v>COFFEE MUG BLUE PAISLEY DESIGN</v>
      </c>
      <c r="F360" s="1">
        <f ca="1">IFERROR(__xludf.DUMMYFUNCTION("""COMPUTED_VALUE"""),3)</f>
        <v>3</v>
      </c>
      <c r="G360" s="1">
        <f ca="1">IFERROR(__xludf.DUMMYFUNCTION("""COMPUTED_VALUE"""),2.55)</f>
        <v>2.5499999999999998</v>
      </c>
      <c r="J360" s="1" t="str">
        <f ca="1">IFERROR(__xludf.DUMMYFUNCTION("""COMPUTED_VALUE"""),"VINTAGE NOTEBOOK PARIS DAYS")</f>
        <v>VINTAGE NOTEBOOK PARIS DAYS</v>
      </c>
      <c r="K360" s="1">
        <f ca="1">IFERROR(__xludf.DUMMYFUNCTION("""COMPUTED_VALUE"""),2)</f>
        <v>2</v>
      </c>
      <c r="L360" s="1">
        <f ca="1">IFERROR(__xludf.DUMMYFUNCTION("""COMPUTED_VALUE"""),2.95)</f>
        <v>2.95</v>
      </c>
      <c r="T360" s="1">
        <f ca="1">IFERROR(__xludf.DUMMYFUNCTION("""COMPUTED_VALUE"""),489514)</f>
        <v>489514</v>
      </c>
      <c r="U360" s="1">
        <f ca="1">IFERROR(__xludf.DUMMYFUNCTION("""COMPUTED_VALUE"""),5.9)</f>
        <v>5.9</v>
      </c>
    </row>
    <row r="361" spans="1:21" ht="12.75" x14ac:dyDescent="0.2">
      <c r="A361" s="3">
        <f ca="1">IFERROR(__xludf.DUMMYFUNCTION("""COMPUTED_VALUE"""),40148.4729166666)</f>
        <v>40148.4729166666</v>
      </c>
      <c r="B361" s="1">
        <f ca="1">IFERROR(__xludf.DUMMYFUNCTION("""COMPUTED_VALUE"""),4.65)</f>
        <v>4.6500000000000004</v>
      </c>
      <c r="E361" s="1" t="str">
        <f ca="1">IFERROR(__xludf.DUMMYFUNCTION("""COMPUTED_VALUE"""),"COFFEE MUG PEARS  DESIGN")</f>
        <v>COFFEE MUG PEARS  DESIGN</v>
      </c>
      <c r="F361" s="1">
        <f ca="1">IFERROR(__xludf.DUMMYFUNCTION("""COMPUTED_VALUE"""),3)</f>
        <v>3</v>
      </c>
      <c r="G361" s="1">
        <f ca="1">IFERROR(__xludf.DUMMYFUNCTION("""COMPUTED_VALUE"""),2.55)</f>
        <v>2.5499999999999998</v>
      </c>
      <c r="J361" s="1" t="str">
        <f ca="1">IFERROR(__xludf.DUMMYFUNCTION("""COMPUTED_VALUE"""),"ENGLISH ROSE TEA SET IN GIFT BOX")</f>
        <v>ENGLISH ROSE TEA SET IN GIFT BOX</v>
      </c>
      <c r="K361" s="1">
        <f ca="1">IFERROR(__xludf.DUMMYFUNCTION("""COMPUTED_VALUE"""),2)</f>
        <v>2</v>
      </c>
      <c r="L361" s="1">
        <f ca="1">IFERROR(__xludf.DUMMYFUNCTION("""COMPUTED_VALUE"""),4.65)</f>
        <v>4.6500000000000004</v>
      </c>
      <c r="T361" s="1">
        <f ca="1">IFERROR(__xludf.DUMMYFUNCTION("""COMPUTED_VALUE"""),489514)</f>
        <v>489514</v>
      </c>
      <c r="U361" s="1">
        <f ca="1">IFERROR(__xludf.DUMMYFUNCTION("""COMPUTED_VALUE"""),9.3)</f>
        <v>9.3000000000000007</v>
      </c>
    </row>
    <row r="362" spans="1:21" ht="12.75" x14ac:dyDescent="0.2">
      <c r="A362" s="3">
        <f ca="1">IFERROR(__xludf.DUMMYFUNCTION("""COMPUTED_VALUE"""),40148.4729166666)</f>
        <v>40148.4729166666</v>
      </c>
      <c r="B362" s="1">
        <f ca="1">IFERROR(__xludf.DUMMYFUNCTION("""COMPUTED_VALUE"""),1.25)</f>
        <v>1.25</v>
      </c>
      <c r="E362" s="1" t="str">
        <f ca="1">IFERROR(__xludf.DUMMYFUNCTION("""COMPUTED_VALUE"""),"COFFEE MUG APPLES DESIGN")</f>
        <v>COFFEE MUG APPLES DESIGN</v>
      </c>
      <c r="F362" s="1">
        <f ca="1">IFERROR(__xludf.DUMMYFUNCTION("""COMPUTED_VALUE"""),3)</f>
        <v>3</v>
      </c>
      <c r="G362" s="1">
        <f ca="1">IFERROR(__xludf.DUMMYFUNCTION("""COMPUTED_VALUE"""),2.55)</f>
        <v>2.5499999999999998</v>
      </c>
      <c r="J362" s="1" t="str">
        <f ca="1">IFERROR(__xludf.DUMMYFUNCTION("""COMPUTED_VALUE"""),"PINK UNION JACK  LUGGAGE TAG")</f>
        <v>PINK UNION JACK  LUGGAGE TAG</v>
      </c>
      <c r="K362" s="1">
        <f ca="1">IFERROR(__xludf.DUMMYFUNCTION("""COMPUTED_VALUE"""),1)</f>
        <v>1</v>
      </c>
      <c r="L362" s="1">
        <f ca="1">IFERROR(__xludf.DUMMYFUNCTION("""COMPUTED_VALUE"""),1.25)</f>
        <v>1.25</v>
      </c>
      <c r="T362" s="1">
        <f ca="1">IFERROR(__xludf.DUMMYFUNCTION("""COMPUTED_VALUE"""),489514)</f>
        <v>489514</v>
      </c>
      <c r="U362" s="1">
        <f ca="1">IFERROR(__xludf.DUMMYFUNCTION("""COMPUTED_VALUE"""),1.25)</f>
        <v>1.25</v>
      </c>
    </row>
    <row r="363" spans="1:21" ht="12.75" x14ac:dyDescent="0.2">
      <c r="A363" s="3">
        <f ca="1">IFERROR(__xludf.DUMMYFUNCTION("""COMPUTED_VALUE"""),40148.4729166666)</f>
        <v>40148.4729166666</v>
      </c>
      <c r="B363" s="1">
        <f ca="1">IFERROR(__xludf.DUMMYFUNCTION("""COMPUTED_VALUE"""),2.1)</f>
        <v>2.1</v>
      </c>
      <c r="E363" s="1" t="str">
        <f ca="1">IFERROR(__xludf.DUMMYFUNCTION("""COMPUTED_VALUE"""),"BINGO SET")</f>
        <v>BINGO SET</v>
      </c>
      <c r="F363" s="1">
        <f ca="1">IFERROR(__xludf.DUMMYFUNCTION("""COMPUTED_VALUE"""),3)</f>
        <v>3</v>
      </c>
      <c r="G363" s="1">
        <f ca="1">IFERROR(__xludf.DUMMYFUNCTION("""COMPUTED_VALUE"""),3.75)</f>
        <v>3.75</v>
      </c>
      <c r="J363" s="1" t="str">
        <f ca="1">IFERROR(__xludf.DUMMYFUNCTION("""COMPUTED_VALUE"""),"AIRLINE LOUNGE,METAL SIGN")</f>
        <v>AIRLINE LOUNGE,METAL SIGN</v>
      </c>
      <c r="K363" s="1">
        <f ca="1">IFERROR(__xludf.DUMMYFUNCTION("""COMPUTED_VALUE"""),1)</f>
        <v>1</v>
      </c>
      <c r="L363" s="1">
        <f ca="1">IFERROR(__xludf.DUMMYFUNCTION("""COMPUTED_VALUE"""),2.1)</f>
        <v>2.1</v>
      </c>
      <c r="T363" s="1">
        <f ca="1">IFERROR(__xludf.DUMMYFUNCTION("""COMPUTED_VALUE"""),489514)</f>
        <v>489514</v>
      </c>
      <c r="U363" s="1">
        <f ca="1">IFERROR(__xludf.DUMMYFUNCTION("""COMPUTED_VALUE"""),2.1)</f>
        <v>2.1</v>
      </c>
    </row>
    <row r="364" spans="1:21" ht="12.75" x14ac:dyDescent="0.2">
      <c r="A364" s="3">
        <f ca="1">IFERROR(__xludf.DUMMYFUNCTION("""COMPUTED_VALUE"""),40148.4729166666)</f>
        <v>40148.4729166666</v>
      </c>
      <c r="B364" s="1">
        <f ca="1">IFERROR(__xludf.DUMMYFUNCTION("""COMPUTED_VALUE"""),7.95)</f>
        <v>7.95</v>
      </c>
      <c r="E364" s="1" t="str">
        <f ca="1">IFERROR(__xludf.DUMMYFUNCTION("""COMPUTED_VALUE"""),"CHOCOLATE THIS WAY METAL SIGN")</f>
        <v>CHOCOLATE THIS WAY METAL SIGN</v>
      </c>
      <c r="F364" s="1">
        <f ca="1">IFERROR(__xludf.DUMMYFUNCTION("""COMPUTED_VALUE"""),3)</f>
        <v>3</v>
      </c>
      <c r="G364" s="1">
        <f ca="1">IFERROR(__xludf.DUMMYFUNCTION("""COMPUTED_VALUE"""),2.1)</f>
        <v>2.1</v>
      </c>
      <c r="J364" s="1" t="str">
        <f ca="1">IFERROR(__xludf.DUMMYFUNCTION("""COMPUTED_VALUE"""),"SQUARE MIRROR CURTAIN")</f>
        <v>SQUARE MIRROR CURTAIN</v>
      </c>
      <c r="K364" s="1">
        <f ca="1">IFERROR(__xludf.DUMMYFUNCTION("""COMPUTED_VALUE"""),1)</f>
        <v>1</v>
      </c>
      <c r="L364" s="1">
        <f ca="1">IFERROR(__xludf.DUMMYFUNCTION("""COMPUTED_VALUE"""),7.95)</f>
        <v>7.95</v>
      </c>
      <c r="T364" s="1">
        <f ca="1">IFERROR(__xludf.DUMMYFUNCTION("""COMPUTED_VALUE"""),489514)</f>
        <v>489514</v>
      </c>
      <c r="U364" s="1">
        <f ca="1">IFERROR(__xludf.DUMMYFUNCTION("""COMPUTED_VALUE"""),7.95)</f>
        <v>7.95</v>
      </c>
    </row>
    <row r="365" spans="1:21" ht="12.75" x14ac:dyDescent="0.2">
      <c r="A365" s="3">
        <f ca="1">IFERROR(__xludf.DUMMYFUNCTION("""COMPUTED_VALUE"""),40148.4819444444)</f>
        <v>40148.4819444444</v>
      </c>
      <c r="B365" s="1">
        <f ca="1">IFERROR(__xludf.DUMMYFUNCTION("""COMPUTED_VALUE"""),1.65)</f>
        <v>1.65</v>
      </c>
      <c r="E365" s="1" t="str">
        <f ca="1">IFERROR(__xludf.DUMMYFUNCTION("""COMPUTED_VALUE"""),"WHITE SKULL HOT WATER BOTTLE")</f>
        <v>WHITE SKULL HOT WATER BOTTLE</v>
      </c>
      <c r="F365" s="1">
        <f ca="1">IFERROR(__xludf.DUMMYFUNCTION("""COMPUTED_VALUE"""),2)</f>
        <v>2</v>
      </c>
      <c r="G365" s="1">
        <f ca="1">IFERROR(__xludf.DUMMYFUNCTION("""COMPUTED_VALUE"""),3.75)</f>
        <v>3.75</v>
      </c>
      <c r="J365" s="1" t="str">
        <f ca="1">IFERROR(__xludf.DUMMYFUNCTION("""COMPUTED_VALUE"""),"RETRO SPOT SMALL TUBE MATCHES")</f>
        <v>RETRO SPOT SMALL TUBE MATCHES</v>
      </c>
      <c r="K365" s="1">
        <f ca="1">IFERROR(__xludf.DUMMYFUNCTION("""COMPUTED_VALUE"""),20)</f>
        <v>20</v>
      </c>
      <c r="L365" s="1">
        <f ca="1">IFERROR(__xludf.DUMMYFUNCTION("""COMPUTED_VALUE"""),1.65)</f>
        <v>1.65</v>
      </c>
      <c r="T365" s="1">
        <f ca="1">IFERROR(__xludf.DUMMYFUNCTION("""COMPUTED_VALUE"""),489517)</f>
        <v>489517</v>
      </c>
      <c r="U365" s="1">
        <f ca="1">IFERROR(__xludf.DUMMYFUNCTION("""COMPUTED_VALUE"""),33)</f>
        <v>33</v>
      </c>
    </row>
    <row r="366" spans="1:21" ht="12.75" x14ac:dyDescent="0.2">
      <c r="A366" s="3">
        <f ca="1">IFERROR(__xludf.DUMMYFUNCTION("""COMPUTED_VALUE"""),40148.4819444444)</f>
        <v>40148.4819444444</v>
      </c>
      <c r="B366" s="1">
        <f ca="1">IFERROR(__xludf.DUMMYFUNCTION("""COMPUTED_VALUE"""),0.65)</f>
        <v>0.65</v>
      </c>
      <c r="E366" s="1" t="str">
        <f ca="1">IFERROR(__xludf.DUMMYFUNCTION("""COMPUTED_VALUE"""),"SCOTTIE DOG HOT WATER BOTTLE")</f>
        <v>SCOTTIE DOG HOT WATER BOTTLE</v>
      </c>
      <c r="F366" s="1">
        <f ca="1">IFERROR(__xludf.DUMMYFUNCTION("""COMPUTED_VALUE"""),2)</f>
        <v>2</v>
      </c>
      <c r="G366" s="1">
        <f ca="1">IFERROR(__xludf.DUMMYFUNCTION("""COMPUTED_VALUE"""),4.95)</f>
        <v>4.95</v>
      </c>
      <c r="J366" s="1" t="str">
        <f ca="1">IFERROR(__xludf.DUMMYFUNCTION("""COMPUTED_VALUE"""),"HAIRCLIPS FORTIES FABRIC ASSORTED")</f>
        <v>HAIRCLIPS FORTIES FABRIC ASSORTED</v>
      </c>
      <c r="K366" s="1">
        <f ca="1">IFERROR(__xludf.DUMMYFUNCTION("""COMPUTED_VALUE"""),12)</f>
        <v>12</v>
      </c>
      <c r="L366" s="1">
        <f ca="1">IFERROR(__xludf.DUMMYFUNCTION("""COMPUTED_VALUE"""),0.65)</f>
        <v>0.65</v>
      </c>
      <c r="T366" s="1">
        <f ca="1">IFERROR(__xludf.DUMMYFUNCTION("""COMPUTED_VALUE"""),489517)</f>
        <v>489517</v>
      </c>
      <c r="U366" s="1">
        <f ca="1">IFERROR(__xludf.DUMMYFUNCTION("""COMPUTED_VALUE"""),7.8)</f>
        <v>7.8</v>
      </c>
    </row>
    <row r="367" spans="1:21" ht="12.75" x14ac:dyDescent="0.2">
      <c r="A367" s="3">
        <f ca="1">IFERROR(__xludf.DUMMYFUNCTION("""COMPUTED_VALUE"""),40148.4819444444)</f>
        <v>40148.4819444444</v>
      </c>
      <c r="B367" s="1">
        <f ca="1">IFERROR(__xludf.DUMMYFUNCTION("""COMPUTED_VALUE"""),3.75)</f>
        <v>3.75</v>
      </c>
      <c r="E367" s="1" t="str">
        <f ca="1">IFERROR(__xludf.DUMMYFUNCTION("""COMPUTED_VALUE"""),"URBAN CHIC CHOPSTICKS SET/5")</f>
        <v>URBAN CHIC CHOPSTICKS SET/5</v>
      </c>
      <c r="F367" s="1">
        <f ca="1">IFERROR(__xludf.DUMMYFUNCTION("""COMPUTED_VALUE"""),2)</f>
        <v>2</v>
      </c>
      <c r="G367" s="1">
        <f ca="1">IFERROR(__xludf.DUMMYFUNCTION("""COMPUTED_VALUE"""),1.95)</f>
        <v>1.95</v>
      </c>
      <c r="J367" s="1" t="str">
        <f ca="1">IFERROR(__xludf.DUMMYFUNCTION("""COMPUTED_VALUE"""),"RED 3 PIECE MINI DOTS CUTLERY SET")</f>
        <v>RED 3 PIECE MINI DOTS CUTLERY SET</v>
      </c>
      <c r="K367" s="1">
        <f ca="1">IFERROR(__xludf.DUMMYFUNCTION("""COMPUTED_VALUE"""),12)</f>
        <v>12</v>
      </c>
      <c r="L367" s="1">
        <f ca="1">IFERROR(__xludf.DUMMYFUNCTION("""COMPUTED_VALUE"""),3.75)</f>
        <v>3.75</v>
      </c>
      <c r="T367" s="1">
        <f ca="1">IFERROR(__xludf.DUMMYFUNCTION("""COMPUTED_VALUE"""),489517)</f>
        <v>489517</v>
      </c>
      <c r="U367" s="1">
        <f ca="1">IFERROR(__xludf.DUMMYFUNCTION("""COMPUTED_VALUE"""),45)</f>
        <v>45</v>
      </c>
    </row>
    <row r="368" spans="1:21" ht="12.75" x14ac:dyDescent="0.2">
      <c r="A368" s="3">
        <f ca="1">IFERROR(__xludf.DUMMYFUNCTION("""COMPUTED_VALUE"""),40148.4819444444)</f>
        <v>40148.4819444444</v>
      </c>
      <c r="B368" s="1">
        <f ca="1">IFERROR(__xludf.DUMMYFUNCTION("""COMPUTED_VALUE"""),3.75)</f>
        <v>3.75</v>
      </c>
      <c r="E368" s="1" t="str">
        <f ca="1">IFERROR(__xludf.DUMMYFUNCTION("""COMPUTED_VALUE"""),"KINGS CHOICE SMALL TUBE MATCHES")</f>
        <v>KINGS CHOICE SMALL TUBE MATCHES</v>
      </c>
      <c r="F368" s="1">
        <f ca="1">IFERROR(__xludf.DUMMYFUNCTION("""COMPUTED_VALUE"""),2)</f>
        <v>2</v>
      </c>
      <c r="G368" s="1">
        <f ca="1">IFERROR(__xludf.DUMMYFUNCTION("""COMPUTED_VALUE"""),1.65)</f>
        <v>1.65</v>
      </c>
      <c r="J368" s="1" t="str">
        <f ca="1">IFERROR(__xludf.DUMMYFUNCTION("""COMPUTED_VALUE"""),"GREEN 3 PIECE MINI DOTS CUTLERY SET")</f>
        <v>GREEN 3 PIECE MINI DOTS CUTLERY SET</v>
      </c>
      <c r="K368" s="1">
        <f ca="1">IFERROR(__xludf.DUMMYFUNCTION("""COMPUTED_VALUE"""),12)</f>
        <v>12</v>
      </c>
      <c r="L368" s="1">
        <f ca="1">IFERROR(__xludf.DUMMYFUNCTION("""COMPUTED_VALUE"""),3.75)</f>
        <v>3.75</v>
      </c>
      <c r="T368" s="1">
        <f ca="1">IFERROR(__xludf.DUMMYFUNCTION("""COMPUTED_VALUE"""),489517)</f>
        <v>489517</v>
      </c>
      <c r="U368" s="1">
        <f ca="1">IFERROR(__xludf.DUMMYFUNCTION("""COMPUTED_VALUE"""),45)</f>
        <v>45</v>
      </c>
    </row>
    <row r="369" spans="1:21" ht="12.75" x14ac:dyDescent="0.2">
      <c r="A369" s="3">
        <f ca="1">IFERROR(__xludf.DUMMYFUNCTION("""COMPUTED_VALUE"""),40148.4819444444)</f>
        <v>40148.4819444444</v>
      </c>
      <c r="B369" s="1">
        <f ca="1">IFERROR(__xludf.DUMMYFUNCTION("""COMPUTED_VALUE"""),2.95)</f>
        <v>2.95</v>
      </c>
      <c r="E369" s="1" t="str">
        <f ca="1">IFERROR(__xludf.DUMMYFUNCTION("""COMPUTED_VALUE"""),"RETRO SPOT SMALL TUBE MATCHES")</f>
        <v>RETRO SPOT SMALL TUBE MATCHES</v>
      </c>
      <c r="F369" s="1">
        <f ca="1">IFERROR(__xludf.DUMMYFUNCTION("""COMPUTED_VALUE"""),2)</f>
        <v>2</v>
      </c>
      <c r="G369" s="1">
        <f ca="1">IFERROR(__xludf.DUMMYFUNCTION("""COMPUTED_VALUE"""),1.65)</f>
        <v>1.65</v>
      </c>
      <c r="J369" s="1" t="str">
        <f ca="1">IFERROR(__xludf.DUMMYFUNCTION("""COMPUTED_VALUE"""),"SET OF 2 FANCY FONT TEA TOWELS")</f>
        <v>SET OF 2 FANCY FONT TEA TOWELS</v>
      </c>
      <c r="K369" s="1">
        <f ca="1">IFERROR(__xludf.DUMMYFUNCTION("""COMPUTED_VALUE"""),12)</f>
        <v>12</v>
      </c>
      <c r="L369" s="1">
        <f ca="1">IFERROR(__xludf.DUMMYFUNCTION("""COMPUTED_VALUE"""),2.95)</f>
        <v>2.95</v>
      </c>
      <c r="T369" s="1">
        <f ca="1">IFERROR(__xludf.DUMMYFUNCTION("""COMPUTED_VALUE"""),489517)</f>
        <v>489517</v>
      </c>
      <c r="U369" s="1">
        <f ca="1">IFERROR(__xludf.DUMMYFUNCTION("""COMPUTED_VALUE"""),35.4)</f>
        <v>35.4</v>
      </c>
    </row>
    <row r="370" spans="1:21" ht="12.75" x14ac:dyDescent="0.2">
      <c r="A370" s="3">
        <f ca="1">IFERROR(__xludf.DUMMYFUNCTION("""COMPUTED_VALUE"""),40148.4819444444)</f>
        <v>40148.4819444444</v>
      </c>
      <c r="B370" s="1">
        <f ca="1">IFERROR(__xludf.DUMMYFUNCTION("""COMPUTED_VALUE"""),0.65)</f>
        <v>0.65</v>
      </c>
      <c r="E370" s="1" t="str">
        <f ca="1">IFERROR(__xludf.DUMMYFUNCTION("""COMPUTED_VALUE"""),"WOODEN BOX OF DOMINOES")</f>
        <v>WOODEN BOX OF DOMINOES</v>
      </c>
      <c r="F370" s="1">
        <f ca="1">IFERROR(__xludf.DUMMYFUNCTION("""COMPUTED_VALUE"""),2)</f>
        <v>2</v>
      </c>
      <c r="G370" s="1">
        <f ca="1">IFERROR(__xludf.DUMMYFUNCTION("""COMPUTED_VALUE"""),1.25)</f>
        <v>1.25</v>
      </c>
      <c r="J370" s="1" t="str">
        <f ca="1">IFERROR(__xludf.DUMMYFUNCTION("""COMPUTED_VALUE"""),"HAIRCLIPS FORTIES FABRIC ASSORTED")</f>
        <v>HAIRCLIPS FORTIES FABRIC ASSORTED</v>
      </c>
      <c r="K370" s="1">
        <f ca="1">IFERROR(__xludf.DUMMYFUNCTION("""COMPUTED_VALUE"""),12)</f>
        <v>12</v>
      </c>
      <c r="L370" s="1">
        <f ca="1">IFERROR(__xludf.DUMMYFUNCTION("""COMPUTED_VALUE"""),0.65)</f>
        <v>0.65</v>
      </c>
      <c r="T370" s="1">
        <f ca="1">IFERROR(__xludf.DUMMYFUNCTION("""COMPUTED_VALUE"""),489517)</f>
        <v>489517</v>
      </c>
      <c r="U370" s="1">
        <f ca="1">IFERROR(__xludf.DUMMYFUNCTION("""COMPUTED_VALUE"""),7.8)</f>
        <v>7.8</v>
      </c>
    </row>
    <row r="371" spans="1:21" ht="12.75" x14ac:dyDescent="0.2">
      <c r="A371" s="3">
        <f ca="1">IFERROR(__xludf.DUMMYFUNCTION("""COMPUTED_VALUE"""),40148.4819444444)</f>
        <v>40148.4819444444</v>
      </c>
      <c r="B371" s="1">
        <f ca="1">IFERROR(__xludf.DUMMYFUNCTION("""COMPUTED_VALUE"""),0.85)</f>
        <v>0.85</v>
      </c>
      <c r="E371" s="1" t="str">
        <f ca="1">IFERROR(__xludf.DUMMYFUNCTION("""COMPUTED_VALUE"""),"GREEN CHRISTMAS TREE STRING 20LIGHT")</f>
        <v>GREEN CHRISTMAS TREE STRING 20LIGHT</v>
      </c>
      <c r="F371" s="1">
        <f ca="1">IFERROR(__xludf.DUMMYFUNCTION("""COMPUTED_VALUE"""),2)</f>
        <v>2</v>
      </c>
      <c r="G371" s="1">
        <f ca="1">IFERROR(__xludf.DUMMYFUNCTION("""COMPUTED_VALUE"""),4.95)</f>
        <v>4.95</v>
      </c>
      <c r="J371" s="1" t="str">
        <f ca="1">IFERROR(__xludf.DUMMYFUNCTION("""COMPUTED_VALUE"""),"PARTY CONE CHRISTMAS DECORATION")</f>
        <v>PARTY CONE CHRISTMAS DECORATION</v>
      </c>
      <c r="K371" s="1">
        <f ca="1">IFERROR(__xludf.DUMMYFUNCTION("""COMPUTED_VALUE"""),6)</f>
        <v>6</v>
      </c>
      <c r="L371" s="1">
        <f ca="1">IFERROR(__xludf.DUMMYFUNCTION("""COMPUTED_VALUE"""),0.85)</f>
        <v>0.85</v>
      </c>
      <c r="T371" s="1">
        <f ca="1">IFERROR(__xludf.DUMMYFUNCTION("""COMPUTED_VALUE"""),489517)</f>
        <v>489517</v>
      </c>
      <c r="U371" s="1">
        <f ca="1">IFERROR(__xludf.DUMMYFUNCTION("""COMPUTED_VALUE"""),5.1)</f>
        <v>5.0999999999999996</v>
      </c>
    </row>
    <row r="372" spans="1:21" ht="12.75" x14ac:dyDescent="0.2">
      <c r="A372" s="3">
        <f ca="1">IFERROR(__xludf.DUMMYFUNCTION("""COMPUTED_VALUE"""),40148.4819444444)</f>
        <v>40148.4819444444</v>
      </c>
      <c r="B372" s="1">
        <f ca="1">IFERROR(__xludf.DUMMYFUNCTION("""COMPUTED_VALUE"""),1.25)</f>
        <v>1.25</v>
      </c>
      <c r="E372" s="1" t="str">
        <f ca="1">IFERROR(__xludf.DUMMYFUNCTION("""COMPUTED_VALUE"""),"RED REINDEER STRING OF 20 LIGHTS")</f>
        <v>RED REINDEER STRING OF 20 LIGHTS</v>
      </c>
      <c r="F372" s="1">
        <f ca="1">IFERROR(__xludf.DUMMYFUNCTION("""COMPUTED_VALUE"""),2)</f>
        <v>2</v>
      </c>
      <c r="G372" s="1">
        <f ca="1">IFERROR(__xludf.DUMMYFUNCTION("""COMPUTED_VALUE"""),4.95)</f>
        <v>4.95</v>
      </c>
      <c r="J372" s="1" t="str">
        <f ca="1">IFERROR(__xludf.DUMMYFUNCTION("""COMPUTED_VALUE"""),"VINTAGE HEADS AND TAILS CARD GAME")</f>
        <v>VINTAGE HEADS AND TAILS CARD GAME</v>
      </c>
      <c r="K372" s="1">
        <f ca="1">IFERROR(__xludf.DUMMYFUNCTION("""COMPUTED_VALUE"""),6)</f>
        <v>6</v>
      </c>
      <c r="L372" s="1">
        <f ca="1">IFERROR(__xludf.DUMMYFUNCTION("""COMPUTED_VALUE"""),1.25)</f>
        <v>1.25</v>
      </c>
      <c r="T372" s="1">
        <f ca="1">IFERROR(__xludf.DUMMYFUNCTION("""COMPUTED_VALUE"""),489517)</f>
        <v>489517</v>
      </c>
      <c r="U372" s="1">
        <f ca="1">IFERROR(__xludf.DUMMYFUNCTION("""COMPUTED_VALUE"""),7.5)</f>
        <v>7.5</v>
      </c>
    </row>
    <row r="373" spans="1:21" ht="12.75" x14ac:dyDescent="0.2">
      <c r="A373" s="3">
        <f ca="1">IFERROR(__xludf.DUMMYFUNCTION("""COMPUTED_VALUE"""),40148.4819444444)</f>
        <v>40148.4819444444</v>
      </c>
      <c r="B373" s="1">
        <f ca="1">IFERROR(__xludf.DUMMYFUNCTION("""COMPUTED_VALUE"""),0.85)</f>
        <v>0.85</v>
      </c>
      <c r="E373" s="1" t="str">
        <f ca="1">IFERROR(__xludf.DUMMYFUNCTION("""COMPUTED_VALUE"""),"RETRO SPOT GIANT  TUBE MATCHES")</f>
        <v>RETRO SPOT GIANT  TUBE MATCHES</v>
      </c>
      <c r="F373" s="1">
        <f ca="1">IFERROR(__xludf.DUMMYFUNCTION("""COMPUTED_VALUE"""),2)</f>
        <v>2</v>
      </c>
      <c r="G373" s="1">
        <f ca="1">IFERROR(__xludf.DUMMYFUNCTION("""COMPUTED_VALUE"""),2.55)</f>
        <v>2.5499999999999998</v>
      </c>
      <c r="J373" s="1" t="str">
        <f ca="1">IFERROR(__xludf.DUMMYFUNCTION("""COMPUTED_VALUE"""),"PARTY CONE CHRISTMAS DECORATION")</f>
        <v>PARTY CONE CHRISTMAS DECORATION</v>
      </c>
      <c r="K373" s="1">
        <f ca="1">IFERROR(__xludf.DUMMYFUNCTION("""COMPUTED_VALUE"""),6)</f>
        <v>6</v>
      </c>
      <c r="L373" s="1">
        <f ca="1">IFERROR(__xludf.DUMMYFUNCTION("""COMPUTED_VALUE"""),0.85)</f>
        <v>0.85</v>
      </c>
      <c r="T373" s="1">
        <f ca="1">IFERROR(__xludf.DUMMYFUNCTION("""COMPUTED_VALUE"""),489517)</f>
        <v>489517</v>
      </c>
      <c r="U373" s="1">
        <f ca="1">IFERROR(__xludf.DUMMYFUNCTION("""COMPUTED_VALUE"""),5.1)</f>
        <v>5.0999999999999996</v>
      </c>
    </row>
    <row r="374" spans="1:21" ht="12.75" x14ac:dyDescent="0.2">
      <c r="A374" s="3">
        <f ca="1">IFERROR(__xludf.DUMMYFUNCTION("""COMPUTED_VALUE"""),40148.4819444444)</f>
        <v>40148.4819444444</v>
      </c>
      <c r="B374" s="1">
        <f ca="1">IFERROR(__xludf.DUMMYFUNCTION("""COMPUTED_VALUE"""),0.85)</f>
        <v>0.85</v>
      </c>
      <c r="E374" s="1" t="str">
        <f ca="1">IFERROR(__xludf.DUMMYFUNCTION("""COMPUTED_VALUE"""),"MINATURE COLOURED GARDENING SET")</f>
        <v>MINATURE COLOURED GARDENING SET</v>
      </c>
      <c r="F374" s="1">
        <f ca="1">IFERROR(__xludf.DUMMYFUNCTION("""COMPUTED_VALUE"""),2)</f>
        <v>2</v>
      </c>
      <c r="G374" s="1">
        <f ca="1">IFERROR(__xludf.DUMMYFUNCTION("""COMPUTED_VALUE"""),4.95)</f>
        <v>4.95</v>
      </c>
      <c r="J374" s="1" t="str">
        <f ca="1">IFERROR(__xludf.DUMMYFUNCTION("""COMPUTED_VALUE"""),"VINTAGE SNAP CARDS")</f>
        <v>VINTAGE SNAP CARDS</v>
      </c>
      <c r="K374" s="1">
        <f ca="1">IFERROR(__xludf.DUMMYFUNCTION("""COMPUTED_VALUE"""),4)</f>
        <v>4</v>
      </c>
      <c r="L374" s="1">
        <f ca="1">IFERROR(__xludf.DUMMYFUNCTION("""COMPUTED_VALUE"""),0.85)</f>
        <v>0.85</v>
      </c>
      <c r="T374" s="1">
        <f ca="1">IFERROR(__xludf.DUMMYFUNCTION("""COMPUTED_VALUE"""),489517)</f>
        <v>489517</v>
      </c>
      <c r="U374" s="1">
        <f ca="1">IFERROR(__xludf.DUMMYFUNCTION("""COMPUTED_VALUE"""),3.4)</f>
        <v>3.4</v>
      </c>
    </row>
    <row r="375" spans="1:21" ht="12.75" x14ac:dyDescent="0.2">
      <c r="A375" s="3">
        <f ca="1">IFERROR(__xludf.DUMMYFUNCTION("""COMPUTED_VALUE"""),40148.4819444444)</f>
        <v>40148.4819444444</v>
      </c>
      <c r="B375" s="1">
        <f ca="1">IFERROR(__xludf.DUMMYFUNCTION("""COMPUTED_VALUE"""),1.69)</f>
        <v>1.69</v>
      </c>
      <c r="E375" s="1" t="str">
        <f ca="1">IFERROR(__xludf.DUMMYFUNCTION("""COMPUTED_VALUE"""),"PLEASE ONE PERSON  METAL SIGN")</f>
        <v>PLEASE ONE PERSON  METAL SIGN</v>
      </c>
      <c r="F375" s="1">
        <f ca="1">IFERROR(__xludf.DUMMYFUNCTION("""COMPUTED_VALUE"""),2)</f>
        <v>2</v>
      </c>
      <c r="G375" s="1">
        <f ca="1">IFERROR(__xludf.DUMMYFUNCTION("""COMPUTED_VALUE"""),2.1)</f>
        <v>2.1</v>
      </c>
      <c r="J375" s="1" t="str">
        <f ca="1">IFERROR(__xludf.DUMMYFUNCTION("""COMPUTED_VALUE"""),"BLUE  SPOTTY PLATE")</f>
        <v>BLUE  SPOTTY PLATE</v>
      </c>
      <c r="K375" s="1">
        <f ca="1">IFERROR(__xludf.DUMMYFUNCTION("""COMPUTED_VALUE"""),4)</f>
        <v>4</v>
      </c>
      <c r="L375" s="1">
        <f ca="1">IFERROR(__xludf.DUMMYFUNCTION("""COMPUTED_VALUE"""),1.69)</f>
        <v>1.69</v>
      </c>
      <c r="T375" s="1">
        <f ca="1">IFERROR(__xludf.DUMMYFUNCTION("""COMPUTED_VALUE"""),489517)</f>
        <v>489517</v>
      </c>
      <c r="U375" s="1">
        <f ca="1">IFERROR(__xludf.DUMMYFUNCTION("""COMPUTED_VALUE"""),6.76)</f>
        <v>6.76</v>
      </c>
    </row>
    <row r="376" spans="1:21" ht="12.75" x14ac:dyDescent="0.2">
      <c r="A376" s="3">
        <f ca="1">IFERROR(__xludf.DUMMYFUNCTION("""COMPUTED_VALUE"""),40148.4819444444)</f>
        <v>40148.4819444444</v>
      </c>
      <c r="B376" s="1">
        <f ca="1">IFERROR(__xludf.DUMMYFUNCTION("""COMPUTED_VALUE"""),1.25)</f>
        <v>1.25</v>
      </c>
      <c r="E376" s="1" t="str">
        <f ca="1">IFERROR(__xludf.DUMMYFUNCTION("""COMPUTED_VALUE"""),"COOK WITH WINE METAL SIGN")</f>
        <v>COOK WITH WINE METAL SIGN</v>
      </c>
      <c r="F376" s="1">
        <f ca="1">IFERROR(__xludf.DUMMYFUNCTION("""COMPUTED_VALUE"""),2)</f>
        <v>2</v>
      </c>
      <c r="G376" s="1">
        <f ca="1">IFERROR(__xludf.DUMMYFUNCTION("""COMPUTED_VALUE"""),1.95)</f>
        <v>1.95</v>
      </c>
      <c r="J376" s="1" t="str">
        <f ca="1">IFERROR(__xludf.DUMMYFUNCTION("""COMPUTED_VALUE"""),"BLUE SPOTTY BOWL")</f>
        <v>BLUE SPOTTY BOWL</v>
      </c>
      <c r="K376" s="1">
        <f ca="1">IFERROR(__xludf.DUMMYFUNCTION("""COMPUTED_VALUE"""),4)</f>
        <v>4</v>
      </c>
      <c r="L376" s="1">
        <f ca="1">IFERROR(__xludf.DUMMYFUNCTION("""COMPUTED_VALUE"""),1.25)</f>
        <v>1.25</v>
      </c>
      <c r="T376" s="1">
        <f ca="1">IFERROR(__xludf.DUMMYFUNCTION("""COMPUTED_VALUE"""),489517)</f>
        <v>489517</v>
      </c>
      <c r="U376" s="1">
        <f ca="1">IFERROR(__xludf.DUMMYFUNCTION("""COMPUTED_VALUE"""),5)</f>
        <v>5</v>
      </c>
    </row>
    <row r="377" spans="1:21" ht="12.75" x14ac:dyDescent="0.2">
      <c r="A377" s="3">
        <f ca="1">IFERROR(__xludf.DUMMYFUNCTION("""COMPUTED_VALUE"""),40148.4819444444)</f>
        <v>40148.4819444444</v>
      </c>
      <c r="B377" s="1">
        <f ca="1">IFERROR(__xludf.DUMMYFUNCTION("""COMPUTED_VALUE"""),2.95)</f>
        <v>2.95</v>
      </c>
      <c r="E377" s="1" t="str">
        <f ca="1">IFERROR(__xludf.DUMMYFUNCTION("""COMPUTED_VALUE"""),"GIN + TONIC DIET METAL SIGN")</f>
        <v>GIN + TONIC DIET METAL SIGN</v>
      </c>
      <c r="F377" s="1">
        <f ca="1">IFERROR(__xludf.DUMMYFUNCTION("""COMPUTED_VALUE"""),2)</f>
        <v>2</v>
      </c>
      <c r="G377" s="1">
        <f ca="1">IFERROR(__xludf.DUMMYFUNCTION("""COMPUTED_VALUE"""),2.1)</f>
        <v>2.1</v>
      </c>
      <c r="J377" s="1" t="str">
        <f ca="1">IFERROR(__xludf.DUMMYFUNCTION("""COMPUTED_VALUE"""),"PINK STRAWBERRY HANDBAG")</f>
        <v>PINK STRAWBERRY HANDBAG</v>
      </c>
      <c r="K377" s="1">
        <f ca="1">IFERROR(__xludf.DUMMYFUNCTION("""COMPUTED_VALUE"""),2)</f>
        <v>2</v>
      </c>
      <c r="L377" s="1">
        <f ca="1">IFERROR(__xludf.DUMMYFUNCTION("""COMPUTED_VALUE"""),2.95)</f>
        <v>2.95</v>
      </c>
      <c r="T377" s="1">
        <f ca="1">IFERROR(__xludf.DUMMYFUNCTION("""COMPUTED_VALUE"""),489517)</f>
        <v>489517</v>
      </c>
      <c r="U377" s="1">
        <f ca="1">IFERROR(__xludf.DUMMYFUNCTION("""COMPUTED_VALUE"""),5.9)</f>
        <v>5.9</v>
      </c>
    </row>
    <row r="378" spans="1:21" ht="12.75" x14ac:dyDescent="0.2">
      <c r="A378" s="3">
        <f ca="1">IFERROR(__xludf.DUMMYFUNCTION("""COMPUTED_VALUE"""),40148.4819444444)</f>
        <v>40148.4819444444</v>
      </c>
      <c r="B378" s="1">
        <f ca="1">IFERROR(__xludf.DUMMYFUNCTION("""COMPUTED_VALUE"""),5.95)</f>
        <v>5.95</v>
      </c>
      <c r="E378" s="1" t="str">
        <f ca="1">IFERROR(__xludf.DUMMYFUNCTION("""COMPUTED_VALUE"""),"HAND OVER THE CHOCOLATE   SIGN")</f>
        <v>HAND OVER THE CHOCOLATE   SIGN</v>
      </c>
      <c r="F378" s="1">
        <f ca="1">IFERROR(__xludf.DUMMYFUNCTION("""COMPUTED_VALUE"""),2)</f>
        <v>2</v>
      </c>
      <c r="G378" s="1">
        <f ca="1">IFERROR(__xludf.DUMMYFUNCTION("""COMPUTED_VALUE"""),2.1)</f>
        <v>2.1</v>
      </c>
      <c r="J378" s="1" t="str">
        <f ca="1">IFERROR(__xludf.DUMMYFUNCTION("""COMPUTED_VALUE"""),"CROSS STITCH ALPHABET CUSHION COVER")</f>
        <v>CROSS STITCH ALPHABET CUSHION COVER</v>
      </c>
      <c r="K378" s="1">
        <f ca="1">IFERROR(__xludf.DUMMYFUNCTION("""COMPUTED_VALUE"""),2)</f>
        <v>2</v>
      </c>
      <c r="L378" s="1">
        <f ca="1">IFERROR(__xludf.DUMMYFUNCTION("""COMPUTED_VALUE"""),5.95)</f>
        <v>5.95</v>
      </c>
      <c r="T378" s="1">
        <f ca="1">IFERROR(__xludf.DUMMYFUNCTION("""COMPUTED_VALUE"""),489517)</f>
        <v>489517</v>
      </c>
      <c r="U378" s="1">
        <f ca="1">IFERROR(__xludf.DUMMYFUNCTION("""COMPUTED_VALUE"""),11.9)</f>
        <v>11.9</v>
      </c>
    </row>
    <row r="379" spans="1:21" ht="12.75" x14ac:dyDescent="0.2">
      <c r="A379" s="3">
        <f ca="1">IFERROR(__xludf.DUMMYFUNCTION("""COMPUTED_VALUE"""),40148.4819444444)</f>
        <v>40148.4819444444</v>
      </c>
      <c r="B379" s="1">
        <f ca="1">IFERROR(__xludf.DUMMYFUNCTION("""COMPUTED_VALUE"""),1.65)</f>
        <v>1.65</v>
      </c>
      <c r="E379" s="1" t="str">
        <f ca="1">IFERROR(__xludf.DUMMYFUNCTION("""COMPUTED_VALUE"""),"TRADITIONAL CHRISTMAS RIBBONS")</f>
        <v>TRADITIONAL CHRISTMAS RIBBONS</v>
      </c>
      <c r="F379" s="1">
        <f ca="1">IFERROR(__xludf.DUMMYFUNCTION("""COMPUTED_VALUE"""),2)</f>
        <v>2</v>
      </c>
      <c r="G379" s="1">
        <f ca="1">IFERROR(__xludf.DUMMYFUNCTION("""COMPUTED_VALUE"""),1.25)</f>
        <v>1.25</v>
      </c>
      <c r="J379" s="1" t="str">
        <f ca="1">IFERROR(__xludf.DUMMYFUNCTION("""COMPUTED_VALUE"""),"BAG 500g SWIRLY MARBLES")</f>
        <v>BAG 500g SWIRLY MARBLES</v>
      </c>
      <c r="K379" s="1">
        <f ca="1">IFERROR(__xludf.DUMMYFUNCTION("""COMPUTED_VALUE"""),1)</f>
        <v>1</v>
      </c>
      <c r="L379" s="1">
        <f ca="1">IFERROR(__xludf.DUMMYFUNCTION("""COMPUTED_VALUE"""),1.65)</f>
        <v>1.65</v>
      </c>
      <c r="T379" s="1">
        <f ca="1">IFERROR(__xludf.DUMMYFUNCTION("""COMPUTED_VALUE"""),489517)</f>
        <v>489517</v>
      </c>
      <c r="U379" s="1">
        <f ca="1">IFERROR(__xludf.DUMMYFUNCTION("""COMPUTED_VALUE"""),1.65)</f>
        <v>1.65</v>
      </c>
    </row>
    <row r="380" spans="1:21" ht="12.75" x14ac:dyDescent="0.2">
      <c r="A380" s="3">
        <f ca="1">IFERROR(__xludf.DUMMYFUNCTION("""COMPUTED_VALUE"""),40148.4819444444)</f>
        <v>40148.4819444444</v>
      </c>
      <c r="B380" s="1">
        <f ca="1">IFERROR(__xludf.DUMMYFUNCTION("""COMPUTED_VALUE"""),3.75)</f>
        <v>3.75</v>
      </c>
      <c r="E380" s="1" t="str">
        <f ca="1">IFERROR(__xludf.DUMMYFUNCTION("""COMPUTED_VALUE"""),"SCANDINAVIAN REDS RIBBONS")</f>
        <v>SCANDINAVIAN REDS RIBBONS</v>
      </c>
      <c r="F380" s="1">
        <f ca="1">IFERROR(__xludf.DUMMYFUNCTION("""COMPUTED_VALUE"""),2)</f>
        <v>2</v>
      </c>
      <c r="G380" s="1">
        <f ca="1">IFERROR(__xludf.DUMMYFUNCTION("""COMPUTED_VALUE"""),1.25)</f>
        <v>1.25</v>
      </c>
      <c r="J380" s="1" t="str">
        <f ca="1">IFERROR(__xludf.DUMMYFUNCTION("""COMPUTED_VALUE"""),"VINTAGE SEASIDE JIGSAW PUZZLES")</f>
        <v>VINTAGE SEASIDE JIGSAW PUZZLES</v>
      </c>
      <c r="K380" s="1">
        <f ca="1">IFERROR(__xludf.DUMMYFUNCTION("""COMPUTED_VALUE"""),1)</f>
        <v>1</v>
      </c>
      <c r="L380" s="1">
        <f ca="1">IFERROR(__xludf.DUMMYFUNCTION("""COMPUTED_VALUE"""),3.75)</f>
        <v>3.75</v>
      </c>
      <c r="T380" s="1">
        <f ca="1">IFERROR(__xludf.DUMMYFUNCTION("""COMPUTED_VALUE"""),489517)</f>
        <v>489517</v>
      </c>
      <c r="U380" s="1">
        <f ca="1">IFERROR(__xludf.DUMMYFUNCTION("""COMPUTED_VALUE"""),3.75)</f>
        <v>3.75</v>
      </c>
    </row>
    <row r="381" spans="1:21" ht="12.75" x14ac:dyDescent="0.2">
      <c r="A381" s="3">
        <f ca="1">IFERROR(__xludf.DUMMYFUNCTION("""COMPUTED_VALUE"""),40148.4819444444)</f>
        <v>40148.4819444444</v>
      </c>
      <c r="B381" s="1">
        <f ca="1">IFERROR(__xludf.DUMMYFUNCTION("""COMPUTED_VALUE"""),3.75)</f>
        <v>3.75</v>
      </c>
      <c r="E381" s="1" t="str">
        <f ca="1">IFERROR(__xludf.DUMMYFUNCTION("""COMPUTED_VALUE"""),"6 RIBBONS ELEGANT CHRISTMAS")</f>
        <v>6 RIBBONS ELEGANT CHRISTMAS</v>
      </c>
      <c r="F381" s="1">
        <f ca="1">IFERROR(__xludf.DUMMYFUNCTION("""COMPUTED_VALUE"""),2)</f>
        <v>2</v>
      </c>
      <c r="G381" s="1">
        <f ca="1">IFERROR(__xludf.DUMMYFUNCTION("""COMPUTED_VALUE"""),1.65)</f>
        <v>1.65</v>
      </c>
      <c r="J381" s="1" t="str">
        <f ca="1">IFERROR(__xludf.DUMMYFUNCTION("""COMPUTED_VALUE"""),"VINTAGE SNAKES &amp; LADDERS")</f>
        <v>VINTAGE SNAKES &amp; LADDERS</v>
      </c>
      <c r="K381" s="1">
        <f ca="1">IFERROR(__xludf.DUMMYFUNCTION("""COMPUTED_VALUE"""),1)</f>
        <v>1</v>
      </c>
      <c r="L381" s="1">
        <f ca="1">IFERROR(__xludf.DUMMYFUNCTION("""COMPUTED_VALUE"""),3.75)</f>
        <v>3.75</v>
      </c>
      <c r="T381" s="1">
        <f ca="1">IFERROR(__xludf.DUMMYFUNCTION("""COMPUTED_VALUE"""),489517)</f>
        <v>489517</v>
      </c>
      <c r="U381" s="1">
        <f ca="1">IFERROR(__xludf.DUMMYFUNCTION("""COMPUTED_VALUE"""),3.75)</f>
        <v>3.75</v>
      </c>
    </row>
    <row r="382" spans="1:21" ht="12.75" x14ac:dyDescent="0.2">
      <c r="A382" s="3">
        <f ca="1">IFERROR(__xludf.DUMMYFUNCTION("""COMPUTED_VALUE"""),40148.4819444444)</f>
        <v>40148.4819444444</v>
      </c>
      <c r="B382" s="1">
        <f ca="1">IFERROR(__xludf.DUMMYFUNCTION("""COMPUTED_VALUE"""),3.75)</f>
        <v>3.75</v>
      </c>
      <c r="E382" s="1" t="str">
        <f ca="1">IFERROR(__xludf.DUMMYFUNCTION("""COMPUTED_VALUE"""),"YELLOW RED FLOWER PIGGY BANK")</f>
        <v>YELLOW RED FLOWER PIGGY BANK</v>
      </c>
      <c r="F382" s="1">
        <f ca="1">IFERROR(__xludf.DUMMYFUNCTION("""COMPUTED_VALUE"""),1)</f>
        <v>1</v>
      </c>
      <c r="G382" s="1">
        <f ca="1">IFERROR(__xludf.DUMMYFUNCTION("""COMPUTED_VALUE"""),4.65)</f>
        <v>4.6500000000000004</v>
      </c>
      <c r="J382" s="1" t="str">
        <f ca="1">IFERROR(__xludf.DUMMYFUNCTION("""COMPUTED_VALUE"""),"GLITTER STAR GARLAND WITH BELLS")</f>
        <v>GLITTER STAR GARLAND WITH BELLS</v>
      </c>
      <c r="K382" s="1">
        <f ca="1">IFERROR(__xludf.DUMMYFUNCTION("""COMPUTED_VALUE"""),1)</f>
        <v>1</v>
      </c>
      <c r="L382" s="1">
        <f ca="1">IFERROR(__xludf.DUMMYFUNCTION("""COMPUTED_VALUE"""),3.75)</f>
        <v>3.75</v>
      </c>
      <c r="T382" s="1">
        <f ca="1">IFERROR(__xludf.DUMMYFUNCTION("""COMPUTED_VALUE"""),489517)</f>
        <v>489517</v>
      </c>
      <c r="U382" s="1">
        <f ca="1">IFERROR(__xludf.DUMMYFUNCTION("""COMPUTED_VALUE"""),3.75)</f>
        <v>3.75</v>
      </c>
    </row>
    <row r="383" spans="1:21" ht="12.75" x14ac:dyDescent="0.2">
      <c r="A383" s="3">
        <f ca="1">IFERROR(__xludf.DUMMYFUNCTION("""COMPUTED_VALUE"""),40148.4819444444)</f>
        <v>40148.4819444444</v>
      </c>
      <c r="B383" s="1">
        <f ca="1">IFERROR(__xludf.DUMMYFUNCTION("""COMPUTED_VALUE"""),2.95)</f>
        <v>2.95</v>
      </c>
      <c r="E383" s="1" t="str">
        <f ca="1">IFERROR(__xludf.DUMMYFUNCTION("""COMPUTED_VALUE"""),"LOCAL CAFE MUG")</f>
        <v>LOCAL CAFE MUG</v>
      </c>
      <c r="F383" s="1">
        <f ca="1">IFERROR(__xludf.DUMMYFUNCTION("""COMPUTED_VALUE"""),1)</f>
        <v>1</v>
      </c>
      <c r="G383" s="1">
        <f ca="1">IFERROR(__xludf.DUMMYFUNCTION("""COMPUTED_VALUE"""),2.1)</f>
        <v>2.1</v>
      </c>
      <c r="J383" s="1" t="str">
        <f ca="1">IFERROR(__xludf.DUMMYFUNCTION("""COMPUTED_VALUE"""),"WHITE HANGING HEART T-LIGHT HOLDER")</f>
        <v>WHITE HANGING HEART T-LIGHT HOLDER</v>
      </c>
      <c r="K383" s="1">
        <f ca="1">IFERROR(__xludf.DUMMYFUNCTION("""COMPUTED_VALUE"""),1)</f>
        <v>1</v>
      </c>
      <c r="L383" s="1">
        <f ca="1">IFERROR(__xludf.DUMMYFUNCTION("""COMPUTED_VALUE"""),2.95)</f>
        <v>2.95</v>
      </c>
      <c r="T383" s="1">
        <f ca="1">IFERROR(__xludf.DUMMYFUNCTION("""COMPUTED_VALUE"""),489517)</f>
        <v>489517</v>
      </c>
      <c r="U383" s="1">
        <f ca="1">IFERROR(__xludf.DUMMYFUNCTION("""COMPUTED_VALUE"""),2.95)</f>
        <v>2.95</v>
      </c>
    </row>
    <row r="384" spans="1:21" ht="12.75" x14ac:dyDescent="0.2">
      <c r="A384" s="3">
        <f ca="1">IFERROR(__xludf.DUMMYFUNCTION("""COMPUTED_VALUE"""),40148.4819444444)</f>
        <v>40148.4819444444</v>
      </c>
      <c r="B384" s="1">
        <f ca="1">IFERROR(__xludf.DUMMYFUNCTION("""COMPUTED_VALUE"""),1.25)</f>
        <v>1.25</v>
      </c>
      <c r="E384" s="1" t="str">
        <f ca="1">IFERROR(__xludf.DUMMYFUNCTION("""COMPUTED_VALUE"""),"KNITTED UNION FLAG HOT WATER BOTTLE")</f>
        <v>KNITTED UNION FLAG HOT WATER BOTTLE</v>
      </c>
      <c r="F384" s="1">
        <f ca="1">IFERROR(__xludf.DUMMYFUNCTION("""COMPUTED_VALUE"""),1)</f>
        <v>1</v>
      </c>
      <c r="G384" s="1">
        <f ca="1">IFERROR(__xludf.DUMMYFUNCTION("""COMPUTED_VALUE"""),3.75)</f>
        <v>3.75</v>
      </c>
      <c r="J384" s="1" t="str">
        <f ca="1">IFERROR(__xludf.DUMMYFUNCTION("""COMPUTED_VALUE"""),"PINK CREAM FELT CRAFT TRINKET BOX")</f>
        <v>PINK CREAM FELT CRAFT TRINKET BOX</v>
      </c>
      <c r="K384" s="1">
        <f ca="1">IFERROR(__xludf.DUMMYFUNCTION("""COMPUTED_VALUE"""),1)</f>
        <v>1</v>
      </c>
      <c r="L384" s="1">
        <f ca="1">IFERROR(__xludf.DUMMYFUNCTION("""COMPUTED_VALUE"""),1.25)</f>
        <v>1.25</v>
      </c>
      <c r="T384" s="1">
        <f ca="1">IFERROR(__xludf.DUMMYFUNCTION("""COMPUTED_VALUE"""),489517)</f>
        <v>489517</v>
      </c>
      <c r="U384" s="1">
        <f ca="1">IFERROR(__xludf.DUMMYFUNCTION("""COMPUTED_VALUE"""),1.25)</f>
        <v>1.25</v>
      </c>
    </row>
    <row r="385" spans="1:21" ht="12.75" x14ac:dyDescent="0.2">
      <c r="A385" s="3">
        <f ca="1">IFERROR(__xludf.DUMMYFUNCTION("""COMPUTED_VALUE"""),40148.4819444444)</f>
        <v>40148.4819444444</v>
      </c>
      <c r="B385" s="1">
        <f ca="1">IFERROR(__xludf.DUMMYFUNCTION("""COMPUTED_VALUE"""),3.75)</f>
        <v>3.75</v>
      </c>
      <c r="E385" s="1" t="str">
        <f ca="1">IFERROR(__xludf.DUMMYFUNCTION("""COMPUTED_VALUE"""),"HOT WATER BOTTLE TEA AND SYMPATHY")</f>
        <v>HOT WATER BOTTLE TEA AND SYMPATHY</v>
      </c>
      <c r="F385" s="1">
        <f ca="1">IFERROR(__xludf.DUMMYFUNCTION("""COMPUTED_VALUE"""),1)</f>
        <v>1</v>
      </c>
      <c r="G385" s="1">
        <f ca="1">IFERROR(__xludf.DUMMYFUNCTION("""COMPUTED_VALUE"""),3.95)</f>
        <v>3.95</v>
      </c>
      <c r="J385" s="1" t="str">
        <f ca="1">IFERROR(__xludf.DUMMYFUNCTION("""COMPUTED_VALUE"""),"VINTAGE SNAKES &amp; LADDERS")</f>
        <v>VINTAGE SNAKES &amp; LADDERS</v>
      </c>
      <c r="K385" s="1">
        <f ca="1">IFERROR(__xludf.DUMMYFUNCTION("""COMPUTED_VALUE"""),1)</f>
        <v>1</v>
      </c>
      <c r="L385" s="1">
        <f ca="1">IFERROR(__xludf.DUMMYFUNCTION("""COMPUTED_VALUE"""),3.75)</f>
        <v>3.75</v>
      </c>
      <c r="T385" s="1">
        <f ca="1">IFERROR(__xludf.DUMMYFUNCTION("""COMPUTED_VALUE"""),489517)</f>
        <v>489517</v>
      </c>
      <c r="U385" s="1">
        <f ca="1">IFERROR(__xludf.DUMMYFUNCTION("""COMPUTED_VALUE"""),3.75)</f>
        <v>3.75</v>
      </c>
    </row>
    <row r="386" spans="1:21" ht="12.75" x14ac:dyDescent="0.2">
      <c r="A386" s="3">
        <f ca="1">IFERROR(__xludf.DUMMYFUNCTION("""COMPUTED_VALUE"""),40148.4819444444)</f>
        <v>40148.4819444444</v>
      </c>
      <c r="B386" s="1">
        <f ca="1">IFERROR(__xludf.DUMMYFUNCTION("""COMPUTED_VALUE"""),1.95)</f>
        <v>1.95</v>
      </c>
      <c r="E386" s="1" t="str">
        <f ca="1">IFERROR(__xludf.DUMMYFUNCTION("""COMPUTED_VALUE"""),"BLUE WHITE SCARF HOT WATER BOTTLE")</f>
        <v>BLUE WHITE SCARF HOT WATER BOTTLE</v>
      </c>
      <c r="F386" s="1">
        <f ca="1">IFERROR(__xludf.DUMMYFUNCTION("""COMPUTED_VALUE"""),1)</f>
        <v>1</v>
      </c>
      <c r="G386" s="1">
        <f ca="1">IFERROR(__xludf.DUMMYFUNCTION("""COMPUTED_VALUE"""),3.95)</f>
        <v>3.95</v>
      </c>
      <c r="J386" s="1" t="str">
        <f ca="1">IFERROR(__xludf.DUMMYFUNCTION("""COMPUTED_VALUE"""),"JUMBO STORAGE BAG SUKI")</f>
        <v>JUMBO STORAGE BAG SUKI</v>
      </c>
      <c r="K386" s="1">
        <f ca="1">IFERROR(__xludf.DUMMYFUNCTION("""COMPUTED_VALUE"""),1)</f>
        <v>1</v>
      </c>
      <c r="L386" s="1">
        <f ca="1">IFERROR(__xludf.DUMMYFUNCTION("""COMPUTED_VALUE"""),1.95)</f>
        <v>1.95</v>
      </c>
      <c r="T386" s="1">
        <f ca="1">IFERROR(__xludf.DUMMYFUNCTION("""COMPUTED_VALUE"""),489517)</f>
        <v>489517</v>
      </c>
      <c r="U386" s="1">
        <f ca="1">IFERROR(__xludf.DUMMYFUNCTION("""COMPUTED_VALUE"""),1.95)</f>
        <v>1.95</v>
      </c>
    </row>
    <row r="387" spans="1:21" ht="12.75" x14ac:dyDescent="0.2">
      <c r="A387" s="3">
        <f ca="1">IFERROR(__xludf.DUMMYFUNCTION("""COMPUTED_VALUE"""),40148.4819444444)</f>
        <v>40148.4819444444</v>
      </c>
      <c r="B387" s="1">
        <f ca="1">IFERROR(__xludf.DUMMYFUNCTION("""COMPUTED_VALUE"""),1.95)</f>
        <v>1.95</v>
      </c>
      <c r="E387" s="1" t="str">
        <f ca="1">IFERROR(__xludf.DUMMYFUNCTION("""COMPUTED_VALUE"""),"POTTING SHED TEA MUG")</f>
        <v>POTTING SHED TEA MUG</v>
      </c>
      <c r="F387" s="1">
        <f ca="1">IFERROR(__xludf.DUMMYFUNCTION("""COMPUTED_VALUE"""),1)</f>
        <v>1</v>
      </c>
      <c r="G387" s="1">
        <f ca="1">IFERROR(__xludf.DUMMYFUNCTION("""COMPUTED_VALUE"""),1.25)</f>
        <v>1.25</v>
      </c>
      <c r="J387" s="1" t="str">
        <f ca="1">IFERROR(__xludf.DUMMYFUNCTION("""COMPUTED_VALUE"""),"JUMBO BAG TOYS")</f>
        <v>JUMBO BAG TOYS</v>
      </c>
      <c r="K387" s="1">
        <f ca="1">IFERROR(__xludf.DUMMYFUNCTION("""COMPUTED_VALUE"""),1)</f>
        <v>1</v>
      </c>
      <c r="L387" s="1">
        <f ca="1">IFERROR(__xludf.DUMMYFUNCTION("""COMPUTED_VALUE"""),1.95)</f>
        <v>1.95</v>
      </c>
      <c r="T387" s="1">
        <f ca="1">IFERROR(__xludf.DUMMYFUNCTION("""COMPUTED_VALUE"""),489517)</f>
        <v>489517</v>
      </c>
      <c r="U387" s="1">
        <f ca="1">IFERROR(__xludf.DUMMYFUNCTION("""COMPUTED_VALUE"""),1.95)</f>
        <v>1.95</v>
      </c>
    </row>
    <row r="388" spans="1:21" ht="12.75" x14ac:dyDescent="0.2">
      <c r="A388" s="3">
        <f ca="1">IFERROR(__xludf.DUMMYFUNCTION("""COMPUTED_VALUE"""),40148.4819444444)</f>
        <v>40148.4819444444</v>
      </c>
      <c r="B388" s="1">
        <f ca="1">IFERROR(__xludf.DUMMYFUNCTION("""COMPUTED_VALUE"""),1.65)</f>
        <v>1.65</v>
      </c>
      <c r="E388" s="1" t="str">
        <f ca="1">IFERROR(__xludf.DUMMYFUNCTION("""COMPUTED_VALUE"""),"KINGS CHOICE MUG")</f>
        <v>KINGS CHOICE MUG</v>
      </c>
      <c r="F388" s="1">
        <f ca="1">IFERROR(__xludf.DUMMYFUNCTION("""COMPUTED_VALUE"""),1)</f>
        <v>1</v>
      </c>
      <c r="G388" s="1">
        <f ca="1">IFERROR(__xludf.DUMMYFUNCTION("""COMPUTED_VALUE"""),1.25)</f>
        <v>1.25</v>
      </c>
      <c r="J388" s="1" t="str">
        <f ca="1">IFERROR(__xludf.DUMMYFUNCTION("""COMPUTED_VALUE"""),"CAROUSEL DES CHILD'S APRON")</f>
        <v>CAROUSEL DES CHILD'S APRON</v>
      </c>
      <c r="K388" s="1">
        <f ca="1">IFERROR(__xludf.DUMMYFUNCTION("""COMPUTED_VALUE"""),1)</f>
        <v>1</v>
      </c>
      <c r="L388" s="1">
        <f ca="1">IFERROR(__xludf.DUMMYFUNCTION("""COMPUTED_VALUE"""),1.65)</f>
        <v>1.65</v>
      </c>
      <c r="T388" s="1">
        <f ca="1">IFERROR(__xludf.DUMMYFUNCTION("""COMPUTED_VALUE"""),489517)</f>
        <v>489517</v>
      </c>
      <c r="U388" s="1">
        <f ca="1">IFERROR(__xludf.DUMMYFUNCTION("""COMPUTED_VALUE"""),1.65)</f>
        <v>1.65</v>
      </c>
    </row>
    <row r="389" spans="1:21" ht="12.75" x14ac:dyDescent="0.2">
      <c r="A389" s="3">
        <f ca="1">IFERROR(__xludf.DUMMYFUNCTION("""COMPUTED_VALUE"""),40148.4819444444)</f>
        <v>40148.4819444444</v>
      </c>
      <c r="B389" s="1">
        <f ca="1">IFERROR(__xludf.DUMMYFUNCTION("""COMPUTED_VALUE"""),1.95)</f>
        <v>1.95</v>
      </c>
      <c r="E389" s="1" t="str">
        <f ca="1">IFERROR(__xludf.DUMMYFUNCTION("""COMPUTED_VALUE"""),"POTTING SHED COFFEE MUG")</f>
        <v>POTTING SHED COFFEE MUG</v>
      </c>
      <c r="F389" s="1">
        <f ca="1">IFERROR(__xludf.DUMMYFUNCTION("""COMPUTED_VALUE"""),1)</f>
        <v>1</v>
      </c>
      <c r="G389" s="1">
        <f ca="1">IFERROR(__xludf.DUMMYFUNCTION("""COMPUTED_VALUE"""),1.25)</f>
        <v>1.25</v>
      </c>
      <c r="J389" s="1" t="str">
        <f ca="1">IFERROR(__xludf.DUMMYFUNCTION("""COMPUTED_VALUE"""),"SET OF THREE VINTAGE GIFT WRAPS")</f>
        <v>SET OF THREE VINTAGE GIFT WRAPS</v>
      </c>
      <c r="K389" s="1">
        <f ca="1">IFERROR(__xludf.DUMMYFUNCTION("""COMPUTED_VALUE"""),1)</f>
        <v>1</v>
      </c>
      <c r="L389" s="1">
        <f ca="1">IFERROR(__xludf.DUMMYFUNCTION("""COMPUTED_VALUE"""),1.95)</f>
        <v>1.95</v>
      </c>
      <c r="T389" s="1">
        <f ca="1">IFERROR(__xludf.DUMMYFUNCTION("""COMPUTED_VALUE"""),489517)</f>
        <v>489517</v>
      </c>
      <c r="U389" s="1">
        <f ca="1">IFERROR(__xludf.DUMMYFUNCTION("""COMPUTED_VALUE"""),1.95)</f>
        <v>1.95</v>
      </c>
    </row>
    <row r="390" spans="1:21" ht="12.75" x14ac:dyDescent="0.2">
      <c r="A390" s="3">
        <f ca="1">IFERROR(__xludf.DUMMYFUNCTION("""COMPUTED_VALUE"""),40148.4819444444)</f>
        <v>40148.4819444444</v>
      </c>
      <c r="B390" s="1">
        <f ca="1">IFERROR(__xludf.DUMMYFUNCTION("""COMPUTED_VALUE"""),1.25)</f>
        <v>1.25</v>
      </c>
      <c r="E390" s="1" t="str">
        <f ca="1">IFERROR(__xludf.DUMMYFUNCTION("""COMPUTED_VALUE"""),"CAKE STAND LACE WHITE")</f>
        <v>CAKE STAND LACE WHITE</v>
      </c>
      <c r="F390" s="1">
        <f ca="1">IFERROR(__xludf.DUMMYFUNCTION("""COMPUTED_VALUE"""),1)</f>
        <v>1</v>
      </c>
      <c r="G390" s="1">
        <f ca="1">IFERROR(__xludf.DUMMYFUNCTION("""COMPUTED_VALUE"""),4.25)</f>
        <v>4.25</v>
      </c>
      <c r="J390" s="1" t="str">
        <f ca="1">IFERROR(__xludf.DUMMYFUNCTION("""COMPUTED_VALUE"""),"PINK BLUE FELT CRAFT TRINKET BOX")</f>
        <v>PINK BLUE FELT CRAFT TRINKET BOX</v>
      </c>
      <c r="K390" s="1">
        <f ca="1">IFERROR(__xludf.DUMMYFUNCTION("""COMPUTED_VALUE"""),1)</f>
        <v>1</v>
      </c>
      <c r="L390" s="1">
        <f ca="1">IFERROR(__xludf.DUMMYFUNCTION("""COMPUTED_VALUE"""),1.25)</f>
        <v>1.25</v>
      </c>
      <c r="T390" s="1">
        <f ca="1">IFERROR(__xludf.DUMMYFUNCTION("""COMPUTED_VALUE"""),489517)</f>
        <v>489517</v>
      </c>
      <c r="U390" s="1">
        <f ca="1">IFERROR(__xludf.DUMMYFUNCTION("""COMPUTED_VALUE"""),1.25)</f>
        <v>1.25</v>
      </c>
    </row>
    <row r="391" spans="1:21" ht="12.75" x14ac:dyDescent="0.2">
      <c r="A391" s="3">
        <f ca="1">IFERROR(__xludf.DUMMYFUNCTION("""COMPUTED_VALUE"""),40148.4819444444)</f>
        <v>40148.4819444444</v>
      </c>
      <c r="B391" s="1">
        <f ca="1">IFERROR(__xludf.DUMMYFUNCTION("""COMPUTED_VALUE"""),2.95)</f>
        <v>2.95</v>
      </c>
      <c r="E391" s="1" t="str">
        <f ca="1">IFERROR(__xludf.DUMMYFUNCTION("""COMPUTED_VALUE"""),"CAKE PLATE LOVEBIRD WHITE")</f>
        <v>CAKE PLATE LOVEBIRD WHITE</v>
      </c>
      <c r="F391" s="1">
        <f ca="1">IFERROR(__xludf.DUMMYFUNCTION("""COMPUTED_VALUE"""),1)</f>
        <v>1</v>
      </c>
      <c r="G391" s="1">
        <f ca="1">IFERROR(__xludf.DUMMYFUNCTION("""COMPUTED_VALUE"""),4.95)</f>
        <v>4.95</v>
      </c>
      <c r="J391" s="1" t="str">
        <f ca="1">IFERROR(__xludf.DUMMYFUNCTION("""COMPUTED_VALUE"""),"SET OF MEADOW  FLOWER STICKERS")</f>
        <v>SET OF MEADOW  FLOWER STICKERS</v>
      </c>
      <c r="K391" s="1">
        <f ca="1">IFERROR(__xludf.DUMMYFUNCTION("""COMPUTED_VALUE"""),1)</f>
        <v>1</v>
      </c>
      <c r="L391" s="1">
        <f ca="1">IFERROR(__xludf.DUMMYFUNCTION("""COMPUTED_VALUE"""),2.95)</f>
        <v>2.95</v>
      </c>
      <c r="T391" s="1">
        <f ca="1">IFERROR(__xludf.DUMMYFUNCTION("""COMPUTED_VALUE"""),489517)</f>
        <v>489517</v>
      </c>
      <c r="U391" s="1">
        <f ca="1">IFERROR(__xludf.DUMMYFUNCTION("""COMPUTED_VALUE"""),2.95)</f>
        <v>2.95</v>
      </c>
    </row>
    <row r="392" spans="1:21" ht="12.75" x14ac:dyDescent="0.2">
      <c r="A392" s="3">
        <f ca="1">IFERROR(__xludf.DUMMYFUNCTION("""COMPUTED_VALUE"""),40148.4819444444)</f>
        <v>40148.4819444444</v>
      </c>
      <c r="B392" s="1">
        <f ca="1">IFERROR(__xludf.DUMMYFUNCTION("""COMPUTED_VALUE"""),3.75)</f>
        <v>3.75</v>
      </c>
      <c r="E392" s="1" t="str">
        <f ca="1">IFERROR(__xludf.DUMMYFUNCTION("""COMPUTED_VALUE"""),"GREEN BLUE FLOWER PIGGY BANK")</f>
        <v>GREEN BLUE FLOWER PIGGY BANK</v>
      </c>
      <c r="F392" s="1">
        <f ca="1">IFERROR(__xludf.DUMMYFUNCTION("""COMPUTED_VALUE"""),1)</f>
        <v>1</v>
      </c>
      <c r="G392" s="1">
        <f ca="1">IFERROR(__xludf.DUMMYFUNCTION("""COMPUTED_VALUE"""),4.65)</f>
        <v>4.6500000000000004</v>
      </c>
      <c r="J392" s="1" t="str">
        <f ca="1">IFERROR(__xludf.DUMMYFUNCTION("""COMPUTED_VALUE"""),"VINTAGE SEASIDE JIGSAW PUZZLES")</f>
        <v>VINTAGE SEASIDE JIGSAW PUZZLES</v>
      </c>
      <c r="K392" s="1">
        <f ca="1">IFERROR(__xludf.DUMMYFUNCTION("""COMPUTED_VALUE"""),1)</f>
        <v>1</v>
      </c>
      <c r="L392" s="1">
        <f ca="1">IFERROR(__xludf.DUMMYFUNCTION("""COMPUTED_VALUE"""),3.75)</f>
        <v>3.75</v>
      </c>
      <c r="T392" s="1">
        <f ca="1">IFERROR(__xludf.DUMMYFUNCTION("""COMPUTED_VALUE"""),489517)</f>
        <v>489517</v>
      </c>
      <c r="U392" s="1">
        <f ca="1">IFERROR(__xludf.DUMMYFUNCTION("""COMPUTED_VALUE"""),3.75)</f>
        <v>3.75</v>
      </c>
    </row>
    <row r="393" spans="1:21" ht="12.75" x14ac:dyDescent="0.2">
      <c r="A393" s="3">
        <f ca="1">IFERROR(__xludf.DUMMYFUNCTION("""COMPUTED_VALUE"""),40148.4819444444)</f>
        <v>40148.4819444444</v>
      </c>
      <c r="B393" s="1">
        <f ca="1">IFERROR(__xludf.DUMMYFUNCTION("""COMPUTED_VALUE"""),3.75)</f>
        <v>3.75</v>
      </c>
      <c r="E393" s="1" t="str">
        <f ca="1">IFERROR(__xludf.DUMMYFUNCTION("""COMPUTED_VALUE"""),"PINK SPOTTY BOWL")</f>
        <v>PINK SPOTTY BOWL</v>
      </c>
      <c r="F393" s="1">
        <f ca="1">IFERROR(__xludf.DUMMYFUNCTION("""COMPUTED_VALUE"""),1)</f>
        <v>1</v>
      </c>
      <c r="G393" s="1">
        <f ca="1">IFERROR(__xludf.DUMMYFUNCTION("""COMPUTED_VALUE"""),1.25)</f>
        <v>1.25</v>
      </c>
      <c r="J393" s="1" t="str">
        <f ca="1">IFERROR(__xludf.DUMMYFUNCTION("""COMPUTED_VALUE"""),"GLITTER STAR GARLAND WITH BELLS")</f>
        <v>GLITTER STAR GARLAND WITH BELLS</v>
      </c>
      <c r="K393" s="1">
        <f ca="1">IFERROR(__xludf.DUMMYFUNCTION("""COMPUTED_VALUE"""),1)</f>
        <v>1</v>
      </c>
      <c r="L393" s="1">
        <f ca="1">IFERROR(__xludf.DUMMYFUNCTION("""COMPUTED_VALUE"""),3.75)</f>
        <v>3.75</v>
      </c>
      <c r="T393" s="1">
        <f ca="1">IFERROR(__xludf.DUMMYFUNCTION("""COMPUTED_VALUE"""),489517)</f>
        <v>489517</v>
      </c>
      <c r="U393" s="1">
        <f ca="1">IFERROR(__xludf.DUMMYFUNCTION("""COMPUTED_VALUE"""),3.75)</f>
        <v>3.75</v>
      </c>
    </row>
    <row r="394" spans="1:21" ht="12.75" x14ac:dyDescent="0.2">
      <c r="A394" s="3">
        <f ca="1">IFERROR(__xludf.DUMMYFUNCTION("""COMPUTED_VALUE"""),40148.4819444444)</f>
        <v>40148.4819444444</v>
      </c>
      <c r="B394" s="1">
        <f ca="1">IFERROR(__xludf.DUMMYFUNCTION("""COMPUTED_VALUE"""),2.55)</f>
        <v>2.5499999999999998</v>
      </c>
      <c r="E394" s="1" t="str">
        <f ca="1">IFERROR(__xludf.DUMMYFUNCTION("""COMPUTED_VALUE"""),"RED SPOTTY BOWL")</f>
        <v>RED SPOTTY BOWL</v>
      </c>
      <c r="F394" s="1">
        <f ca="1">IFERROR(__xludf.DUMMYFUNCTION("""COMPUTED_VALUE"""),1)</f>
        <v>1</v>
      </c>
      <c r="G394" s="1">
        <f ca="1">IFERROR(__xludf.DUMMYFUNCTION("""COMPUTED_VALUE"""),1.25)</f>
        <v>1.25</v>
      </c>
      <c r="J394" s="1" t="str">
        <f ca="1">IFERROR(__xludf.DUMMYFUNCTION("""COMPUTED_VALUE"""),"S/4 PISTACHIO LOVEBIRD COASTERS")</f>
        <v>S/4 PISTACHIO LOVEBIRD COASTERS</v>
      </c>
      <c r="K394" s="1">
        <f ca="1">IFERROR(__xludf.DUMMYFUNCTION("""COMPUTED_VALUE"""),1)</f>
        <v>1</v>
      </c>
      <c r="L394" s="1">
        <f ca="1">IFERROR(__xludf.DUMMYFUNCTION("""COMPUTED_VALUE"""),2.55)</f>
        <v>2.5499999999999998</v>
      </c>
      <c r="T394" s="1">
        <f ca="1">IFERROR(__xludf.DUMMYFUNCTION("""COMPUTED_VALUE"""),489517)</f>
        <v>489517</v>
      </c>
      <c r="U394" s="1">
        <f ca="1">IFERROR(__xludf.DUMMYFUNCTION("""COMPUTED_VALUE"""),2.55)</f>
        <v>2.5499999999999998</v>
      </c>
    </row>
    <row r="395" spans="1:21" ht="12.75" x14ac:dyDescent="0.2">
      <c r="A395" s="3">
        <f ca="1">IFERROR(__xludf.DUMMYFUNCTION("""COMPUTED_VALUE"""),40148.4819444444)</f>
        <v>40148.4819444444</v>
      </c>
      <c r="B395" s="1">
        <f ca="1">IFERROR(__xludf.DUMMYFUNCTION("""COMPUTED_VALUE"""),0.65)</f>
        <v>0.65</v>
      </c>
      <c r="E395" s="1" t="str">
        <f ca="1">IFERROR(__xludf.DUMMYFUNCTION("""COMPUTED_VALUE"""),"BLUE SPOTTY BOWL")</f>
        <v>BLUE SPOTTY BOWL</v>
      </c>
      <c r="F395" s="1">
        <f ca="1">IFERROR(__xludf.DUMMYFUNCTION("""COMPUTED_VALUE"""),1)</f>
        <v>1</v>
      </c>
      <c r="G395" s="1">
        <f ca="1">IFERROR(__xludf.DUMMYFUNCTION("""COMPUTED_VALUE"""),1.25)</f>
        <v>1.25</v>
      </c>
      <c r="J395" s="1" t="str">
        <f ca="1">IFERROR(__xludf.DUMMYFUNCTION("""COMPUTED_VALUE"""),"HEART DECORATION PAINTED ZINC")</f>
        <v>HEART DECORATION PAINTED ZINC</v>
      </c>
      <c r="K395" s="1">
        <f ca="1">IFERROR(__xludf.DUMMYFUNCTION("""COMPUTED_VALUE"""),1)</f>
        <v>1</v>
      </c>
      <c r="L395" s="1">
        <f ca="1">IFERROR(__xludf.DUMMYFUNCTION("""COMPUTED_VALUE"""),0.65)</f>
        <v>0.65</v>
      </c>
      <c r="T395" s="1">
        <f ca="1">IFERROR(__xludf.DUMMYFUNCTION("""COMPUTED_VALUE"""),489517)</f>
        <v>489517</v>
      </c>
      <c r="U395" s="1">
        <f ca="1">IFERROR(__xludf.DUMMYFUNCTION("""COMPUTED_VALUE"""),0.65)</f>
        <v>0.65</v>
      </c>
    </row>
    <row r="396" spans="1:21" ht="12.75" x14ac:dyDescent="0.2">
      <c r="A396" s="3">
        <f ca="1">IFERROR(__xludf.DUMMYFUNCTION("""COMPUTED_VALUE"""),40148.4819444444)</f>
        <v>40148.4819444444</v>
      </c>
      <c r="B396" s="1">
        <f ca="1">IFERROR(__xludf.DUMMYFUNCTION("""COMPUTED_VALUE"""),2.55)</f>
        <v>2.5499999999999998</v>
      </c>
      <c r="E396" s="1" t="str">
        <f ca="1">IFERROR(__xludf.DUMMYFUNCTION("""COMPUTED_VALUE"""),"200 RED + WHITE BENDY STRAWS")</f>
        <v>200 RED + WHITE BENDY STRAWS</v>
      </c>
      <c r="F396" s="1">
        <f ca="1">IFERROR(__xludf.DUMMYFUNCTION("""COMPUTED_VALUE"""),1)</f>
        <v>1</v>
      </c>
      <c r="G396" s="1">
        <f ca="1">IFERROR(__xludf.DUMMYFUNCTION("""COMPUTED_VALUE"""),1.25)</f>
        <v>1.25</v>
      </c>
      <c r="J396" s="1" t="str">
        <f ca="1">IFERROR(__xludf.DUMMYFUNCTION("""COMPUTED_VALUE"""),"S/4 PISTACHIO LOVEBIRD COASTERS")</f>
        <v>S/4 PISTACHIO LOVEBIRD COASTERS</v>
      </c>
      <c r="K396" s="1">
        <f ca="1">IFERROR(__xludf.DUMMYFUNCTION("""COMPUTED_VALUE"""),1)</f>
        <v>1</v>
      </c>
      <c r="L396" s="1">
        <f ca="1">IFERROR(__xludf.DUMMYFUNCTION("""COMPUTED_VALUE"""),2.55)</f>
        <v>2.5499999999999998</v>
      </c>
      <c r="T396" s="1">
        <f ca="1">IFERROR(__xludf.DUMMYFUNCTION("""COMPUTED_VALUE"""),489517)</f>
        <v>489517</v>
      </c>
      <c r="U396" s="1">
        <f ca="1">IFERROR(__xludf.DUMMYFUNCTION("""COMPUTED_VALUE"""),2.55)</f>
        <v>2.5499999999999998</v>
      </c>
    </row>
    <row r="397" spans="1:21" ht="12.75" x14ac:dyDescent="0.2">
      <c r="A397" s="3">
        <f ca="1">IFERROR(__xludf.DUMMYFUNCTION("""COMPUTED_VALUE"""),40148.4819444444)</f>
        <v>40148.4819444444</v>
      </c>
      <c r="B397" s="1">
        <f ca="1">IFERROR(__xludf.DUMMYFUNCTION("""COMPUTED_VALUE"""),1.95)</f>
        <v>1.95</v>
      </c>
      <c r="E397" s="1" t="str">
        <f ca="1">IFERROR(__xludf.DUMMYFUNCTION("""COMPUTED_VALUE"""),"I CAN ONLY PLEASE ONE PERSON MUG")</f>
        <v>I CAN ONLY PLEASE ONE PERSON MUG</v>
      </c>
      <c r="F397" s="1">
        <f ca="1">IFERROR(__xludf.DUMMYFUNCTION("""COMPUTED_VALUE"""),1)</f>
        <v>1</v>
      </c>
      <c r="G397" s="1">
        <f ca="1">IFERROR(__xludf.DUMMYFUNCTION("""COMPUTED_VALUE"""),1.25)</f>
        <v>1.25</v>
      </c>
      <c r="J397" s="1" t="str">
        <f ca="1">IFERROR(__xludf.DUMMYFUNCTION("""COMPUTED_VALUE"""),"SET OF THREE VINTAGE GIFT WRAPS")</f>
        <v>SET OF THREE VINTAGE GIFT WRAPS</v>
      </c>
      <c r="K397" s="1">
        <f ca="1">IFERROR(__xludf.DUMMYFUNCTION("""COMPUTED_VALUE"""),1)</f>
        <v>1</v>
      </c>
      <c r="L397" s="1">
        <f ca="1">IFERROR(__xludf.DUMMYFUNCTION("""COMPUTED_VALUE"""),1.95)</f>
        <v>1.95</v>
      </c>
      <c r="T397" s="1">
        <f ca="1">IFERROR(__xludf.DUMMYFUNCTION("""COMPUTED_VALUE"""),489517)</f>
        <v>489517</v>
      </c>
      <c r="U397" s="1">
        <f ca="1">IFERROR(__xludf.DUMMYFUNCTION("""COMPUTED_VALUE"""),1.95)</f>
        <v>1.95</v>
      </c>
    </row>
    <row r="398" spans="1:21" ht="12.75" x14ac:dyDescent="0.2">
      <c r="A398" s="3">
        <f ca="1">IFERROR(__xludf.DUMMYFUNCTION("""COMPUTED_VALUE"""),40148.4819444444)</f>
        <v>40148.4819444444</v>
      </c>
      <c r="B398" s="1">
        <f ca="1">IFERROR(__xludf.DUMMYFUNCTION("""COMPUTED_VALUE"""),1.25)</f>
        <v>1.25</v>
      </c>
      <c r="E398" s="1" t="str">
        <f ca="1">IFERROR(__xludf.DUMMYFUNCTION("""COMPUTED_VALUE"""),"NO SINGING METAL SIGN")</f>
        <v>NO SINGING METAL SIGN</v>
      </c>
      <c r="F398" s="1">
        <f ca="1">IFERROR(__xludf.DUMMYFUNCTION("""COMPUTED_VALUE"""),1)</f>
        <v>1</v>
      </c>
      <c r="G398" s="1">
        <f ca="1">IFERROR(__xludf.DUMMYFUNCTION("""COMPUTED_VALUE"""),2.1)</f>
        <v>2.1</v>
      </c>
      <c r="J398" s="1" t="str">
        <f ca="1">IFERROR(__xludf.DUMMYFUNCTION("""COMPUTED_VALUE"""),"VINTAGE HEADS AND TAILS CARD GAME")</f>
        <v>VINTAGE HEADS AND TAILS CARD GAME</v>
      </c>
      <c r="K398" s="1">
        <f ca="1">IFERROR(__xludf.DUMMYFUNCTION("""COMPUTED_VALUE"""),1)</f>
        <v>1</v>
      </c>
      <c r="L398" s="1">
        <f ca="1">IFERROR(__xludf.DUMMYFUNCTION("""COMPUTED_VALUE"""),1.25)</f>
        <v>1.25</v>
      </c>
      <c r="T398" s="1">
        <f ca="1">IFERROR(__xludf.DUMMYFUNCTION("""COMPUTED_VALUE"""),489517)</f>
        <v>489517</v>
      </c>
      <c r="U398" s="1">
        <f ca="1">IFERROR(__xludf.DUMMYFUNCTION("""COMPUTED_VALUE"""),1.25)</f>
        <v>1.25</v>
      </c>
    </row>
    <row r="399" spans="1:21" ht="12.75" x14ac:dyDescent="0.2">
      <c r="A399" s="3">
        <f ca="1">IFERROR(__xludf.DUMMYFUNCTION("""COMPUTED_VALUE"""),40148.4819444444)</f>
        <v>40148.4819444444</v>
      </c>
      <c r="B399" s="1">
        <f ca="1">IFERROR(__xludf.DUMMYFUNCTION("""COMPUTED_VALUE"""),0.85)</f>
        <v>0.85</v>
      </c>
      <c r="E399" s="1" t="str">
        <f ca="1">IFERROR(__xludf.DUMMYFUNCTION("""COMPUTED_VALUE"""),"METAL SIGN EMPIRE TEA")</f>
        <v>METAL SIGN EMPIRE TEA</v>
      </c>
      <c r="F399" s="1">
        <f ca="1">IFERROR(__xludf.DUMMYFUNCTION("""COMPUTED_VALUE"""),1)</f>
        <v>1</v>
      </c>
      <c r="G399" s="1">
        <f ca="1">IFERROR(__xludf.DUMMYFUNCTION("""COMPUTED_VALUE"""),2.95)</f>
        <v>2.95</v>
      </c>
      <c r="J399" s="1" t="str">
        <f ca="1">IFERROR(__xludf.DUMMYFUNCTION("""COMPUTED_VALUE"""),"VINTAGE SNAP CARDS")</f>
        <v>VINTAGE SNAP CARDS</v>
      </c>
      <c r="K399" s="1">
        <f ca="1">IFERROR(__xludf.DUMMYFUNCTION("""COMPUTED_VALUE"""),1)</f>
        <v>1</v>
      </c>
      <c r="L399" s="1">
        <f ca="1">IFERROR(__xludf.DUMMYFUNCTION("""COMPUTED_VALUE"""),0.85)</f>
        <v>0.85</v>
      </c>
      <c r="T399" s="1">
        <f ca="1">IFERROR(__xludf.DUMMYFUNCTION("""COMPUTED_VALUE"""),489517)</f>
        <v>489517</v>
      </c>
      <c r="U399" s="1">
        <f ca="1">IFERROR(__xludf.DUMMYFUNCTION("""COMPUTED_VALUE"""),0.85)</f>
        <v>0.85</v>
      </c>
    </row>
    <row r="400" spans="1:21" ht="12.75" x14ac:dyDescent="0.2">
      <c r="A400" s="3">
        <f ca="1">IFERROR(__xludf.DUMMYFUNCTION("""COMPUTED_VALUE"""),40148.4819444444)</f>
        <v>40148.4819444444</v>
      </c>
      <c r="B400" s="1">
        <f ca="1">IFERROR(__xludf.DUMMYFUNCTION("""COMPUTED_VALUE"""),3.75)</f>
        <v>3.75</v>
      </c>
      <c r="E400" s="1" t="str">
        <f ca="1">IFERROR(__xludf.DUMMYFUNCTION("""COMPUTED_VALUE"""),"POTTERING IN THE SHED METAL SIGN")</f>
        <v>POTTERING IN THE SHED METAL SIGN</v>
      </c>
      <c r="F400" s="1">
        <f ca="1">IFERROR(__xludf.DUMMYFUNCTION("""COMPUTED_VALUE"""),1)</f>
        <v>1</v>
      </c>
      <c r="G400" s="1">
        <f ca="1">IFERROR(__xludf.DUMMYFUNCTION("""COMPUTED_VALUE"""),1.95)</f>
        <v>1.95</v>
      </c>
      <c r="J400" s="1" t="str">
        <f ca="1">IFERROR(__xludf.DUMMYFUNCTION("""COMPUTED_VALUE"""),"VINTAGE SNAKES &amp; LADDERS")</f>
        <v>VINTAGE SNAKES &amp; LADDERS</v>
      </c>
      <c r="K400" s="1">
        <f ca="1">IFERROR(__xludf.DUMMYFUNCTION("""COMPUTED_VALUE"""),1)</f>
        <v>1</v>
      </c>
      <c r="L400" s="1">
        <f ca="1">IFERROR(__xludf.DUMMYFUNCTION("""COMPUTED_VALUE"""),3.75)</f>
        <v>3.75</v>
      </c>
      <c r="T400" s="1">
        <f ca="1">IFERROR(__xludf.DUMMYFUNCTION("""COMPUTED_VALUE"""),489517)</f>
        <v>489517</v>
      </c>
      <c r="U400" s="1">
        <f ca="1">IFERROR(__xludf.DUMMYFUNCTION("""COMPUTED_VALUE"""),3.75)</f>
        <v>3.75</v>
      </c>
    </row>
    <row r="401" spans="1:21" ht="12.75" x14ac:dyDescent="0.2">
      <c r="A401" s="3">
        <f ca="1">IFERROR(__xludf.DUMMYFUNCTION("""COMPUTED_VALUE"""),40148.4819444444)</f>
        <v>40148.4819444444</v>
      </c>
      <c r="B401" s="1">
        <f ca="1">IFERROR(__xludf.DUMMYFUNCTION("""COMPUTED_VALUE"""),1.25)</f>
        <v>1.25</v>
      </c>
      <c r="E401" s="1" t="str">
        <f ca="1">IFERROR(__xludf.DUMMYFUNCTION("""COMPUTED_VALUE"""),"AREA PATROLLED METAL SIGN")</f>
        <v>AREA PATROLLED METAL SIGN</v>
      </c>
      <c r="F401" s="1">
        <f ca="1">IFERROR(__xludf.DUMMYFUNCTION("""COMPUTED_VALUE"""),1)</f>
        <v>1</v>
      </c>
      <c r="G401" s="1">
        <f ca="1">IFERROR(__xludf.DUMMYFUNCTION("""COMPUTED_VALUE"""),2.1)</f>
        <v>2.1</v>
      </c>
      <c r="J401" s="1" t="str">
        <f ca="1">IFERROR(__xludf.DUMMYFUNCTION("""COMPUTED_VALUE"""),"WHITE PEARL BEADED HEART, SMALL")</f>
        <v>WHITE PEARL BEADED HEART, SMALL</v>
      </c>
      <c r="K401" s="1">
        <f ca="1">IFERROR(__xludf.DUMMYFUNCTION("""COMPUTED_VALUE"""),1)</f>
        <v>1</v>
      </c>
      <c r="L401" s="1">
        <f ca="1">IFERROR(__xludf.DUMMYFUNCTION("""COMPUTED_VALUE"""),1.25)</f>
        <v>1.25</v>
      </c>
      <c r="T401" s="1">
        <f ca="1">IFERROR(__xludf.DUMMYFUNCTION("""COMPUTED_VALUE"""),489517)</f>
        <v>489517</v>
      </c>
      <c r="U401" s="1">
        <f ca="1">IFERROR(__xludf.DUMMYFUNCTION("""COMPUTED_VALUE"""),1.25)</f>
        <v>1.25</v>
      </c>
    </row>
    <row r="402" spans="1:21" ht="12.75" x14ac:dyDescent="0.2">
      <c r="A402" s="3">
        <f ca="1">IFERROR(__xludf.DUMMYFUNCTION("""COMPUTED_VALUE"""),40148.4819444444)</f>
        <v>40148.4819444444</v>
      </c>
      <c r="B402" s="1">
        <f ca="1">IFERROR(__xludf.DUMMYFUNCTION("""COMPUTED_VALUE"""),2.95)</f>
        <v>2.95</v>
      </c>
      <c r="E402" s="1" t="str">
        <f ca="1">IFERROR(__xludf.DUMMYFUNCTION("""COMPUTED_VALUE"""),"LADIES &amp; GENTLEMEN METAL SIGN")</f>
        <v>LADIES &amp; GENTLEMEN METAL SIGN</v>
      </c>
      <c r="F402" s="1">
        <f ca="1">IFERROR(__xludf.DUMMYFUNCTION("""COMPUTED_VALUE"""),1)</f>
        <v>1</v>
      </c>
      <c r="G402" s="1">
        <f ca="1">IFERROR(__xludf.DUMMYFUNCTION("""COMPUTED_VALUE"""),2.55)</f>
        <v>2.5499999999999998</v>
      </c>
      <c r="J402" s="1" t="str">
        <f ca="1">IFERROR(__xludf.DUMMYFUNCTION("""COMPUTED_VALUE"""),"GINGHAM HEART DECORATION")</f>
        <v>GINGHAM HEART DECORATION</v>
      </c>
      <c r="K402" s="1">
        <f ca="1">IFERROR(__xludf.DUMMYFUNCTION("""COMPUTED_VALUE"""),1)</f>
        <v>1</v>
      </c>
      <c r="L402" s="1">
        <f ca="1">IFERROR(__xludf.DUMMYFUNCTION("""COMPUTED_VALUE"""),2.95)</f>
        <v>2.95</v>
      </c>
      <c r="T402" s="1">
        <f ca="1">IFERROR(__xludf.DUMMYFUNCTION("""COMPUTED_VALUE"""),489517)</f>
        <v>489517</v>
      </c>
      <c r="U402" s="1">
        <f ca="1">IFERROR(__xludf.DUMMYFUNCTION("""COMPUTED_VALUE"""),2.95)</f>
        <v>2.95</v>
      </c>
    </row>
    <row r="403" spans="1:21" ht="12.75" x14ac:dyDescent="0.2">
      <c r="A403" s="3">
        <f ca="1">IFERROR(__xludf.DUMMYFUNCTION("""COMPUTED_VALUE"""),40148.4826388888)</f>
        <v>40148.482638888803</v>
      </c>
      <c r="B403" s="1">
        <f ca="1">IFERROR(__xludf.DUMMYFUNCTION("""COMPUTED_VALUE"""),7.95)</f>
        <v>7.95</v>
      </c>
      <c r="E403" s="1" t="str">
        <f ca="1">IFERROR(__xludf.DUMMYFUNCTION("""COMPUTED_VALUE"""),"RED 3 PIECE MINI DOTS CUTLERY SET")</f>
        <v>RED 3 PIECE MINI DOTS CUTLERY SET</v>
      </c>
      <c r="F403" s="1">
        <f ca="1">IFERROR(__xludf.DUMMYFUNCTION("""COMPUTED_VALUE"""),1)</f>
        <v>1</v>
      </c>
      <c r="G403" s="1">
        <f ca="1">IFERROR(__xludf.DUMMYFUNCTION("""COMPUTED_VALUE"""),3.75)</f>
        <v>3.75</v>
      </c>
      <c r="J403" s="1" t="str">
        <f ca="1">IFERROR(__xludf.DUMMYFUNCTION("""COMPUTED_VALUE"""),"15CM CHRISTMAS GLASS BALL 20 LIGHTS")</f>
        <v>15CM CHRISTMAS GLASS BALL 20 LIGHTS</v>
      </c>
      <c r="K403" s="1">
        <f ca="1">IFERROR(__xludf.DUMMYFUNCTION("""COMPUTED_VALUE"""),-1)</f>
        <v>-1</v>
      </c>
      <c r="L403" s="1">
        <f ca="1">IFERROR(__xludf.DUMMYFUNCTION("""COMPUTED_VALUE"""),7.95)</f>
        <v>7.95</v>
      </c>
      <c r="T403" s="1"/>
      <c r="U403" s="1">
        <f ca="1">IFERROR(__xludf.DUMMYFUNCTION("""COMPUTED_VALUE"""),-7.95)</f>
        <v>-7.95</v>
      </c>
    </row>
    <row r="404" spans="1:21" ht="12.75" x14ac:dyDescent="0.2">
      <c r="A404" s="3">
        <f ca="1">IFERROR(__xludf.DUMMYFUNCTION("""COMPUTED_VALUE"""),40148.4826388888)</f>
        <v>40148.482638888803</v>
      </c>
      <c r="B404" s="1">
        <f ca="1">IFERROR(__xludf.DUMMYFUNCTION("""COMPUTED_VALUE"""),4.95)</f>
        <v>4.95</v>
      </c>
      <c r="E404" s="1" t="str">
        <f ca="1">IFERROR(__xludf.DUMMYFUNCTION("""COMPUTED_VALUE"""),"PINK 3 PIECE MINI DOTS CUTLERY SET")</f>
        <v>PINK 3 PIECE MINI DOTS CUTLERY SET</v>
      </c>
      <c r="F404" s="1">
        <f ca="1">IFERROR(__xludf.DUMMYFUNCTION("""COMPUTED_VALUE"""),1)</f>
        <v>1</v>
      </c>
      <c r="G404" s="1">
        <f ca="1">IFERROR(__xludf.DUMMYFUNCTION("""COMPUTED_VALUE"""),3.75)</f>
        <v>3.75</v>
      </c>
      <c r="J404" s="1" t="str">
        <f ca="1">IFERROR(__xludf.DUMMYFUNCTION("""COMPUTED_VALUE"""),"BAKING SET 9 PIECE RETROSPOT")</f>
        <v>BAKING SET 9 PIECE RETROSPOT</v>
      </c>
      <c r="K404" s="1">
        <f ca="1">IFERROR(__xludf.DUMMYFUNCTION("""COMPUTED_VALUE"""),-1)</f>
        <v>-1</v>
      </c>
      <c r="L404" s="1">
        <f ca="1">IFERROR(__xludf.DUMMYFUNCTION("""COMPUTED_VALUE"""),4.95)</f>
        <v>4.95</v>
      </c>
      <c r="T404" s="1"/>
      <c r="U404" s="1">
        <f ca="1">IFERROR(__xludf.DUMMYFUNCTION("""COMPUTED_VALUE"""),-4.95)</f>
        <v>-4.95</v>
      </c>
    </row>
    <row r="405" spans="1:21" ht="12.75" x14ac:dyDescent="0.2">
      <c r="A405" s="3">
        <f ca="1">IFERROR(__xludf.DUMMYFUNCTION("""COMPUTED_VALUE"""),40148.4826388888)</f>
        <v>40148.482638888803</v>
      </c>
      <c r="B405" s="1">
        <f ca="1">IFERROR(__xludf.DUMMYFUNCTION("""COMPUTED_VALUE"""),12.75)</f>
        <v>12.75</v>
      </c>
      <c r="E405" s="1" t="str">
        <f ca="1">IFERROR(__xludf.DUMMYFUNCTION("""COMPUTED_VALUE"""),"BLUE 3 PIECE MINI DOTS CUTLERY SET")</f>
        <v>BLUE 3 PIECE MINI DOTS CUTLERY SET</v>
      </c>
      <c r="F405" s="1">
        <f ca="1">IFERROR(__xludf.DUMMYFUNCTION("""COMPUTED_VALUE"""),1)</f>
        <v>1</v>
      </c>
      <c r="G405" s="1">
        <f ca="1">IFERROR(__xludf.DUMMYFUNCTION("""COMPUTED_VALUE"""),3.75)</f>
        <v>3.75</v>
      </c>
      <c r="J405" s="1" t="str">
        <f ca="1">IFERROR(__xludf.DUMMYFUNCTION("""COMPUTED_VALUE"""),"SET/3 TALL GLASS CANDLE HOLDER PINK")</f>
        <v>SET/3 TALL GLASS CANDLE HOLDER PINK</v>
      </c>
      <c r="K405" s="1">
        <f ca="1">IFERROR(__xludf.DUMMYFUNCTION("""COMPUTED_VALUE"""),-2)</f>
        <v>-2</v>
      </c>
      <c r="L405" s="1">
        <f ca="1">IFERROR(__xludf.DUMMYFUNCTION("""COMPUTED_VALUE"""),12.75)</f>
        <v>12.75</v>
      </c>
      <c r="T405" s="1"/>
      <c r="U405" s="1">
        <f ca="1">IFERROR(__xludf.DUMMYFUNCTION("""COMPUTED_VALUE"""),-25.5)</f>
        <v>-25.5</v>
      </c>
    </row>
    <row r="406" spans="1:21" ht="12.75" x14ac:dyDescent="0.2">
      <c r="A406" s="3">
        <f ca="1">IFERROR(__xludf.DUMMYFUNCTION("""COMPUTED_VALUE"""),40148.4840277777)</f>
        <v>40148.484027777697</v>
      </c>
      <c r="B406" s="1">
        <f ca="1">IFERROR(__xludf.DUMMYFUNCTION("""COMPUTED_VALUE"""),2.55)</f>
        <v>2.5499999999999998</v>
      </c>
      <c r="E406" s="1" t="str">
        <f ca="1">IFERROR(__xludf.DUMMYFUNCTION("""COMPUTED_VALUE"""),"6 RIBBONS RUSTIC CHARM")</f>
        <v>6 RIBBONS RUSTIC CHARM</v>
      </c>
      <c r="F406" s="1">
        <f ca="1">IFERROR(__xludf.DUMMYFUNCTION("""COMPUTED_VALUE"""),1)</f>
        <v>1</v>
      </c>
      <c r="G406" s="1">
        <f ca="1">IFERROR(__xludf.DUMMYFUNCTION("""COMPUTED_VALUE"""),1.65)</f>
        <v>1.65</v>
      </c>
      <c r="J406" s="1" t="str">
        <f ca="1">IFERROR(__xludf.DUMMYFUNCTION("""COMPUTED_VALUE"""),"WHITE HANGING HEART T-LIGHT HOLDER")</f>
        <v>WHITE HANGING HEART T-LIGHT HOLDER</v>
      </c>
      <c r="K406" s="1">
        <f ca="1">IFERROR(__xludf.DUMMYFUNCTION("""COMPUTED_VALUE"""),32)</f>
        <v>32</v>
      </c>
      <c r="L406" s="1">
        <f ca="1">IFERROR(__xludf.DUMMYFUNCTION("""COMPUTED_VALUE"""),2.55)</f>
        <v>2.5499999999999998</v>
      </c>
      <c r="T406" s="1">
        <f ca="1">IFERROR(__xludf.DUMMYFUNCTION("""COMPUTED_VALUE"""),489519)</f>
        <v>489519</v>
      </c>
      <c r="U406" s="1">
        <f ca="1">IFERROR(__xludf.DUMMYFUNCTION("""COMPUTED_VALUE"""),81.6)</f>
        <v>81.599999999999994</v>
      </c>
    </row>
    <row r="407" spans="1:21" ht="12.75" x14ac:dyDescent="0.2">
      <c r="A407" s="3">
        <f ca="1">IFERROR(__xludf.DUMMYFUNCTION("""COMPUTED_VALUE"""),40148.4840277777)</f>
        <v>40148.484027777697</v>
      </c>
      <c r="B407" s="1">
        <f ca="1">IFERROR(__xludf.DUMMYFUNCTION("""COMPUTED_VALUE"""),2.95)</f>
        <v>2.95</v>
      </c>
      <c r="E407" s="1" t="str">
        <f ca="1">IFERROR(__xludf.DUMMYFUNCTION("""COMPUTED_VALUE"""),"6 RIBBONS EMPIRE")</f>
        <v>6 RIBBONS EMPIRE</v>
      </c>
      <c r="F407" s="1">
        <f ca="1">IFERROR(__xludf.DUMMYFUNCTION("""COMPUTED_VALUE"""),1)</f>
        <v>1</v>
      </c>
      <c r="G407" s="1">
        <f ca="1">IFERROR(__xludf.DUMMYFUNCTION("""COMPUTED_VALUE"""),1.65)</f>
        <v>1.65</v>
      </c>
      <c r="J407" s="1" t="str">
        <f ca="1">IFERROR(__xludf.DUMMYFUNCTION("""COMPUTED_VALUE"""),"PAPER CHAIN KIT 50'S CHRISTMAS")</f>
        <v>PAPER CHAIN KIT 50'S CHRISTMAS</v>
      </c>
      <c r="K407" s="1">
        <f ca="1">IFERROR(__xludf.DUMMYFUNCTION("""COMPUTED_VALUE"""),12)</f>
        <v>12</v>
      </c>
      <c r="L407" s="1">
        <f ca="1">IFERROR(__xludf.DUMMYFUNCTION("""COMPUTED_VALUE"""),2.95)</f>
        <v>2.95</v>
      </c>
      <c r="T407" s="1">
        <f ca="1">IFERROR(__xludf.DUMMYFUNCTION("""COMPUTED_VALUE"""),489519)</f>
        <v>489519</v>
      </c>
      <c r="U407" s="1">
        <f ca="1">IFERROR(__xludf.DUMMYFUNCTION("""COMPUTED_VALUE"""),35.4)</f>
        <v>35.4</v>
      </c>
    </row>
    <row r="408" spans="1:21" ht="12.75" x14ac:dyDescent="0.2">
      <c r="A408" s="3">
        <f ca="1">IFERROR(__xludf.DUMMYFUNCTION("""COMPUTED_VALUE"""),40148.4840277777)</f>
        <v>40148.484027777697</v>
      </c>
      <c r="B408" s="1">
        <f ca="1">IFERROR(__xludf.DUMMYFUNCTION("""COMPUTED_VALUE"""),0.65)</f>
        <v>0.65</v>
      </c>
      <c r="E408" s="1" t="str">
        <f ca="1">IFERROR(__xludf.DUMMYFUNCTION("""COMPUTED_VALUE"""),"ASSORTED COLOUR BIRD ORNAMENT")</f>
        <v>ASSORTED COLOUR BIRD ORNAMENT</v>
      </c>
      <c r="F408" s="1">
        <f ca="1">IFERROR(__xludf.DUMMYFUNCTION("""COMPUTED_VALUE"""),800)</f>
        <v>800</v>
      </c>
      <c r="G408" s="1">
        <f ca="1">IFERROR(__xludf.DUMMYFUNCTION("""COMPUTED_VALUE"""),1.45)</f>
        <v>1.45</v>
      </c>
      <c r="J408" s="1" t="str">
        <f ca="1">IFERROR(__xludf.DUMMYFUNCTION("""COMPUTED_VALUE"""),"AGED GLASS SILVER T-LIGHT HOLDER")</f>
        <v>AGED GLASS SILVER T-LIGHT HOLDER</v>
      </c>
      <c r="K408" s="1">
        <f ca="1">IFERROR(__xludf.DUMMYFUNCTION("""COMPUTED_VALUE"""),12)</f>
        <v>12</v>
      </c>
      <c r="L408" s="1">
        <f ca="1">IFERROR(__xludf.DUMMYFUNCTION("""COMPUTED_VALUE"""),0.65)</f>
        <v>0.65</v>
      </c>
      <c r="T408" s="1">
        <f ca="1">IFERROR(__xludf.DUMMYFUNCTION("""COMPUTED_VALUE"""),489519)</f>
        <v>489519</v>
      </c>
      <c r="U408" s="1">
        <f ca="1">IFERROR(__xludf.DUMMYFUNCTION("""COMPUTED_VALUE"""),7.8)</f>
        <v>7.8</v>
      </c>
    </row>
    <row r="409" spans="1:21" ht="12.75" x14ac:dyDescent="0.2">
      <c r="A409" s="3">
        <f ca="1">IFERROR(__xludf.DUMMYFUNCTION("""COMPUTED_VALUE"""),40148.4840277777)</f>
        <v>40148.484027777697</v>
      </c>
      <c r="B409" s="1">
        <f ca="1">IFERROR(__xludf.DUMMYFUNCTION("""COMPUTED_VALUE"""),1.25)</f>
        <v>1.25</v>
      </c>
      <c r="E409" s="1" t="str">
        <f ca="1">IFERROR(__xludf.DUMMYFUNCTION("""COMPUTED_VALUE"""),"SILVER HANGING T-LIGHT HOLDER DOME")</f>
        <v>SILVER HANGING T-LIGHT HOLDER DOME</v>
      </c>
      <c r="F409" s="1">
        <f ca="1">IFERROR(__xludf.DUMMYFUNCTION("""COMPUTED_VALUE"""),24)</f>
        <v>24</v>
      </c>
      <c r="G409" s="1">
        <f ca="1">IFERROR(__xludf.DUMMYFUNCTION("""COMPUTED_VALUE"""),1.65)</f>
        <v>1.65</v>
      </c>
      <c r="J409" s="1" t="str">
        <f ca="1">IFERROR(__xludf.DUMMYFUNCTION("""COMPUTED_VALUE"""),"ANTIQUE SILVER TEA GLASS ETCHED")</f>
        <v>ANTIQUE SILVER TEA GLASS ETCHED</v>
      </c>
      <c r="K409" s="1">
        <f ca="1">IFERROR(__xludf.DUMMYFUNCTION("""COMPUTED_VALUE"""),12)</f>
        <v>12</v>
      </c>
      <c r="L409" s="1">
        <f ca="1">IFERROR(__xludf.DUMMYFUNCTION("""COMPUTED_VALUE"""),1.25)</f>
        <v>1.25</v>
      </c>
      <c r="T409" s="1">
        <f ca="1">IFERROR(__xludf.DUMMYFUNCTION("""COMPUTED_VALUE"""),489519)</f>
        <v>489519</v>
      </c>
      <c r="U409" s="1">
        <f ca="1">IFERROR(__xludf.DUMMYFUNCTION("""COMPUTED_VALUE"""),15)</f>
        <v>15</v>
      </c>
    </row>
    <row r="410" spans="1:21" ht="12.75" x14ac:dyDescent="0.2">
      <c r="A410" s="3">
        <f ca="1">IFERROR(__xludf.DUMMYFUNCTION("""COMPUTED_VALUE"""),40148.4840277777)</f>
        <v>40148.484027777697</v>
      </c>
      <c r="B410" s="1">
        <f ca="1">IFERROR(__xludf.DUMMYFUNCTION("""COMPUTED_VALUE"""),1.69)</f>
        <v>1.69</v>
      </c>
      <c r="E410" s="1" t="str">
        <f ca="1">IFERROR(__xludf.DUMMYFUNCTION("""COMPUTED_VALUE"""),"ZINC METAL HEART DECORATION")</f>
        <v>ZINC METAL HEART DECORATION</v>
      </c>
      <c r="F410" s="1">
        <f ca="1">IFERROR(__xludf.DUMMYFUNCTION("""COMPUTED_VALUE"""),24)</f>
        <v>24</v>
      </c>
      <c r="G410" s="1">
        <f ca="1">IFERROR(__xludf.DUMMYFUNCTION("""COMPUTED_VALUE"""),1.25)</f>
        <v>1.25</v>
      </c>
      <c r="J410" s="1" t="str">
        <f ca="1">IFERROR(__xludf.DUMMYFUNCTION("""COMPUTED_VALUE"""),"PAINTED BIRD ASSORTED CHRISTMAS")</f>
        <v>PAINTED BIRD ASSORTED CHRISTMAS</v>
      </c>
      <c r="K410" s="1">
        <f ca="1">IFERROR(__xludf.DUMMYFUNCTION("""COMPUTED_VALUE"""),12)</f>
        <v>12</v>
      </c>
      <c r="L410" s="1">
        <f ca="1">IFERROR(__xludf.DUMMYFUNCTION("""COMPUTED_VALUE"""),1.69)</f>
        <v>1.69</v>
      </c>
      <c r="T410" s="1">
        <f ca="1">IFERROR(__xludf.DUMMYFUNCTION("""COMPUTED_VALUE"""),489519)</f>
        <v>489519</v>
      </c>
      <c r="U410" s="1">
        <f ca="1">IFERROR(__xludf.DUMMYFUNCTION("""COMPUTED_VALUE"""),20.28)</f>
        <v>20.28</v>
      </c>
    </row>
    <row r="411" spans="1:21" ht="12.75" x14ac:dyDescent="0.2">
      <c r="A411" s="3">
        <f ca="1">IFERROR(__xludf.DUMMYFUNCTION("""COMPUTED_VALUE"""),40148.4840277777)</f>
        <v>40148.484027777697</v>
      </c>
      <c r="B411" s="1">
        <f ca="1">IFERROR(__xludf.DUMMYFUNCTION("""COMPUTED_VALUE"""),0.85)</f>
        <v>0.85</v>
      </c>
      <c r="E411" s="1" t="str">
        <f ca="1">IFERROR(__xludf.DUMMYFUNCTION("""COMPUTED_VALUE"""),"SCANDINAVIAN REDS RIBBONS")</f>
        <v>SCANDINAVIAN REDS RIBBONS</v>
      </c>
      <c r="F411" s="1">
        <f ca="1">IFERROR(__xludf.DUMMYFUNCTION("""COMPUTED_VALUE"""),12)</f>
        <v>12</v>
      </c>
      <c r="G411" s="1">
        <f ca="1">IFERROR(__xludf.DUMMYFUNCTION("""COMPUTED_VALUE"""),1.25)</f>
        <v>1.25</v>
      </c>
      <c r="J411" s="1" t="str">
        <f ca="1">IFERROR(__xludf.DUMMYFUNCTION("""COMPUTED_VALUE"""),"12 PENCILS TALL TUBE POSY")</f>
        <v>12 PENCILS TALL TUBE POSY</v>
      </c>
      <c r="K411" s="1">
        <f ca="1">IFERROR(__xludf.DUMMYFUNCTION("""COMPUTED_VALUE"""),12)</f>
        <v>12</v>
      </c>
      <c r="L411" s="1">
        <f ca="1">IFERROR(__xludf.DUMMYFUNCTION("""COMPUTED_VALUE"""),0.85)</f>
        <v>0.85</v>
      </c>
      <c r="T411" s="1">
        <f ca="1">IFERROR(__xludf.DUMMYFUNCTION("""COMPUTED_VALUE"""),489519)</f>
        <v>489519</v>
      </c>
      <c r="U411" s="1">
        <f ca="1">IFERROR(__xludf.DUMMYFUNCTION("""COMPUTED_VALUE"""),10.2)</f>
        <v>10.199999999999999</v>
      </c>
    </row>
    <row r="412" spans="1:21" ht="12.75" x14ac:dyDescent="0.2">
      <c r="A412" s="3">
        <f ca="1">IFERROR(__xludf.DUMMYFUNCTION("""COMPUTED_VALUE"""),40148.4840277777)</f>
        <v>40148.484027777697</v>
      </c>
      <c r="B412" s="1">
        <f ca="1">IFERROR(__xludf.DUMMYFUNCTION("""COMPUTED_VALUE"""),0.85)</f>
        <v>0.85</v>
      </c>
      <c r="E412" s="1" t="str">
        <f ca="1">IFERROR(__xludf.DUMMYFUNCTION("""COMPUTED_VALUE"""),"6 RIBBONS RUSTIC CHARM")</f>
        <v>6 RIBBONS RUSTIC CHARM</v>
      </c>
      <c r="F412" s="1">
        <f ca="1">IFERROR(__xludf.DUMMYFUNCTION("""COMPUTED_VALUE"""),12)</f>
        <v>12</v>
      </c>
      <c r="G412" s="1">
        <f ca="1">IFERROR(__xludf.DUMMYFUNCTION("""COMPUTED_VALUE"""),1.65)</f>
        <v>1.65</v>
      </c>
      <c r="J412" s="1" t="str">
        <f ca="1">IFERROR(__xludf.DUMMYFUNCTION("""COMPUTED_VALUE"""),"12 PENCILS TALL TUBE SKULLS")</f>
        <v>12 PENCILS TALL TUBE SKULLS</v>
      </c>
      <c r="K412" s="1">
        <f ca="1">IFERROR(__xludf.DUMMYFUNCTION("""COMPUTED_VALUE"""),12)</f>
        <v>12</v>
      </c>
      <c r="L412" s="1">
        <f ca="1">IFERROR(__xludf.DUMMYFUNCTION("""COMPUTED_VALUE"""),0.85)</f>
        <v>0.85</v>
      </c>
      <c r="T412" s="1">
        <f ca="1">IFERROR(__xludf.DUMMYFUNCTION("""COMPUTED_VALUE"""),489519)</f>
        <v>489519</v>
      </c>
      <c r="U412" s="1">
        <f ca="1">IFERROR(__xludf.DUMMYFUNCTION("""COMPUTED_VALUE"""),10.2)</f>
        <v>10.199999999999999</v>
      </c>
    </row>
    <row r="413" spans="1:21" ht="12.75" x14ac:dyDescent="0.2">
      <c r="A413" s="3">
        <f ca="1">IFERROR(__xludf.DUMMYFUNCTION("""COMPUTED_VALUE"""),40148.4840277777)</f>
        <v>40148.484027777697</v>
      </c>
      <c r="B413" s="1">
        <f ca="1">IFERROR(__xludf.DUMMYFUNCTION("""COMPUTED_VALUE"""),1.25)</f>
        <v>1.25</v>
      </c>
      <c r="E413" s="1" t="str">
        <f ca="1">IFERROR(__xludf.DUMMYFUNCTION("""COMPUTED_VALUE"""),"ANTIQUE SILVER TEA GLASS ETCHED")</f>
        <v>ANTIQUE SILVER TEA GLASS ETCHED</v>
      </c>
      <c r="F413" s="1">
        <f ca="1">IFERROR(__xludf.DUMMYFUNCTION("""COMPUTED_VALUE"""),12)</f>
        <v>12</v>
      </c>
      <c r="G413" s="1">
        <f ca="1">IFERROR(__xludf.DUMMYFUNCTION("""COMPUTED_VALUE"""),1.25)</f>
        <v>1.25</v>
      </c>
      <c r="J413" s="1" t="str">
        <f ca="1">IFERROR(__xludf.DUMMYFUNCTION("""COMPUTED_VALUE"""),"LARGE HEART FLOWERS HOOK")</f>
        <v>LARGE HEART FLOWERS HOOK</v>
      </c>
      <c r="K413" s="1">
        <f ca="1">IFERROR(__xludf.DUMMYFUNCTION("""COMPUTED_VALUE"""),12)</f>
        <v>12</v>
      </c>
      <c r="L413" s="1">
        <f ca="1">IFERROR(__xludf.DUMMYFUNCTION("""COMPUTED_VALUE"""),1.25)</f>
        <v>1.25</v>
      </c>
      <c r="T413" s="1">
        <f ca="1">IFERROR(__xludf.DUMMYFUNCTION("""COMPUTED_VALUE"""),489519)</f>
        <v>489519</v>
      </c>
      <c r="U413" s="1">
        <f ca="1">IFERROR(__xludf.DUMMYFUNCTION("""COMPUTED_VALUE"""),15)</f>
        <v>15</v>
      </c>
    </row>
    <row r="414" spans="1:21" ht="12.75" x14ac:dyDescent="0.2">
      <c r="A414" s="3">
        <f ca="1">IFERROR(__xludf.DUMMYFUNCTION("""COMPUTED_VALUE"""),40148.4840277777)</f>
        <v>40148.484027777697</v>
      </c>
      <c r="B414" s="1">
        <f ca="1">IFERROR(__xludf.DUMMYFUNCTION("""COMPUTED_VALUE"""),3.75)</f>
        <v>3.75</v>
      </c>
      <c r="E414" s="1" t="str">
        <f ca="1">IFERROR(__xludf.DUMMYFUNCTION("""COMPUTED_VALUE"""),"SET/5 RED SPOTTY LID GLASS BOWLS")</f>
        <v>SET/5 RED SPOTTY LID GLASS BOWLS</v>
      </c>
      <c r="F414" s="1">
        <f ca="1">IFERROR(__xludf.DUMMYFUNCTION("""COMPUTED_VALUE"""),12)</f>
        <v>12</v>
      </c>
      <c r="G414" s="1">
        <f ca="1">IFERROR(__xludf.DUMMYFUNCTION("""COMPUTED_VALUE"""),2.95)</f>
        <v>2.95</v>
      </c>
      <c r="J414" s="1" t="str">
        <f ca="1">IFERROR(__xludf.DUMMYFUNCTION("""COMPUTED_VALUE"""),"VINTAGE SNAKES &amp; LADDERS")</f>
        <v>VINTAGE SNAKES &amp; LADDERS</v>
      </c>
      <c r="K414" s="1">
        <f ca="1">IFERROR(__xludf.DUMMYFUNCTION("""COMPUTED_VALUE"""),8)</f>
        <v>8</v>
      </c>
      <c r="L414" s="1">
        <f ca="1">IFERROR(__xludf.DUMMYFUNCTION("""COMPUTED_VALUE"""),3.75)</f>
        <v>3.75</v>
      </c>
      <c r="T414" s="1">
        <f ca="1">IFERROR(__xludf.DUMMYFUNCTION("""COMPUTED_VALUE"""),489519)</f>
        <v>489519</v>
      </c>
      <c r="U414" s="1">
        <f ca="1">IFERROR(__xludf.DUMMYFUNCTION("""COMPUTED_VALUE"""),30)</f>
        <v>30</v>
      </c>
    </row>
    <row r="415" spans="1:21" ht="12.75" x14ac:dyDescent="0.2">
      <c r="A415" s="3">
        <f ca="1">IFERROR(__xludf.DUMMYFUNCTION("""COMPUTED_VALUE"""),40148.4840277777)</f>
        <v>40148.484027777697</v>
      </c>
      <c r="B415" s="1">
        <f ca="1">IFERROR(__xludf.DUMMYFUNCTION("""COMPUTED_VALUE"""),2.95)</f>
        <v>2.95</v>
      </c>
      <c r="E415" s="1" t="str">
        <f ca="1">IFERROR(__xludf.DUMMYFUNCTION("""COMPUTED_VALUE"""),"RED TOADSTOOL LED NIGHT LIGHT")</f>
        <v>RED TOADSTOOL LED NIGHT LIGHT</v>
      </c>
      <c r="F415" s="1">
        <f ca="1">IFERROR(__xludf.DUMMYFUNCTION("""COMPUTED_VALUE"""),12)</f>
        <v>12</v>
      </c>
      <c r="G415" s="1">
        <f ca="1">IFERROR(__xludf.DUMMYFUNCTION("""COMPUTED_VALUE"""),1.65)</f>
        <v>1.65</v>
      </c>
      <c r="J415" s="1" t="str">
        <f ca="1">IFERROR(__xludf.DUMMYFUNCTION("""COMPUTED_VALUE"""),"FRAPPUCINO SCARF KNITTING KIT")</f>
        <v>FRAPPUCINO SCARF KNITTING KIT</v>
      </c>
      <c r="K415" s="1">
        <f ca="1">IFERROR(__xludf.DUMMYFUNCTION("""COMPUTED_VALUE"""),6)</f>
        <v>6</v>
      </c>
      <c r="L415" s="1">
        <f ca="1">IFERROR(__xludf.DUMMYFUNCTION("""COMPUTED_VALUE"""),2.95)</f>
        <v>2.95</v>
      </c>
      <c r="T415" s="1">
        <f ca="1">IFERROR(__xludf.DUMMYFUNCTION("""COMPUTED_VALUE"""),489519)</f>
        <v>489519</v>
      </c>
      <c r="U415" s="1">
        <f ca="1">IFERROR(__xludf.DUMMYFUNCTION("""COMPUTED_VALUE"""),17.7)</f>
        <v>17.7</v>
      </c>
    </row>
    <row r="416" spans="1:21" ht="12.75" x14ac:dyDescent="0.2">
      <c r="A416" s="3">
        <f ca="1">IFERROR(__xludf.DUMMYFUNCTION("""COMPUTED_VALUE"""),40148.4840277777)</f>
        <v>40148.484027777697</v>
      </c>
      <c r="B416" s="1">
        <f ca="1">IFERROR(__xludf.DUMMYFUNCTION("""COMPUTED_VALUE"""),2.55)</f>
        <v>2.5499999999999998</v>
      </c>
      <c r="E416" s="1" t="str">
        <f ca="1">IFERROR(__xludf.DUMMYFUNCTION("""COMPUTED_VALUE"""),"FELT TOADSTOOL LARGE")</f>
        <v>FELT TOADSTOOL LARGE</v>
      </c>
      <c r="F416" s="1">
        <f ca="1">IFERROR(__xludf.DUMMYFUNCTION("""COMPUTED_VALUE"""),12)</f>
        <v>12</v>
      </c>
      <c r="G416" s="1">
        <f ca="1">IFERROR(__xludf.DUMMYFUNCTION("""COMPUTED_VALUE"""),1.25)</f>
        <v>1.25</v>
      </c>
      <c r="J416" s="1" t="str">
        <f ca="1">IFERROR(__xludf.DUMMYFUNCTION("""COMPUTED_VALUE"""),"WASH BAG VINTAGE ROSE PAISLEY")</f>
        <v>WASH BAG VINTAGE ROSE PAISLEY</v>
      </c>
      <c r="K416" s="1">
        <f ca="1">IFERROR(__xludf.DUMMYFUNCTION("""COMPUTED_VALUE"""),6)</f>
        <v>6</v>
      </c>
      <c r="L416" s="1">
        <f ca="1">IFERROR(__xludf.DUMMYFUNCTION("""COMPUTED_VALUE"""),2.55)</f>
        <v>2.5499999999999998</v>
      </c>
      <c r="T416" s="1">
        <f ca="1">IFERROR(__xludf.DUMMYFUNCTION("""COMPUTED_VALUE"""),489519)</f>
        <v>489519</v>
      </c>
      <c r="U416" s="1">
        <f ca="1">IFERROR(__xludf.DUMMYFUNCTION("""COMPUTED_VALUE"""),15.2999999999999)</f>
        <v>15.299999999999899</v>
      </c>
    </row>
    <row r="417" spans="1:21" ht="12.75" x14ac:dyDescent="0.2">
      <c r="A417" s="3">
        <f ca="1">IFERROR(__xludf.DUMMYFUNCTION("""COMPUTED_VALUE"""),40148.4840277777)</f>
        <v>40148.484027777697</v>
      </c>
      <c r="B417" s="1">
        <f ca="1">IFERROR(__xludf.DUMMYFUNCTION("""COMPUTED_VALUE"""),1.65)</f>
        <v>1.65</v>
      </c>
      <c r="E417" s="1" t="str">
        <f ca="1">IFERROR(__xludf.DUMMYFUNCTION("""COMPUTED_VALUE"""),"RED SPOTTY SHOPPER BAG")</f>
        <v>RED SPOTTY SHOPPER BAG</v>
      </c>
      <c r="F417" s="1">
        <f ca="1">IFERROR(__xludf.DUMMYFUNCTION("""COMPUTED_VALUE"""),10)</f>
        <v>10</v>
      </c>
      <c r="G417" s="1">
        <f ca="1">IFERROR(__xludf.DUMMYFUNCTION("""COMPUTED_VALUE"""),1.25)</f>
        <v>1.25</v>
      </c>
      <c r="J417" s="1" t="str">
        <f ca="1">IFERROR(__xludf.DUMMYFUNCTION("""COMPUTED_VALUE"""),"SILVER HANGING T-LIGHT HOLDER")</f>
        <v>SILVER HANGING T-LIGHT HOLDER</v>
      </c>
      <c r="K417" s="1">
        <f ca="1">IFERROR(__xludf.DUMMYFUNCTION("""COMPUTED_VALUE"""),6)</f>
        <v>6</v>
      </c>
      <c r="L417" s="1">
        <f ca="1">IFERROR(__xludf.DUMMYFUNCTION("""COMPUTED_VALUE"""),1.65)</f>
        <v>1.65</v>
      </c>
      <c r="T417" s="1">
        <f ca="1">IFERROR(__xludf.DUMMYFUNCTION("""COMPUTED_VALUE"""),489519)</f>
        <v>489519</v>
      </c>
      <c r="U417" s="1">
        <f ca="1">IFERROR(__xludf.DUMMYFUNCTION("""COMPUTED_VALUE"""),9.89999999999999)</f>
        <v>9.8999999999999897</v>
      </c>
    </row>
    <row r="418" spans="1:21" ht="12.75" x14ac:dyDescent="0.2">
      <c r="A418" s="3">
        <f ca="1">IFERROR(__xludf.DUMMYFUNCTION("""COMPUTED_VALUE"""),40148.4840277777)</f>
        <v>40148.484027777697</v>
      </c>
      <c r="B418" s="1">
        <f ca="1">IFERROR(__xludf.DUMMYFUNCTION("""COMPUTED_VALUE"""),1.95)</f>
        <v>1.95</v>
      </c>
      <c r="E418" s="1" t="str">
        <f ca="1">IFERROR(__xludf.DUMMYFUNCTION("""COMPUTED_VALUE"""),"SET/3 RUSSIAN DOLL STACKING TINS")</f>
        <v>SET/3 RUSSIAN DOLL STACKING TINS</v>
      </c>
      <c r="F418" s="1">
        <f ca="1">IFERROR(__xludf.DUMMYFUNCTION("""COMPUTED_VALUE"""),9)</f>
        <v>9</v>
      </c>
      <c r="G418" s="1">
        <f ca="1">IFERROR(__xludf.DUMMYFUNCTION("""COMPUTED_VALUE"""),4.95)</f>
        <v>4.95</v>
      </c>
      <c r="J418" s="1" t="str">
        <f ca="1">IFERROR(__xludf.DUMMYFUNCTION("""COMPUTED_VALUE"""),"SET OF THREE VINTAGE GIFT WRAPS")</f>
        <v>SET OF THREE VINTAGE GIFT WRAPS</v>
      </c>
      <c r="K418" s="1">
        <f ca="1">IFERROR(__xludf.DUMMYFUNCTION("""COMPUTED_VALUE"""),6)</f>
        <v>6</v>
      </c>
      <c r="L418" s="1">
        <f ca="1">IFERROR(__xludf.DUMMYFUNCTION("""COMPUTED_VALUE"""),1.95)</f>
        <v>1.95</v>
      </c>
      <c r="T418" s="1">
        <f ca="1">IFERROR(__xludf.DUMMYFUNCTION("""COMPUTED_VALUE"""),489519)</f>
        <v>489519</v>
      </c>
      <c r="U418" s="1">
        <f ca="1">IFERROR(__xludf.DUMMYFUNCTION("""COMPUTED_VALUE"""),11.7)</f>
        <v>11.7</v>
      </c>
    </row>
    <row r="419" spans="1:21" ht="12.75" x14ac:dyDescent="0.2">
      <c r="A419" s="3">
        <f ca="1">IFERROR(__xludf.DUMMYFUNCTION("""COMPUTED_VALUE"""),40148.4840277777)</f>
        <v>40148.484027777697</v>
      </c>
      <c r="B419" s="1">
        <f ca="1">IFERROR(__xludf.DUMMYFUNCTION("""COMPUTED_VALUE"""),2.1)</f>
        <v>2.1</v>
      </c>
      <c r="E419" s="1" t="str">
        <f ca="1">IFERROR(__xludf.DUMMYFUNCTION("""COMPUTED_VALUE"""),"RETRO SPORT PARTY BAG + STICKER SET")</f>
        <v>RETRO SPORT PARTY BAG + STICKER SET</v>
      </c>
      <c r="F419" s="1">
        <f ca="1">IFERROR(__xludf.DUMMYFUNCTION("""COMPUTED_VALUE"""),8)</f>
        <v>8</v>
      </c>
      <c r="G419" s="1">
        <f ca="1">IFERROR(__xludf.DUMMYFUNCTION("""COMPUTED_VALUE"""),1.65)</f>
        <v>1.65</v>
      </c>
      <c r="J419" s="1" t="str">
        <f ca="1">IFERROR(__xludf.DUMMYFUNCTION("""COMPUTED_VALUE"""),"CHOCOLATE THIS WAY METAL SIGN")</f>
        <v>CHOCOLATE THIS WAY METAL SIGN</v>
      </c>
      <c r="K419" s="1">
        <f ca="1">IFERROR(__xludf.DUMMYFUNCTION("""COMPUTED_VALUE"""),6)</f>
        <v>6</v>
      </c>
      <c r="L419" s="1">
        <f ca="1">IFERROR(__xludf.DUMMYFUNCTION("""COMPUTED_VALUE"""),2.1)</f>
        <v>2.1</v>
      </c>
      <c r="T419" s="1">
        <f ca="1">IFERROR(__xludf.DUMMYFUNCTION("""COMPUTED_VALUE"""),489519)</f>
        <v>489519</v>
      </c>
      <c r="U419" s="1">
        <f ca="1">IFERROR(__xludf.DUMMYFUNCTION("""COMPUTED_VALUE"""),12.6)</f>
        <v>12.6</v>
      </c>
    </row>
    <row r="420" spans="1:21" ht="12.75" x14ac:dyDescent="0.2">
      <c r="A420" s="3">
        <f ca="1">IFERROR(__xludf.DUMMYFUNCTION("""COMPUTED_VALUE"""),40148.4840277777)</f>
        <v>40148.484027777697</v>
      </c>
      <c r="B420" s="1">
        <f ca="1">IFERROR(__xludf.DUMMYFUNCTION("""COMPUTED_VALUE"""),2.1)</f>
        <v>2.1</v>
      </c>
      <c r="E420" s="1" t="str">
        <f ca="1">IFERROR(__xludf.DUMMYFUNCTION("""COMPUTED_VALUE"""),"RED SPOTTY BOWL")</f>
        <v>RED SPOTTY BOWL</v>
      </c>
      <c r="F420" s="1">
        <f ca="1">IFERROR(__xludf.DUMMYFUNCTION("""COMPUTED_VALUE"""),8)</f>
        <v>8</v>
      </c>
      <c r="G420" s="1">
        <f ca="1">IFERROR(__xludf.DUMMYFUNCTION("""COMPUTED_VALUE"""),1.25)</f>
        <v>1.25</v>
      </c>
      <c r="J420" s="1" t="str">
        <f ca="1">IFERROR(__xludf.DUMMYFUNCTION("""COMPUTED_VALUE"""),"PLEASE ONE PERSON  METAL SIGN")</f>
        <v>PLEASE ONE PERSON  METAL SIGN</v>
      </c>
      <c r="K420" s="1">
        <f ca="1">IFERROR(__xludf.DUMMYFUNCTION("""COMPUTED_VALUE"""),6)</f>
        <v>6</v>
      </c>
      <c r="L420" s="1">
        <f ca="1">IFERROR(__xludf.DUMMYFUNCTION("""COMPUTED_VALUE"""),2.1)</f>
        <v>2.1</v>
      </c>
      <c r="T420" s="1">
        <f ca="1">IFERROR(__xludf.DUMMYFUNCTION("""COMPUTED_VALUE"""),489519)</f>
        <v>489519</v>
      </c>
      <c r="U420" s="1">
        <f ca="1">IFERROR(__xludf.DUMMYFUNCTION("""COMPUTED_VALUE"""),12.6)</f>
        <v>12.6</v>
      </c>
    </row>
    <row r="421" spans="1:21" ht="12.75" x14ac:dyDescent="0.2">
      <c r="A421" s="3">
        <f ca="1">IFERROR(__xludf.DUMMYFUNCTION("""COMPUTED_VALUE"""),40148.4840277777)</f>
        <v>40148.484027777697</v>
      </c>
      <c r="B421" s="1">
        <f ca="1">IFERROR(__xludf.DUMMYFUNCTION("""COMPUTED_VALUE"""),2.55)</f>
        <v>2.5499999999999998</v>
      </c>
      <c r="E421" s="1" t="str">
        <f ca="1">IFERROR(__xludf.DUMMYFUNCTION("""COMPUTED_VALUE"""),"RED SPOTTY PLATE")</f>
        <v>RED SPOTTY PLATE</v>
      </c>
      <c r="F421" s="1">
        <f ca="1">IFERROR(__xludf.DUMMYFUNCTION("""COMPUTED_VALUE"""),8)</f>
        <v>8</v>
      </c>
      <c r="G421" s="1">
        <f ca="1">IFERROR(__xludf.DUMMYFUNCTION("""COMPUTED_VALUE"""),1.69)</f>
        <v>1.69</v>
      </c>
      <c r="J421" s="1" t="str">
        <f ca="1">IFERROR(__xludf.DUMMYFUNCTION("""COMPUTED_VALUE"""),"MIRRORED WALL ART POPPIES")</f>
        <v>MIRRORED WALL ART POPPIES</v>
      </c>
      <c r="K421" s="1">
        <f ca="1">IFERROR(__xludf.DUMMYFUNCTION("""COMPUTED_VALUE"""),6)</f>
        <v>6</v>
      </c>
      <c r="L421" s="1">
        <f ca="1">IFERROR(__xludf.DUMMYFUNCTION("""COMPUTED_VALUE"""),2.55)</f>
        <v>2.5499999999999998</v>
      </c>
      <c r="T421" s="1">
        <f ca="1">IFERROR(__xludf.DUMMYFUNCTION("""COMPUTED_VALUE"""),489519)</f>
        <v>489519</v>
      </c>
      <c r="U421" s="1">
        <f ca="1">IFERROR(__xludf.DUMMYFUNCTION("""COMPUTED_VALUE"""),15.2999999999999)</f>
        <v>15.299999999999899</v>
      </c>
    </row>
    <row r="422" spans="1:21" ht="12.75" x14ac:dyDescent="0.2">
      <c r="A422" s="3">
        <f ca="1">IFERROR(__xludf.DUMMYFUNCTION("""COMPUTED_VALUE"""),40148.4840277777)</f>
        <v>40148.484027777697</v>
      </c>
      <c r="B422" s="1">
        <f ca="1">IFERROR(__xludf.DUMMYFUNCTION("""COMPUTED_VALUE"""),2.1)</f>
        <v>2.1</v>
      </c>
      <c r="E422" s="1" t="str">
        <f ca="1">IFERROR(__xludf.DUMMYFUNCTION("""COMPUTED_VALUE"""),"JIGSAW TOADSTOOLS 3 PIECE")</f>
        <v>JIGSAW TOADSTOOLS 3 PIECE</v>
      </c>
      <c r="F422" s="1">
        <f ca="1">IFERROR(__xludf.DUMMYFUNCTION("""COMPUTED_VALUE"""),8)</f>
        <v>8</v>
      </c>
      <c r="G422" s="1">
        <f ca="1">IFERROR(__xludf.DUMMYFUNCTION("""COMPUTED_VALUE"""),1.65)</f>
        <v>1.65</v>
      </c>
      <c r="J422" s="1" t="str">
        <f ca="1">IFERROR(__xludf.DUMMYFUNCTION("""COMPUTED_VALUE"""),"HAND OVER THE CHOCOLATE   SIGN")</f>
        <v>HAND OVER THE CHOCOLATE   SIGN</v>
      </c>
      <c r="K422" s="1">
        <f ca="1">IFERROR(__xludf.DUMMYFUNCTION("""COMPUTED_VALUE"""),6)</f>
        <v>6</v>
      </c>
      <c r="L422" s="1">
        <f ca="1">IFERROR(__xludf.DUMMYFUNCTION("""COMPUTED_VALUE"""),2.1)</f>
        <v>2.1</v>
      </c>
      <c r="T422" s="1">
        <f ca="1">IFERROR(__xludf.DUMMYFUNCTION("""COMPUTED_VALUE"""),489519)</f>
        <v>489519</v>
      </c>
      <c r="U422" s="1">
        <f ca="1">IFERROR(__xludf.DUMMYFUNCTION("""COMPUTED_VALUE"""),12.6)</f>
        <v>12.6</v>
      </c>
    </row>
    <row r="423" spans="1:21" ht="12.75" x14ac:dyDescent="0.2">
      <c r="A423" s="3">
        <f ca="1">IFERROR(__xludf.DUMMYFUNCTION("""COMPUTED_VALUE"""),40148.4840277777)</f>
        <v>40148.484027777697</v>
      </c>
      <c r="B423" s="1">
        <f ca="1">IFERROR(__xludf.DUMMYFUNCTION("""COMPUTED_VALUE"""),2.95)</f>
        <v>2.95</v>
      </c>
      <c r="E423" s="1" t="str">
        <f ca="1">IFERROR(__xludf.DUMMYFUNCTION("""COMPUTED_VALUE"""),"RED HANGING HEART T-LIGHT HOLDER")</f>
        <v>RED HANGING HEART T-LIGHT HOLDER</v>
      </c>
      <c r="F423" s="1">
        <f ca="1">IFERROR(__xludf.DUMMYFUNCTION("""COMPUTED_VALUE"""),6)</f>
        <v>6</v>
      </c>
      <c r="G423" s="1">
        <f ca="1">IFERROR(__xludf.DUMMYFUNCTION("""COMPUTED_VALUE"""),2.95)</f>
        <v>2.95</v>
      </c>
      <c r="J423" s="1" t="str">
        <f ca="1">IFERROR(__xludf.DUMMYFUNCTION("""COMPUTED_VALUE"""),"2 DAISIES HAIR COMB")</f>
        <v>2 DAISIES HAIR COMB</v>
      </c>
      <c r="K423" s="1">
        <f ca="1">IFERROR(__xludf.DUMMYFUNCTION("""COMPUTED_VALUE"""),6)</f>
        <v>6</v>
      </c>
      <c r="L423" s="1">
        <f ca="1">IFERROR(__xludf.DUMMYFUNCTION("""COMPUTED_VALUE"""),2.95)</f>
        <v>2.95</v>
      </c>
      <c r="T423" s="1">
        <f ca="1">IFERROR(__xludf.DUMMYFUNCTION("""COMPUTED_VALUE"""),489519)</f>
        <v>489519</v>
      </c>
      <c r="U423" s="1">
        <f ca="1">IFERROR(__xludf.DUMMYFUNCTION("""COMPUTED_VALUE"""),17.7)</f>
        <v>17.7</v>
      </c>
    </row>
    <row r="424" spans="1:21" ht="12.75" x14ac:dyDescent="0.2">
      <c r="A424" s="3">
        <f ca="1">IFERROR(__xludf.DUMMYFUNCTION("""COMPUTED_VALUE"""),40148.4840277777)</f>
        <v>40148.484027777697</v>
      </c>
      <c r="B424" s="1">
        <f ca="1">IFERROR(__xludf.DUMMYFUNCTION("""COMPUTED_VALUE"""),2.95)</f>
        <v>2.95</v>
      </c>
      <c r="E424" s="1" t="str">
        <f ca="1">IFERROR(__xludf.DUMMYFUNCTION("""COMPUTED_VALUE"""),"WHITE HANGING HEART T-LIGHT HOLDER")</f>
        <v>WHITE HANGING HEART T-LIGHT HOLDER</v>
      </c>
      <c r="F424" s="1">
        <f ca="1">IFERROR(__xludf.DUMMYFUNCTION("""COMPUTED_VALUE"""),6)</f>
        <v>6</v>
      </c>
      <c r="G424" s="1">
        <f ca="1">IFERROR(__xludf.DUMMYFUNCTION("""COMPUTED_VALUE"""),2.95)</f>
        <v>2.95</v>
      </c>
      <c r="J424" s="1" t="str">
        <f ca="1">IFERROR(__xludf.DUMMYFUNCTION("""COMPUTED_VALUE"""),"PINK VINTAGE VICTORIAN EARRINGS")</f>
        <v>PINK VINTAGE VICTORIAN EARRINGS</v>
      </c>
      <c r="K424" s="1">
        <f ca="1">IFERROR(__xludf.DUMMYFUNCTION("""COMPUTED_VALUE"""),6)</f>
        <v>6</v>
      </c>
      <c r="L424" s="1">
        <f ca="1">IFERROR(__xludf.DUMMYFUNCTION("""COMPUTED_VALUE"""),2.95)</f>
        <v>2.95</v>
      </c>
      <c r="T424" s="1">
        <f ca="1">IFERROR(__xludf.DUMMYFUNCTION("""COMPUTED_VALUE"""),489519)</f>
        <v>489519</v>
      </c>
      <c r="U424" s="1">
        <f ca="1">IFERROR(__xludf.DUMMYFUNCTION("""COMPUTED_VALUE"""),17.7)</f>
        <v>17.7</v>
      </c>
    </row>
    <row r="425" spans="1:21" ht="12.75" x14ac:dyDescent="0.2">
      <c r="A425" s="3">
        <f ca="1">IFERROR(__xludf.DUMMYFUNCTION("""COMPUTED_VALUE"""),40148.4840277777)</f>
        <v>40148.484027777697</v>
      </c>
      <c r="B425" s="1">
        <f ca="1">IFERROR(__xludf.DUMMYFUNCTION("""COMPUTED_VALUE"""),2.95)</f>
        <v>2.95</v>
      </c>
      <c r="E425" s="1" t="str">
        <f ca="1">IFERROR(__xludf.DUMMYFUNCTION("""COMPUTED_VALUE"""),"RETRO SPOT LARGE MILK JUG")</f>
        <v>RETRO SPOT LARGE MILK JUG</v>
      </c>
      <c r="F425" s="1">
        <f ca="1">IFERROR(__xludf.DUMMYFUNCTION("""COMPUTED_VALUE"""),6)</f>
        <v>6</v>
      </c>
      <c r="G425" s="1">
        <f ca="1">IFERROR(__xludf.DUMMYFUNCTION("""COMPUTED_VALUE"""),4.95)</f>
        <v>4.95</v>
      </c>
      <c r="J425" s="1" t="str">
        <f ca="1">IFERROR(__xludf.DUMMYFUNCTION("""COMPUTED_VALUE"""),"BROWN VINTAGE VICTORIAN EARRINGS")</f>
        <v>BROWN VINTAGE VICTORIAN EARRINGS</v>
      </c>
      <c r="K425" s="1">
        <f ca="1">IFERROR(__xludf.DUMMYFUNCTION("""COMPUTED_VALUE"""),6)</f>
        <v>6</v>
      </c>
      <c r="L425" s="1">
        <f ca="1">IFERROR(__xludf.DUMMYFUNCTION("""COMPUTED_VALUE"""),2.95)</f>
        <v>2.95</v>
      </c>
      <c r="T425" s="1">
        <f ca="1">IFERROR(__xludf.DUMMYFUNCTION("""COMPUTED_VALUE"""),489519)</f>
        <v>489519</v>
      </c>
      <c r="U425" s="1">
        <f ca="1">IFERROR(__xludf.DUMMYFUNCTION("""COMPUTED_VALUE"""),17.7)</f>
        <v>17.7</v>
      </c>
    </row>
    <row r="426" spans="1:21" ht="12.75" x14ac:dyDescent="0.2">
      <c r="A426" s="3">
        <f ca="1">IFERROR(__xludf.DUMMYFUNCTION("""COMPUTED_VALUE"""),40148.4840277777)</f>
        <v>40148.484027777697</v>
      </c>
      <c r="B426" s="1">
        <f ca="1">IFERROR(__xludf.DUMMYFUNCTION("""COMPUTED_VALUE"""),2.95)</f>
        <v>2.95</v>
      </c>
      <c r="E426" s="1" t="str">
        <f ca="1">IFERROR(__xludf.DUMMYFUNCTION("""COMPUTED_VALUE"""),"RETRO SPOT SUGAR JAM BOWL")</f>
        <v>RETRO SPOT SUGAR JAM BOWL</v>
      </c>
      <c r="F426" s="1">
        <f ca="1">IFERROR(__xludf.DUMMYFUNCTION("""COMPUTED_VALUE"""),6)</f>
        <v>6</v>
      </c>
      <c r="G426" s="1">
        <f ca="1">IFERROR(__xludf.DUMMYFUNCTION("""COMPUTED_VALUE"""),2.55)</f>
        <v>2.5499999999999998</v>
      </c>
      <c r="J426" s="1" t="str">
        <f ca="1">IFERROR(__xludf.DUMMYFUNCTION("""COMPUTED_VALUE"""),"OLD ROSE COMBO BEAD NECKLACE")</f>
        <v>OLD ROSE COMBO BEAD NECKLACE</v>
      </c>
      <c r="K426" s="1">
        <f ca="1">IFERROR(__xludf.DUMMYFUNCTION("""COMPUTED_VALUE"""),6)</f>
        <v>6</v>
      </c>
      <c r="L426" s="1">
        <f ca="1">IFERROR(__xludf.DUMMYFUNCTION("""COMPUTED_VALUE"""),2.95)</f>
        <v>2.95</v>
      </c>
      <c r="T426" s="1">
        <f ca="1">IFERROR(__xludf.DUMMYFUNCTION("""COMPUTED_VALUE"""),489519)</f>
        <v>489519</v>
      </c>
      <c r="U426" s="1">
        <f ca="1">IFERROR(__xludf.DUMMYFUNCTION("""COMPUTED_VALUE"""),17.7)</f>
        <v>17.7</v>
      </c>
    </row>
    <row r="427" spans="1:21" ht="12.75" x14ac:dyDescent="0.2">
      <c r="A427" s="3">
        <f ca="1">IFERROR(__xludf.DUMMYFUNCTION("""COMPUTED_VALUE"""),40148.4840277777)</f>
        <v>40148.484027777697</v>
      </c>
      <c r="B427" s="1">
        <f ca="1">IFERROR(__xludf.DUMMYFUNCTION("""COMPUTED_VALUE"""),3.95)</f>
        <v>3.95</v>
      </c>
      <c r="E427" s="1" t="str">
        <f ca="1">IFERROR(__xludf.DUMMYFUNCTION("""COMPUTED_VALUE"""),"RETRO SPOT SMALL MILK JUG")</f>
        <v>RETRO SPOT SMALL MILK JUG</v>
      </c>
      <c r="F427" s="1">
        <f ca="1">IFERROR(__xludf.DUMMYFUNCTION("""COMPUTED_VALUE"""),6)</f>
        <v>6</v>
      </c>
      <c r="G427" s="1">
        <f ca="1">IFERROR(__xludf.DUMMYFUNCTION("""COMPUTED_VALUE"""),2.55)</f>
        <v>2.5499999999999998</v>
      </c>
      <c r="J427" s="1" t="str">
        <f ca="1">IFERROR(__xludf.DUMMYFUNCTION("""COMPUTED_VALUE"""),"ANT WHITE WIRE HEART SPIRAL")</f>
        <v>ANT WHITE WIRE HEART SPIRAL</v>
      </c>
      <c r="K427" s="1">
        <f ca="1">IFERROR(__xludf.DUMMYFUNCTION("""COMPUTED_VALUE"""),5)</f>
        <v>5</v>
      </c>
      <c r="L427" s="1">
        <f ca="1">IFERROR(__xludf.DUMMYFUNCTION("""COMPUTED_VALUE"""),3.95)</f>
        <v>3.95</v>
      </c>
      <c r="T427" s="1">
        <f ca="1">IFERROR(__xludf.DUMMYFUNCTION("""COMPUTED_VALUE"""),489519)</f>
        <v>489519</v>
      </c>
      <c r="U427" s="1">
        <f ca="1">IFERROR(__xludf.DUMMYFUNCTION("""COMPUTED_VALUE"""),19.75)</f>
        <v>19.75</v>
      </c>
    </row>
    <row r="428" spans="1:21" ht="12.75" x14ac:dyDescent="0.2">
      <c r="A428" s="3">
        <f ca="1">IFERROR(__xludf.DUMMYFUNCTION("""COMPUTED_VALUE"""),40148.4840277777)</f>
        <v>40148.484027777697</v>
      </c>
      <c r="B428" s="1">
        <f ca="1">IFERROR(__xludf.DUMMYFUNCTION("""COMPUTED_VALUE"""),3.75)</f>
        <v>3.75</v>
      </c>
      <c r="E428" s="1" t="str">
        <f ca="1">IFERROR(__xludf.DUMMYFUNCTION("""COMPUTED_VALUE"""),"RETRO SPOT MUG")</f>
        <v>RETRO SPOT MUG</v>
      </c>
      <c r="F428" s="1">
        <f ca="1">IFERROR(__xludf.DUMMYFUNCTION("""COMPUTED_VALUE"""),6)</f>
        <v>6</v>
      </c>
      <c r="G428" s="1">
        <f ca="1">IFERROR(__xludf.DUMMYFUNCTION("""COMPUTED_VALUE"""),2.95)</f>
        <v>2.95</v>
      </c>
      <c r="J428" s="1" t="str">
        <f ca="1">IFERROR(__xludf.DUMMYFUNCTION("""COMPUTED_VALUE"""),"GREEN ROSE WASHBAG")</f>
        <v>GREEN ROSE WASHBAG</v>
      </c>
      <c r="K428" s="1">
        <f ca="1">IFERROR(__xludf.DUMMYFUNCTION("""COMPUTED_VALUE"""),4)</f>
        <v>4</v>
      </c>
      <c r="L428" s="1">
        <f ca="1">IFERROR(__xludf.DUMMYFUNCTION("""COMPUTED_VALUE"""),3.75)</f>
        <v>3.75</v>
      </c>
      <c r="T428" s="1">
        <f ca="1">IFERROR(__xludf.DUMMYFUNCTION("""COMPUTED_VALUE"""),489519)</f>
        <v>489519</v>
      </c>
      <c r="U428" s="1">
        <f ca="1">IFERROR(__xludf.DUMMYFUNCTION("""COMPUTED_VALUE"""),15)</f>
        <v>15</v>
      </c>
    </row>
    <row r="429" spans="1:21" ht="12.75" x14ac:dyDescent="0.2">
      <c r="A429" s="3">
        <f ca="1">IFERROR(__xludf.DUMMYFUNCTION("""COMPUTED_VALUE"""),40148.4840277777)</f>
        <v>40148.484027777697</v>
      </c>
      <c r="B429" s="1">
        <f ca="1">IFERROR(__xludf.DUMMYFUNCTION("""COMPUTED_VALUE"""),6.75)</f>
        <v>6.75</v>
      </c>
      <c r="E429" s="1" t="str">
        <f ca="1">IFERROR(__xludf.DUMMYFUNCTION("""COMPUTED_VALUE"""),"RED SPOTTY CHILDS UMBRELLA")</f>
        <v>RED SPOTTY CHILDS UMBRELLA</v>
      </c>
      <c r="F429" s="1">
        <f ca="1">IFERROR(__xludf.DUMMYFUNCTION("""COMPUTED_VALUE"""),6)</f>
        <v>6</v>
      </c>
      <c r="G429" s="1">
        <f ca="1">IFERROR(__xludf.DUMMYFUNCTION("""COMPUTED_VALUE"""),3.25)</f>
        <v>3.25</v>
      </c>
      <c r="J429" s="1" t="str">
        <f ca="1">IFERROR(__xludf.DUMMYFUNCTION("""COMPUTED_VALUE"""),"SILVER CHERRY LIGHTS")</f>
        <v>SILVER CHERRY LIGHTS</v>
      </c>
      <c r="K429" s="1">
        <f ca="1">IFERROR(__xludf.DUMMYFUNCTION("""COMPUTED_VALUE"""),4)</f>
        <v>4</v>
      </c>
      <c r="L429" s="1">
        <f ca="1">IFERROR(__xludf.DUMMYFUNCTION("""COMPUTED_VALUE"""),6.75)</f>
        <v>6.75</v>
      </c>
      <c r="T429" s="1">
        <f ca="1">IFERROR(__xludf.DUMMYFUNCTION("""COMPUTED_VALUE"""),489519)</f>
        <v>489519</v>
      </c>
      <c r="U429" s="1">
        <f ca="1">IFERROR(__xludf.DUMMYFUNCTION("""COMPUTED_VALUE"""),27)</f>
        <v>27</v>
      </c>
    </row>
    <row r="430" spans="1:21" ht="12.75" x14ac:dyDescent="0.2">
      <c r="A430" s="3">
        <f ca="1">IFERROR(__xludf.DUMMYFUNCTION("""COMPUTED_VALUE"""),40148.4840277777)</f>
        <v>40148.484027777697</v>
      </c>
      <c r="B430" s="1">
        <f ca="1">IFERROR(__xludf.DUMMYFUNCTION("""COMPUTED_VALUE"""),6.75)</f>
        <v>6.75</v>
      </c>
      <c r="E430" s="1" t="str">
        <f ca="1">IFERROR(__xludf.DUMMYFUNCTION("""COMPUTED_VALUE"""),"RETRO SPOTS PUDDING BOWL")</f>
        <v>RETRO SPOTS PUDDING BOWL</v>
      </c>
      <c r="F430" s="1">
        <f ca="1">IFERROR(__xludf.DUMMYFUNCTION("""COMPUTED_VALUE"""),4)</f>
        <v>4</v>
      </c>
      <c r="G430" s="1">
        <f ca="1">IFERROR(__xludf.DUMMYFUNCTION("""COMPUTED_VALUE"""),4.25)</f>
        <v>4.25</v>
      </c>
      <c r="J430" s="1" t="str">
        <f ca="1">IFERROR(__xludf.DUMMYFUNCTION("""COMPUTED_VALUE"""),"WHITE CHERRY LIGHTS")</f>
        <v>WHITE CHERRY LIGHTS</v>
      </c>
      <c r="K430" s="1">
        <f ca="1">IFERROR(__xludf.DUMMYFUNCTION("""COMPUTED_VALUE"""),4)</f>
        <v>4</v>
      </c>
      <c r="L430" s="1">
        <f ca="1">IFERROR(__xludf.DUMMYFUNCTION("""COMPUTED_VALUE"""),6.75)</f>
        <v>6.75</v>
      </c>
      <c r="T430" s="1">
        <f ca="1">IFERROR(__xludf.DUMMYFUNCTION("""COMPUTED_VALUE"""),489519)</f>
        <v>489519</v>
      </c>
      <c r="U430" s="1">
        <f ca="1">IFERROR(__xludf.DUMMYFUNCTION("""COMPUTED_VALUE"""),27)</f>
        <v>27</v>
      </c>
    </row>
    <row r="431" spans="1:21" ht="12.75" x14ac:dyDescent="0.2">
      <c r="A431" s="3">
        <f ca="1">IFERROR(__xludf.DUMMYFUNCTION("""COMPUTED_VALUE"""),40148.4840277777)</f>
        <v>40148.484027777697</v>
      </c>
      <c r="B431" s="1">
        <f ca="1">IFERROR(__xludf.DUMMYFUNCTION("""COMPUTED_VALUE"""),3.75)</f>
        <v>3.75</v>
      </c>
      <c r="E431" s="1" t="str">
        <f ca="1">IFERROR(__xludf.DUMMYFUNCTION("""COMPUTED_VALUE"""),"RETRO SPOT STORAGE JAR")</f>
        <v>RETRO SPOT STORAGE JAR</v>
      </c>
      <c r="F431" s="1">
        <f ca="1">IFERROR(__xludf.DUMMYFUNCTION("""COMPUTED_VALUE"""),4)</f>
        <v>4</v>
      </c>
      <c r="G431" s="1">
        <f ca="1">IFERROR(__xludf.DUMMYFUNCTION("""COMPUTED_VALUE"""),3.75)</f>
        <v>3.75</v>
      </c>
      <c r="J431" s="1" t="str">
        <f ca="1">IFERROR(__xludf.DUMMYFUNCTION("""COMPUTED_VALUE"""),"GREEN VINTAGE EARRINGS")</f>
        <v>GREEN VINTAGE EARRINGS</v>
      </c>
      <c r="K431" s="1">
        <f ca="1">IFERROR(__xludf.DUMMYFUNCTION("""COMPUTED_VALUE"""),4)</f>
        <v>4</v>
      </c>
      <c r="L431" s="1">
        <f ca="1">IFERROR(__xludf.DUMMYFUNCTION("""COMPUTED_VALUE"""),3.75)</f>
        <v>3.75</v>
      </c>
      <c r="T431" s="1">
        <f ca="1">IFERROR(__xludf.DUMMYFUNCTION("""COMPUTED_VALUE"""),489519)</f>
        <v>489519</v>
      </c>
      <c r="U431" s="1">
        <f ca="1">IFERROR(__xludf.DUMMYFUNCTION("""COMPUTED_VALUE"""),15)</f>
        <v>15</v>
      </c>
    </row>
    <row r="432" spans="1:21" ht="12.75" x14ac:dyDescent="0.2">
      <c r="A432" s="3">
        <f ca="1">IFERROR(__xludf.DUMMYFUNCTION("""COMPUTED_VALUE"""),40148.4840277777)</f>
        <v>40148.484027777697</v>
      </c>
      <c r="B432" s="1">
        <f ca="1">IFERROR(__xludf.DUMMYFUNCTION("""COMPUTED_VALUE"""),5.95)</f>
        <v>5.95</v>
      </c>
      <c r="E432" s="1" t="str">
        <f ca="1">IFERROR(__xludf.DUMMYFUNCTION("""COMPUTED_VALUE"""),"TEA CUP AND SAUCER RETRO SPOT")</f>
        <v>TEA CUP AND SAUCER RETRO SPOT</v>
      </c>
      <c r="F432" s="1">
        <f ca="1">IFERROR(__xludf.DUMMYFUNCTION("""COMPUTED_VALUE"""),4)</f>
        <v>4</v>
      </c>
      <c r="G432" s="1">
        <f ca="1">IFERROR(__xludf.DUMMYFUNCTION("""COMPUTED_VALUE"""),3.75)</f>
        <v>3.75</v>
      </c>
      <c r="J432" s="1" t="str">
        <f ca="1">IFERROR(__xludf.DUMMYFUNCTION("""COMPUTED_VALUE"""),"BLUE/BROWN DOTS RUFFLED UMBRELLA")</f>
        <v>BLUE/BROWN DOTS RUFFLED UMBRELLA</v>
      </c>
      <c r="K432" s="1">
        <f ca="1">IFERROR(__xludf.DUMMYFUNCTION("""COMPUTED_VALUE"""),3)</f>
        <v>3</v>
      </c>
      <c r="L432" s="1">
        <f ca="1">IFERROR(__xludf.DUMMYFUNCTION("""COMPUTED_VALUE"""),5.95)</f>
        <v>5.95</v>
      </c>
      <c r="T432" s="1">
        <f ca="1">IFERROR(__xludf.DUMMYFUNCTION("""COMPUTED_VALUE"""),489519)</f>
        <v>489519</v>
      </c>
      <c r="U432" s="1">
        <f ca="1">IFERROR(__xludf.DUMMYFUNCTION("""COMPUTED_VALUE"""),17.85)</f>
        <v>17.850000000000001</v>
      </c>
    </row>
    <row r="433" spans="1:21" ht="12.75" x14ac:dyDescent="0.2">
      <c r="A433" s="3">
        <f ca="1">IFERROR(__xludf.DUMMYFUNCTION("""COMPUTED_VALUE"""),40148.4840277777)</f>
        <v>40148.484027777697</v>
      </c>
      <c r="B433" s="1">
        <f ca="1">IFERROR(__xludf.DUMMYFUNCTION("""COMPUTED_VALUE"""),5.95)</f>
        <v>5.95</v>
      </c>
      <c r="E433" s="1" t="str">
        <f ca="1">IFERROR(__xludf.DUMMYFUNCTION("""COMPUTED_VALUE"""),"RETRO SPOTS BUTTER DISH")</f>
        <v>RETRO SPOTS BUTTER DISH</v>
      </c>
      <c r="F433" s="1">
        <f ca="1">IFERROR(__xludf.DUMMYFUNCTION("""COMPUTED_VALUE"""),3)</f>
        <v>3</v>
      </c>
      <c r="G433" s="1">
        <f ca="1">IFERROR(__xludf.DUMMYFUNCTION("""COMPUTED_VALUE"""),4.95)</f>
        <v>4.95</v>
      </c>
      <c r="J433" s="1" t="str">
        <f ca="1">IFERROR(__xludf.DUMMYFUNCTION("""COMPUTED_VALUE"""),"BLACK/BLUE DOTS RUFFLED UMBRELLA")</f>
        <v>BLACK/BLUE DOTS RUFFLED UMBRELLA</v>
      </c>
      <c r="K433" s="1">
        <f ca="1">IFERROR(__xludf.DUMMYFUNCTION("""COMPUTED_VALUE"""),3)</f>
        <v>3</v>
      </c>
      <c r="L433" s="1">
        <f ca="1">IFERROR(__xludf.DUMMYFUNCTION("""COMPUTED_VALUE"""),5.95)</f>
        <v>5.95</v>
      </c>
      <c r="T433" s="1">
        <f ca="1">IFERROR(__xludf.DUMMYFUNCTION("""COMPUTED_VALUE"""),489519)</f>
        <v>489519</v>
      </c>
      <c r="U433" s="1">
        <f ca="1">IFERROR(__xludf.DUMMYFUNCTION("""COMPUTED_VALUE"""),17.85)</f>
        <v>17.850000000000001</v>
      </c>
    </row>
    <row r="434" spans="1:21" ht="12.75" x14ac:dyDescent="0.2">
      <c r="A434" s="3">
        <f ca="1">IFERROR(__xludf.DUMMYFUNCTION("""COMPUTED_VALUE"""),40148.4840277777)</f>
        <v>40148.484027777697</v>
      </c>
      <c r="B434" s="1">
        <f ca="1">IFERROR(__xludf.DUMMYFUNCTION("""COMPUTED_VALUE"""),5.95)</f>
        <v>5.95</v>
      </c>
      <c r="E434" s="1" t="str">
        <f ca="1">IFERROR(__xludf.DUMMYFUNCTION("""COMPUTED_VALUE"""),"POLYESTER FILLER PAD 60x40cm")</f>
        <v>POLYESTER FILLER PAD 60x40cm</v>
      </c>
      <c r="F434" s="1">
        <f ca="1">IFERROR(__xludf.DUMMYFUNCTION("""COMPUTED_VALUE"""),3)</f>
        <v>3</v>
      </c>
      <c r="G434" s="1">
        <f ca="1">IFERROR(__xludf.DUMMYFUNCTION("""COMPUTED_VALUE"""),2.55)</f>
        <v>2.5499999999999998</v>
      </c>
      <c r="J434" s="1" t="str">
        <f ca="1">IFERROR(__xludf.DUMMYFUNCTION("""COMPUTED_VALUE"""),"RED/WHITE DOTS RUFFLED UMBRELLA")</f>
        <v>RED/WHITE DOTS RUFFLED UMBRELLA</v>
      </c>
      <c r="K434" s="1">
        <f ca="1">IFERROR(__xludf.DUMMYFUNCTION("""COMPUTED_VALUE"""),3)</f>
        <v>3</v>
      </c>
      <c r="L434" s="1">
        <f ca="1">IFERROR(__xludf.DUMMYFUNCTION("""COMPUTED_VALUE"""),5.95)</f>
        <v>5.95</v>
      </c>
      <c r="T434" s="1">
        <f ca="1">IFERROR(__xludf.DUMMYFUNCTION("""COMPUTED_VALUE"""),489519)</f>
        <v>489519</v>
      </c>
      <c r="U434" s="1">
        <f ca="1">IFERROR(__xludf.DUMMYFUNCTION("""COMPUTED_VALUE"""),17.85)</f>
        <v>17.850000000000001</v>
      </c>
    </row>
    <row r="435" spans="1:21" ht="12.75" x14ac:dyDescent="0.2">
      <c r="A435" s="3">
        <f ca="1">IFERROR(__xludf.DUMMYFUNCTION("""COMPUTED_VALUE"""),40148.4840277777)</f>
        <v>40148.484027777697</v>
      </c>
      <c r="B435" s="1">
        <f ca="1">IFERROR(__xludf.DUMMYFUNCTION("""COMPUTED_VALUE"""),5.95)</f>
        <v>5.95</v>
      </c>
      <c r="E435" s="1" t="str">
        <f ca="1">IFERROR(__xludf.DUMMYFUNCTION("""COMPUTED_VALUE"""),"POLYESTER FILLER PAD 40x40cm")</f>
        <v>POLYESTER FILLER PAD 40x40cm</v>
      </c>
      <c r="F435" s="1">
        <f ca="1">IFERROR(__xludf.DUMMYFUNCTION("""COMPUTED_VALUE"""),2)</f>
        <v>2</v>
      </c>
      <c r="G435" s="1">
        <f ca="1">IFERROR(__xludf.DUMMYFUNCTION("""COMPUTED_VALUE"""),1.45)</f>
        <v>1.45</v>
      </c>
      <c r="J435" s="1" t="str">
        <f ca="1">IFERROR(__xludf.DUMMYFUNCTION("""COMPUTED_VALUE"""),"PINK/BROWN DOTS RUFFLED UMBRELLA")</f>
        <v>PINK/BROWN DOTS RUFFLED UMBRELLA</v>
      </c>
      <c r="K435" s="1">
        <f ca="1">IFERROR(__xludf.DUMMYFUNCTION("""COMPUTED_VALUE"""),3)</f>
        <v>3</v>
      </c>
      <c r="L435" s="1">
        <f ca="1">IFERROR(__xludf.DUMMYFUNCTION("""COMPUTED_VALUE"""),5.95)</f>
        <v>5.95</v>
      </c>
      <c r="T435" s="1">
        <f ca="1">IFERROR(__xludf.DUMMYFUNCTION("""COMPUTED_VALUE"""),489519)</f>
        <v>489519</v>
      </c>
      <c r="U435" s="1">
        <f ca="1">IFERROR(__xludf.DUMMYFUNCTION("""COMPUTED_VALUE"""),17.85)</f>
        <v>17.850000000000001</v>
      </c>
    </row>
    <row r="436" spans="1:21" ht="12.75" x14ac:dyDescent="0.2">
      <c r="A436" s="3">
        <f ca="1">IFERROR(__xludf.DUMMYFUNCTION("""COMPUTED_VALUE"""),40148.4840277777)</f>
        <v>40148.484027777697</v>
      </c>
      <c r="B436" s="1">
        <f ca="1">IFERROR(__xludf.DUMMYFUNCTION("""COMPUTED_VALUE"""),5.95)</f>
        <v>5.95</v>
      </c>
      <c r="E436" s="1" t="str">
        <f ca="1">IFERROR(__xludf.DUMMYFUNCTION("""COMPUTED_VALUE"""),"RED SPOTTY OVEN GLOVE DOUBLE")</f>
        <v>RED SPOTTY OVEN GLOVE DOUBLE</v>
      </c>
      <c r="F436" s="1">
        <f ca="1">IFERROR(__xludf.DUMMYFUNCTION("""COMPUTED_VALUE"""),-3)</f>
        <v>-3</v>
      </c>
      <c r="G436" s="1">
        <f ca="1">IFERROR(__xludf.DUMMYFUNCTION("""COMPUTED_VALUE"""),2.95)</f>
        <v>2.95</v>
      </c>
      <c r="J436" s="1" t="str">
        <f ca="1">IFERROR(__xludf.DUMMYFUNCTION("""COMPUTED_VALUE"""),"WOOD 2 DRAWER CABINET WHITE FINISH")</f>
        <v>WOOD 2 DRAWER CABINET WHITE FINISH</v>
      </c>
      <c r="K436" s="1">
        <f ca="1">IFERROR(__xludf.DUMMYFUNCTION("""COMPUTED_VALUE"""),3)</f>
        <v>3</v>
      </c>
      <c r="L436" s="1">
        <f ca="1">IFERROR(__xludf.DUMMYFUNCTION("""COMPUTED_VALUE"""),5.95)</f>
        <v>5.95</v>
      </c>
      <c r="T436" s="1">
        <f ca="1">IFERROR(__xludf.DUMMYFUNCTION("""COMPUTED_VALUE"""),489519)</f>
        <v>489519</v>
      </c>
      <c r="U436" s="1">
        <f ca="1">IFERROR(__xludf.DUMMYFUNCTION("""COMPUTED_VALUE"""),17.85)</f>
        <v>17.850000000000001</v>
      </c>
    </row>
    <row r="437" spans="1:21" ht="12.75" x14ac:dyDescent="0.2">
      <c r="A437" s="3">
        <f ca="1">IFERROR(__xludf.DUMMYFUNCTION("""COMPUTED_VALUE"""),40148.4840277777)</f>
        <v>40148.484027777697</v>
      </c>
      <c r="B437" s="1">
        <f ca="1">IFERROR(__xludf.DUMMYFUNCTION("""COMPUTED_VALUE"""),7.95)</f>
        <v>7.95</v>
      </c>
      <c r="E437" s="1" t="str">
        <f ca="1">IFERROR(__xludf.DUMMYFUNCTION("""COMPUTED_VALUE"""),"PINK JUICY FRUIT PHOTO FRAME")</f>
        <v>PINK JUICY FRUIT PHOTO FRAME</v>
      </c>
      <c r="F437" s="1">
        <f ca="1">IFERROR(__xludf.DUMMYFUNCTION("""COMPUTED_VALUE"""),-6)</f>
        <v>-6</v>
      </c>
      <c r="G437" s="1">
        <f ca="1">IFERROR(__xludf.DUMMYFUNCTION("""COMPUTED_VALUE"""),2.55)</f>
        <v>2.5499999999999998</v>
      </c>
      <c r="J437" s="1" t="str">
        <f ca="1">IFERROR(__xludf.DUMMYFUNCTION("""COMPUTED_VALUE"""),"FLOWER GLASS GARLAND NECKL.36""BLACK")</f>
        <v>FLOWER GLASS GARLAND NECKL.36"BLACK</v>
      </c>
      <c r="K437" s="1">
        <f ca="1">IFERROR(__xludf.DUMMYFUNCTION("""COMPUTED_VALUE"""),3)</f>
        <v>3</v>
      </c>
      <c r="L437" s="1">
        <f ca="1">IFERROR(__xludf.DUMMYFUNCTION("""COMPUTED_VALUE"""),7.95)</f>
        <v>7.95</v>
      </c>
      <c r="T437" s="1">
        <f ca="1">IFERROR(__xludf.DUMMYFUNCTION("""COMPUTED_VALUE"""),489519)</f>
        <v>489519</v>
      </c>
      <c r="U437" s="1">
        <f ca="1">IFERROR(__xludf.DUMMYFUNCTION("""COMPUTED_VALUE"""),23.85)</f>
        <v>23.85</v>
      </c>
    </row>
    <row r="438" spans="1:21" ht="12.75" x14ac:dyDescent="0.2">
      <c r="A438" s="3">
        <f ca="1">IFERROR(__xludf.DUMMYFUNCTION("""COMPUTED_VALUE"""),40148.4840277777)</f>
        <v>40148.484027777697</v>
      </c>
      <c r="B438" s="1">
        <f ca="1">IFERROR(__xludf.DUMMYFUNCTION("""COMPUTED_VALUE"""),4.25)</f>
        <v>4.25</v>
      </c>
      <c r="E438" s="1" t="str">
        <f ca="1">IFERROR(__xludf.DUMMYFUNCTION("""COMPUTED_VALUE"""),"LOO ROLL  METAL SIGN")</f>
        <v>LOO ROLL  METAL SIGN</v>
      </c>
      <c r="F438" s="1">
        <f ca="1">IFERROR(__xludf.DUMMYFUNCTION("""COMPUTED_VALUE"""),-12)</f>
        <v>-12</v>
      </c>
      <c r="G438" s="1">
        <f ca="1">IFERROR(__xludf.DUMMYFUNCTION("""COMPUTED_VALUE"""),1.65)</f>
        <v>1.65</v>
      </c>
      <c r="J438" s="1" t="str">
        <f ca="1">IFERROR(__xludf.DUMMYFUNCTION("""COMPUTED_VALUE"""),"FILIGREE DIAMANTE EARRINGS")</f>
        <v>FILIGREE DIAMANTE EARRINGS</v>
      </c>
      <c r="K438" s="1">
        <f ca="1">IFERROR(__xludf.DUMMYFUNCTION("""COMPUTED_VALUE"""),2)</f>
        <v>2</v>
      </c>
      <c r="L438" s="1">
        <f ca="1">IFERROR(__xludf.DUMMYFUNCTION("""COMPUTED_VALUE"""),4.25)</f>
        <v>4.25</v>
      </c>
      <c r="T438" s="1">
        <f ca="1">IFERROR(__xludf.DUMMYFUNCTION("""COMPUTED_VALUE"""),489519)</f>
        <v>489519</v>
      </c>
      <c r="U438" s="1">
        <f ca="1">IFERROR(__xludf.DUMMYFUNCTION("""COMPUTED_VALUE"""),8.5)</f>
        <v>8.5</v>
      </c>
    </row>
    <row r="439" spans="1:21" ht="12.75" x14ac:dyDescent="0.2">
      <c r="A439" s="3">
        <f ca="1">IFERROR(__xludf.DUMMYFUNCTION("""COMPUTED_VALUE"""),40148.4840277777)</f>
        <v>40148.484027777697</v>
      </c>
      <c r="B439" s="1">
        <f ca="1">IFERROR(__xludf.DUMMYFUNCTION("""COMPUTED_VALUE"""),5.95)</f>
        <v>5.95</v>
      </c>
      <c r="E439" s="1" t="str">
        <f ca="1">IFERROR(__xludf.DUMMYFUNCTION("""COMPUTED_VALUE"""),"COFFEE MUG DOG + BALL DESIGN")</f>
        <v>COFFEE MUG DOG + BALL DESIGN</v>
      </c>
      <c r="F439" s="1">
        <f ca="1">IFERROR(__xludf.DUMMYFUNCTION("""COMPUTED_VALUE"""),6)</f>
        <v>6</v>
      </c>
      <c r="G439" s="1">
        <f ca="1">IFERROR(__xludf.DUMMYFUNCTION("""COMPUTED_VALUE"""),2.55)</f>
        <v>2.5499999999999998</v>
      </c>
      <c r="J439" s="1" t="str">
        <f ca="1">IFERROR(__xludf.DUMMYFUNCTION("""COMPUTED_VALUE"""),"SILVER HOOP EARRINGS WITH FLOWER")</f>
        <v>SILVER HOOP EARRINGS WITH FLOWER</v>
      </c>
      <c r="K439" s="1">
        <f ca="1">IFERROR(__xludf.DUMMYFUNCTION("""COMPUTED_VALUE"""),2)</f>
        <v>2</v>
      </c>
      <c r="L439" s="1">
        <f ca="1">IFERROR(__xludf.DUMMYFUNCTION("""COMPUTED_VALUE"""),5.95)</f>
        <v>5.95</v>
      </c>
      <c r="T439" s="1">
        <f ca="1">IFERROR(__xludf.DUMMYFUNCTION("""COMPUTED_VALUE"""),489519)</f>
        <v>489519</v>
      </c>
      <c r="U439" s="1">
        <f ca="1">IFERROR(__xludf.DUMMYFUNCTION("""COMPUTED_VALUE"""),11.9)</f>
        <v>11.9</v>
      </c>
    </row>
    <row r="440" spans="1:21" ht="12.75" x14ac:dyDescent="0.2">
      <c r="A440" s="3">
        <f ca="1">IFERROR(__xludf.DUMMYFUNCTION("""COMPUTED_VALUE"""),40148.4840277777)</f>
        <v>40148.484027777697</v>
      </c>
      <c r="B440" s="1">
        <f ca="1">IFERROR(__xludf.DUMMYFUNCTION("""COMPUTED_VALUE"""),5.95)</f>
        <v>5.95</v>
      </c>
      <c r="E440" s="1" t="str">
        <f ca="1">IFERROR(__xludf.DUMMYFUNCTION("""COMPUTED_VALUE"""),"STRAWBERRIES PRINT BOWL")</f>
        <v>STRAWBERRIES PRINT BOWL</v>
      </c>
      <c r="F440" s="1">
        <f ca="1">IFERROR(__xludf.DUMMYFUNCTION("""COMPUTED_VALUE"""),4)</f>
        <v>4</v>
      </c>
      <c r="G440" s="1">
        <f ca="1">IFERROR(__xludf.DUMMYFUNCTION("""COMPUTED_VALUE"""),1.25)</f>
        <v>1.25</v>
      </c>
      <c r="J440" s="1" t="str">
        <f ca="1">IFERROR(__xludf.DUMMYFUNCTION("""COMPUTED_VALUE"""),"RASPBERRY ANT COPPER FLOWER NECKLAC")</f>
        <v>RASPBERRY ANT COPPER FLOWER NECKLAC</v>
      </c>
      <c r="K440" s="1">
        <f ca="1">IFERROR(__xludf.DUMMYFUNCTION("""COMPUTED_VALUE"""),2)</f>
        <v>2</v>
      </c>
      <c r="L440" s="1">
        <f ca="1">IFERROR(__xludf.DUMMYFUNCTION("""COMPUTED_VALUE"""),5.95)</f>
        <v>5.95</v>
      </c>
      <c r="T440" s="1">
        <f ca="1">IFERROR(__xludf.DUMMYFUNCTION("""COMPUTED_VALUE"""),489519)</f>
        <v>489519</v>
      </c>
      <c r="U440" s="1">
        <f ca="1">IFERROR(__xludf.DUMMYFUNCTION("""COMPUTED_VALUE"""),11.9)</f>
        <v>11.9</v>
      </c>
    </row>
    <row r="441" spans="1:21" ht="12.75" x14ac:dyDescent="0.2">
      <c r="A441" s="3">
        <f ca="1">IFERROR(__xludf.DUMMYFUNCTION("""COMPUTED_VALUE"""),40148.4840277777)</f>
        <v>40148.484027777697</v>
      </c>
      <c r="B441" s="1">
        <f ca="1">IFERROR(__xludf.DUMMYFUNCTION("""COMPUTED_VALUE"""),8.5)</f>
        <v>8.5</v>
      </c>
      <c r="E441" s="1" t="str">
        <f ca="1">IFERROR(__xludf.DUMMYFUNCTION("""COMPUTED_VALUE"""),"RED GINGHAM ROSE JEWELLERY BOX")</f>
        <v>RED GINGHAM ROSE JEWELLERY BOX</v>
      </c>
      <c r="F441" s="1">
        <f ca="1">IFERROR(__xludf.DUMMYFUNCTION("""COMPUTED_VALUE"""),4)</f>
        <v>4</v>
      </c>
      <c r="G441" s="1">
        <f ca="1">IFERROR(__xludf.DUMMYFUNCTION("""COMPUTED_VALUE"""),1.65)</f>
        <v>1.65</v>
      </c>
      <c r="J441" s="1" t="str">
        <f ca="1">IFERROR(__xludf.DUMMYFUNCTION("""COMPUTED_VALUE"""),"NEW BAROQUE B'FLY NECKLACE RED")</f>
        <v>NEW BAROQUE B'FLY NECKLACE RED</v>
      </c>
      <c r="K441" s="1">
        <f ca="1">IFERROR(__xludf.DUMMYFUNCTION("""COMPUTED_VALUE"""),2)</f>
        <v>2</v>
      </c>
      <c r="L441" s="1">
        <f ca="1">IFERROR(__xludf.DUMMYFUNCTION("""COMPUTED_VALUE"""),8.5)</f>
        <v>8.5</v>
      </c>
      <c r="T441" s="1">
        <f ca="1">IFERROR(__xludf.DUMMYFUNCTION("""COMPUTED_VALUE"""),489519)</f>
        <v>489519</v>
      </c>
      <c r="U441" s="1">
        <f ca="1">IFERROR(__xludf.DUMMYFUNCTION("""COMPUTED_VALUE"""),17)</f>
        <v>17</v>
      </c>
    </row>
    <row r="442" spans="1:21" ht="12.75" x14ac:dyDescent="0.2">
      <c r="A442" s="3">
        <f ca="1">IFERROR(__xludf.DUMMYFUNCTION("""COMPUTED_VALUE"""),40148.4840277777)</f>
        <v>40148.484027777697</v>
      </c>
      <c r="B442" s="1">
        <f ca="1">IFERROR(__xludf.DUMMYFUNCTION("""COMPUTED_VALUE"""),6.95)</f>
        <v>6.95</v>
      </c>
      <c r="E442" s="1" t="str">
        <f ca="1">IFERROR(__xludf.DUMMYFUNCTION("""COMPUTED_VALUE"""),"GREEN GINGHAM FLOWER JEWELLERY BOX")</f>
        <v>GREEN GINGHAM FLOWER JEWELLERY BOX</v>
      </c>
      <c r="F442" s="1">
        <f ca="1">IFERROR(__xludf.DUMMYFUNCTION("""COMPUTED_VALUE"""),4)</f>
        <v>4</v>
      </c>
      <c r="G442" s="1">
        <f ca="1">IFERROR(__xludf.DUMMYFUNCTION("""COMPUTED_VALUE"""),1.65)</f>
        <v>1.65</v>
      </c>
      <c r="J442" s="1" t="str">
        <f ca="1">IFERROR(__xludf.DUMMYFUNCTION("""COMPUTED_VALUE"""),"PINK/AMETHYST/GOLD NECKLACE")</f>
        <v>PINK/AMETHYST/GOLD NECKLACE</v>
      </c>
      <c r="K442" s="1">
        <f ca="1">IFERROR(__xludf.DUMMYFUNCTION("""COMPUTED_VALUE"""),2)</f>
        <v>2</v>
      </c>
      <c r="L442" s="1">
        <f ca="1">IFERROR(__xludf.DUMMYFUNCTION("""COMPUTED_VALUE"""),6.95)</f>
        <v>6.95</v>
      </c>
      <c r="T442" s="1">
        <f ca="1">IFERROR(__xludf.DUMMYFUNCTION("""COMPUTED_VALUE"""),489519)</f>
        <v>489519</v>
      </c>
      <c r="U442" s="1">
        <f ca="1">IFERROR(__xludf.DUMMYFUNCTION("""COMPUTED_VALUE"""),13.9)</f>
        <v>13.9</v>
      </c>
    </row>
    <row r="443" spans="1:21" ht="12.75" x14ac:dyDescent="0.2">
      <c r="A443" s="3">
        <f ca="1">IFERROR(__xludf.DUMMYFUNCTION("""COMPUTED_VALUE"""),40148.4840277777)</f>
        <v>40148.484027777697</v>
      </c>
      <c r="B443" s="1">
        <f ca="1">IFERROR(__xludf.DUMMYFUNCTION("""COMPUTED_VALUE"""),6.35)</f>
        <v>6.35</v>
      </c>
      <c r="E443" s="1" t="str">
        <f ca="1">IFERROR(__xludf.DUMMYFUNCTION("""COMPUTED_VALUE"""),"PAPER CHAIN KIT 50'S CHRISTMAS")</f>
        <v>PAPER CHAIN KIT 50'S CHRISTMAS</v>
      </c>
      <c r="F443" s="1">
        <f ca="1">IFERROR(__xludf.DUMMYFUNCTION("""COMPUTED_VALUE"""),3)</f>
        <v>3</v>
      </c>
      <c r="G443" s="1">
        <f ca="1">IFERROR(__xludf.DUMMYFUNCTION("""COMPUTED_VALUE"""),2.95)</f>
        <v>2.95</v>
      </c>
      <c r="J443" s="1" t="str">
        <f ca="1">IFERROR(__xludf.DUMMYFUNCTION("""COMPUTED_VALUE"""),"5 STRAND GLASS NECKLACE CRYSTAL")</f>
        <v>5 STRAND GLASS NECKLACE CRYSTAL</v>
      </c>
      <c r="K443" s="1">
        <f ca="1">IFERROR(__xludf.DUMMYFUNCTION("""COMPUTED_VALUE"""),2)</f>
        <v>2</v>
      </c>
      <c r="L443" s="1">
        <f ca="1">IFERROR(__xludf.DUMMYFUNCTION("""COMPUTED_VALUE"""),6.35)</f>
        <v>6.35</v>
      </c>
      <c r="T443" s="1">
        <f ca="1">IFERROR(__xludf.DUMMYFUNCTION("""COMPUTED_VALUE"""),489519)</f>
        <v>489519</v>
      </c>
      <c r="U443" s="1">
        <f ca="1">IFERROR(__xludf.DUMMYFUNCTION("""COMPUTED_VALUE"""),12.7)</f>
        <v>12.7</v>
      </c>
    </row>
    <row r="444" spans="1:21" ht="12.75" x14ac:dyDescent="0.2">
      <c r="A444" s="3">
        <f ca="1">IFERROR(__xludf.DUMMYFUNCTION("""COMPUTED_VALUE"""),40148.4868055555)</f>
        <v>40148.486805555498</v>
      </c>
      <c r="B444" s="1">
        <f ca="1">IFERROR(__xludf.DUMMYFUNCTION("""COMPUTED_VALUE"""),2.55)</f>
        <v>2.5499999999999998</v>
      </c>
      <c r="E444" s="1" t="str">
        <f ca="1">IFERROR(__xludf.DUMMYFUNCTION("""COMPUTED_VALUE"""),"OCEAN SCENT CANDLE IN JEWELLED BOX")</f>
        <v>OCEAN SCENT CANDLE IN JEWELLED BOX</v>
      </c>
      <c r="F444" s="1">
        <f ca="1">IFERROR(__xludf.DUMMYFUNCTION("""COMPUTED_VALUE"""),3)</f>
        <v>3</v>
      </c>
      <c r="G444" s="1">
        <f ca="1">IFERROR(__xludf.DUMMYFUNCTION("""COMPUTED_VALUE"""),4.25)</f>
        <v>4.25</v>
      </c>
      <c r="J444" s="1" t="str">
        <f ca="1">IFERROR(__xludf.DUMMYFUNCTION("""COMPUTED_VALUE"""),"PINK HEART CANDY BUTTON CALCULATOR")</f>
        <v>PINK HEART CANDY BUTTON CALCULATOR</v>
      </c>
      <c r="K444" s="1">
        <f ca="1">IFERROR(__xludf.DUMMYFUNCTION("""COMPUTED_VALUE"""),54)</f>
        <v>54</v>
      </c>
      <c r="L444" s="1">
        <f ca="1">IFERROR(__xludf.DUMMYFUNCTION("""COMPUTED_VALUE"""),2.55)</f>
        <v>2.5499999999999998</v>
      </c>
      <c r="T444" s="1">
        <f ca="1">IFERROR(__xludf.DUMMYFUNCTION("""COMPUTED_VALUE"""),489520)</f>
        <v>489520</v>
      </c>
      <c r="U444" s="1">
        <f ca="1">IFERROR(__xludf.DUMMYFUNCTION("""COMPUTED_VALUE"""),137.7)</f>
        <v>137.69999999999999</v>
      </c>
    </row>
    <row r="445" spans="1:21" ht="12.75" x14ac:dyDescent="0.2">
      <c r="A445" s="3">
        <f ca="1">IFERROR(__xludf.DUMMYFUNCTION("""COMPUTED_VALUE"""),40148.4868055555)</f>
        <v>40148.486805555498</v>
      </c>
      <c r="B445" s="1">
        <f ca="1">IFERROR(__xludf.DUMMYFUNCTION("""COMPUTED_VALUE"""),1.45)</f>
        <v>1.45</v>
      </c>
      <c r="E445" s="1" t="str">
        <f ca="1">IFERROR(__xludf.DUMMYFUNCTION("""COMPUTED_VALUE"""),"GREEN FERN NOTEBOOK")</f>
        <v>GREEN FERN NOTEBOOK</v>
      </c>
      <c r="F445" s="1">
        <f ca="1">IFERROR(__xludf.DUMMYFUNCTION("""COMPUTED_VALUE"""),2)</f>
        <v>2</v>
      </c>
      <c r="G445" s="1">
        <f ca="1">IFERROR(__xludf.DUMMYFUNCTION("""COMPUTED_VALUE"""),1.65)</f>
        <v>1.65</v>
      </c>
      <c r="J445" s="1" t="str">
        <f ca="1">IFERROR(__xludf.DUMMYFUNCTION("""COMPUTED_VALUE"""),"GRAND CHOCOLATECANDLE")</f>
        <v>GRAND CHOCOLATECANDLE</v>
      </c>
      <c r="K445" s="1">
        <f ca="1">IFERROR(__xludf.DUMMYFUNCTION("""COMPUTED_VALUE"""),36)</f>
        <v>36</v>
      </c>
      <c r="L445" s="1">
        <f ca="1">IFERROR(__xludf.DUMMYFUNCTION("""COMPUTED_VALUE"""),1.45)</f>
        <v>1.45</v>
      </c>
      <c r="T445" s="1">
        <f ca="1">IFERROR(__xludf.DUMMYFUNCTION("""COMPUTED_VALUE"""),489520)</f>
        <v>489520</v>
      </c>
      <c r="U445" s="1">
        <f ca="1">IFERROR(__xludf.DUMMYFUNCTION("""COMPUTED_VALUE"""),52.1999999999999)</f>
        <v>52.199999999999903</v>
      </c>
    </row>
    <row r="446" spans="1:21" ht="12.75" x14ac:dyDescent="0.2">
      <c r="A446" s="3">
        <f ca="1">IFERROR(__xludf.DUMMYFUNCTION("""COMPUTED_VALUE"""),40148.4868055555)</f>
        <v>40148.486805555498</v>
      </c>
      <c r="B446" s="1">
        <f ca="1">IFERROR(__xludf.DUMMYFUNCTION("""COMPUTED_VALUE"""),0.75)</f>
        <v>0.75</v>
      </c>
      <c r="E446" s="1" t="str">
        <f ca="1">IFERROR(__xludf.DUMMYFUNCTION("""COMPUTED_VALUE"""),"CAMOUFLAGE LED TORCH")</f>
        <v>CAMOUFLAGE LED TORCH</v>
      </c>
      <c r="F446" s="1">
        <f ca="1">IFERROR(__xludf.DUMMYFUNCTION("""COMPUTED_VALUE"""),2)</f>
        <v>2</v>
      </c>
      <c r="G446" s="1">
        <f ca="1">IFERROR(__xludf.DUMMYFUNCTION("""COMPUTED_VALUE"""),1.69)</f>
        <v>1.69</v>
      </c>
      <c r="J446" s="1" t="str">
        <f ca="1">IFERROR(__xludf.DUMMYFUNCTION("""COMPUTED_VALUE"""),"PURPLE CURRENT CANDLE RING")</f>
        <v>PURPLE CURRENT CANDLE RING</v>
      </c>
      <c r="K446" s="1">
        <f ca="1">IFERROR(__xludf.DUMMYFUNCTION("""COMPUTED_VALUE"""),12)</f>
        <v>12</v>
      </c>
      <c r="L446" s="1">
        <f ca="1">IFERROR(__xludf.DUMMYFUNCTION("""COMPUTED_VALUE"""),0.75)</f>
        <v>0.75</v>
      </c>
      <c r="T446" s="1">
        <f ca="1">IFERROR(__xludf.DUMMYFUNCTION("""COMPUTED_VALUE"""),489520)</f>
        <v>489520</v>
      </c>
      <c r="U446" s="1">
        <f ca="1">IFERROR(__xludf.DUMMYFUNCTION("""COMPUTED_VALUE"""),9)</f>
        <v>9</v>
      </c>
    </row>
    <row r="447" spans="1:21" ht="12.75" x14ac:dyDescent="0.2">
      <c r="A447" s="3">
        <f ca="1">IFERROR(__xludf.DUMMYFUNCTION("""COMPUTED_VALUE"""),40148.4868055555)</f>
        <v>40148.486805555498</v>
      </c>
      <c r="B447" s="1">
        <f ca="1">IFERROR(__xludf.DUMMYFUNCTION("""COMPUTED_VALUE"""),1.25)</f>
        <v>1.25</v>
      </c>
      <c r="E447" s="1" t="str">
        <f ca="1">IFERROR(__xludf.DUMMYFUNCTION("""COMPUTED_VALUE"""),"VINTAGE SNAKES &amp; LADDERS")</f>
        <v>VINTAGE SNAKES &amp; LADDERS</v>
      </c>
      <c r="F447" s="1">
        <f ca="1">IFERROR(__xludf.DUMMYFUNCTION("""COMPUTED_VALUE"""),2)</f>
        <v>2</v>
      </c>
      <c r="G447" s="1">
        <f ca="1">IFERROR(__xludf.DUMMYFUNCTION("""COMPUTED_VALUE"""),3.75)</f>
        <v>3.75</v>
      </c>
      <c r="J447" s="1" t="str">
        <f ca="1">IFERROR(__xludf.DUMMYFUNCTION("""COMPUTED_VALUE"""),"WHITE CHOCOLATE SCENT CANDLE")</f>
        <v>WHITE CHOCOLATE SCENT CANDLE</v>
      </c>
      <c r="K447" s="1">
        <f ca="1">IFERROR(__xludf.DUMMYFUNCTION("""COMPUTED_VALUE"""),12)</f>
        <v>12</v>
      </c>
      <c r="L447" s="1">
        <f ca="1">IFERROR(__xludf.DUMMYFUNCTION("""COMPUTED_VALUE"""),1.25)</f>
        <v>1.25</v>
      </c>
      <c r="T447" s="1">
        <f ca="1">IFERROR(__xludf.DUMMYFUNCTION("""COMPUTED_VALUE"""),489520)</f>
        <v>489520</v>
      </c>
      <c r="U447" s="1">
        <f ca="1">IFERROR(__xludf.DUMMYFUNCTION("""COMPUTED_VALUE"""),15)</f>
        <v>15</v>
      </c>
    </row>
    <row r="448" spans="1:21" ht="12.75" x14ac:dyDescent="0.2">
      <c r="A448" s="3">
        <f ca="1">IFERROR(__xludf.DUMMYFUNCTION("""COMPUTED_VALUE"""),40148.4868055555)</f>
        <v>40148.486805555498</v>
      </c>
      <c r="B448" s="1">
        <f ca="1">IFERROR(__xludf.DUMMYFUNCTION("""COMPUTED_VALUE"""),1.45)</f>
        <v>1.45</v>
      </c>
      <c r="E448" s="1" t="str">
        <f ca="1">IFERROR(__xludf.DUMMYFUNCTION("""COMPUTED_VALUE"""),"SET OF THREE 50'S GIFT WRAPS")</f>
        <v>SET OF THREE 50'S GIFT WRAPS</v>
      </c>
      <c r="F448" s="1">
        <f ca="1">IFERROR(__xludf.DUMMYFUNCTION("""COMPUTED_VALUE"""),2)</f>
        <v>2</v>
      </c>
      <c r="G448" s="1">
        <f ca="1">IFERROR(__xludf.DUMMYFUNCTION("""COMPUTED_VALUE"""),1.95)</f>
        <v>1.95</v>
      </c>
      <c r="J448" s="1" t="str">
        <f ca="1">IFERROR(__xludf.DUMMYFUNCTION("""COMPUTED_VALUE"""),"PARTY METAL SIGN")</f>
        <v>PARTY METAL SIGN</v>
      </c>
      <c r="K448" s="1">
        <f ca="1">IFERROR(__xludf.DUMMYFUNCTION("""COMPUTED_VALUE"""),12)</f>
        <v>12</v>
      </c>
      <c r="L448" s="1">
        <f ca="1">IFERROR(__xludf.DUMMYFUNCTION("""COMPUTED_VALUE"""),1.45)</f>
        <v>1.45</v>
      </c>
      <c r="T448" s="1">
        <f ca="1">IFERROR(__xludf.DUMMYFUNCTION("""COMPUTED_VALUE"""),489520)</f>
        <v>489520</v>
      </c>
      <c r="U448" s="1">
        <f ca="1">IFERROR(__xludf.DUMMYFUNCTION("""COMPUTED_VALUE"""),17.4)</f>
        <v>17.399999999999999</v>
      </c>
    </row>
    <row r="449" spans="1:21" ht="12.75" x14ac:dyDescent="0.2">
      <c r="A449" s="3">
        <f ca="1">IFERROR(__xludf.DUMMYFUNCTION("""COMPUTED_VALUE"""),40148.4868055555)</f>
        <v>40148.486805555498</v>
      </c>
      <c r="B449" s="1">
        <f ca="1">IFERROR(__xludf.DUMMYFUNCTION("""COMPUTED_VALUE"""),2.1)</f>
        <v>2.1</v>
      </c>
      <c r="E449" s="1" t="str">
        <f ca="1">IFERROR(__xludf.DUMMYFUNCTION("""COMPUTED_VALUE"""),"SET OF THREE VINTAGE GIFT WRAPS")</f>
        <v>SET OF THREE VINTAGE GIFT WRAPS</v>
      </c>
      <c r="F449" s="1">
        <f ca="1">IFERROR(__xludf.DUMMYFUNCTION("""COMPUTED_VALUE"""),1)</f>
        <v>1</v>
      </c>
      <c r="G449" s="1">
        <f ca="1">IFERROR(__xludf.DUMMYFUNCTION("""COMPUTED_VALUE"""),1.95)</f>
        <v>1.95</v>
      </c>
      <c r="J449" s="1" t="str">
        <f ca="1">IFERROR(__xludf.DUMMYFUNCTION("""COMPUTED_VALUE"""),"NO SINGING METAL SIGN")</f>
        <v>NO SINGING METAL SIGN</v>
      </c>
      <c r="K449" s="1">
        <f ca="1">IFERROR(__xludf.DUMMYFUNCTION("""COMPUTED_VALUE"""),12)</f>
        <v>12</v>
      </c>
      <c r="L449" s="1">
        <f ca="1">IFERROR(__xludf.DUMMYFUNCTION("""COMPUTED_VALUE"""),2.1)</f>
        <v>2.1</v>
      </c>
      <c r="T449" s="1">
        <f ca="1">IFERROR(__xludf.DUMMYFUNCTION("""COMPUTED_VALUE"""),489520)</f>
        <v>489520</v>
      </c>
      <c r="U449" s="1">
        <f ca="1">IFERROR(__xludf.DUMMYFUNCTION("""COMPUTED_VALUE"""),25.2)</f>
        <v>25.2</v>
      </c>
    </row>
    <row r="450" spans="1:21" ht="12.75" x14ac:dyDescent="0.2">
      <c r="A450" s="3">
        <f ca="1">IFERROR(__xludf.DUMMYFUNCTION("""COMPUTED_VALUE"""),40148.4868055555)</f>
        <v>40148.486805555498</v>
      </c>
      <c r="B450" s="1">
        <f ca="1">IFERROR(__xludf.DUMMYFUNCTION("""COMPUTED_VALUE"""),1.69)</f>
        <v>1.69</v>
      </c>
      <c r="E450" s="1" t="str">
        <f ca="1">IFERROR(__xludf.DUMMYFUNCTION("""COMPUTED_VALUE"""),"BLUE PAISLEY NOTEBOOK")</f>
        <v>BLUE PAISLEY NOTEBOOK</v>
      </c>
      <c r="F450" s="1">
        <f ca="1">IFERROR(__xludf.DUMMYFUNCTION("""COMPUTED_VALUE"""),1)</f>
        <v>1</v>
      </c>
      <c r="G450" s="1">
        <f ca="1">IFERROR(__xludf.DUMMYFUNCTION("""COMPUTED_VALUE"""),1.65)</f>
        <v>1.65</v>
      </c>
      <c r="J450" s="1" t="str">
        <f ca="1">IFERROR(__xludf.DUMMYFUNCTION("""COMPUTED_VALUE"""),"PAINTED BIRD ASSORTED CHRISTMAS")</f>
        <v>PAINTED BIRD ASSORTED CHRISTMAS</v>
      </c>
      <c r="K450" s="1">
        <f ca="1">IFERROR(__xludf.DUMMYFUNCTION("""COMPUTED_VALUE"""),12)</f>
        <v>12</v>
      </c>
      <c r="L450" s="1">
        <f ca="1">IFERROR(__xludf.DUMMYFUNCTION("""COMPUTED_VALUE"""),1.69)</f>
        <v>1.69</v>
      </c>
      <c r="T450" s="1">
        <f ca="1">IFERROR(__xludf.DUMMYFUNCTION("""COMPUTED_VALUE"""),489520)</f>
        <v>489520</v>
      </c>
      <c r="U450" s="1">
        <f ca="1">IFERROR(__xludf.DUMMYFUNCTION("""COMPUTED_VALUE"""),20.28)</f>
        <v>20.28</v>
      </c>
    </row>
    <row r="451" spans="1:21" ht="12.75" x14ac:dyDescent="0.2">
      <c r="A451" s="3">
        <f ca="1">IFERROR(__xludf.DUMMYFUNCTION("""COMPUTED_VALUE"""),40148.4868055555)</f>
        <v>40148.486805555498</v>
      </c>
      <c r="B451" s="1">
        <f ca="1">IFERROR(__xludf.DUMMYFUNCTION("""COMPUTED_VALUE"""),0.85)</f>
        <v>0.85</v>
      </c>
      <c r="E451" s="1" t="str">
        <f ca="1">IFERROR(__xludf.DUMMYFUNCTION("""COMPUTED_VALUE"""),"BLUE PAISLEY JOURNAL")</f>
        <v>BLUE PAISLEY JOURNAL</v>
      </c>
      <c r="F451" s="1">
        <f ca="1">IFERROR(__xludf.DUMMYFUNCTION("""COMPUTED_VALUE"""),1)</f>
        <v>1</v>
      </c>
      <c r="G451" s="1">
        <f ca="1">IFERROR(__xludf.DUMMYFUNCTION("""COMPUTED_VALUE"""),2.55)</f>
        <v>2.5499999999999998</v>
      </c>
      <c r="J451" s="1" t="str">
        <f ca="1">IFERROR(__xludf.DUMMYFUNCTION("""COMPUTED_VALUE"""),"ASSORTED SANTA CHRISTMAS DECORATION")</f>
        <v>ASSORTED SANTA CHRISTMAS DECORATION</v>
      </c>
      <c r="K451" s="1">
        <f ca="1">IFERROR(__xludf.DUMMYFUNCTION("""COMPUTED_VALUE"""),12)</f>
        <v>12</v>
      </c>
      <c r="L451" s="1">
        <f ca="1">IFERROR(__xludf.DUMMYFUNCTION("""COMPUTED_VALUE"""),0.85)</f>
        <v>0.85</v>
      </c>
      <c r="T451" s="1">
        <f ca="1">IFERROR(__xludf.DUMMYFUNCTION("""COMPUTED_VALUE"""),489520)</f>
        <v>489520</v>
      </c>
      <c r="U451" s="1">
        <f ca="1">IFERROR(__xludf.DUMMYFUNCTION("""COMPUTED_VALUE"""),10.2)</f>
        <v>10.199999999999999</v>
      </c>
    </row>
    <row r="452" spans="1:21" ht="12.75" x14ac:dyDescent="0.2">
      <c r="A452" s="3">
        <f ca="1">IFERROR(__xludf.DUMMYFUNCTION("""COMPUTED_VALUE"""),40148.4868055555)</f>
        <v>40148.486805555498</v>
      </c>
      <c r="B452" s="1">
        <f ca="1">IFERROR(__xludf.DUMMYFUNCTION("""COMPUTED_VALUE"""),1.25)</f>
        <v>1.25</v>
      </c>
      <c r="E452" s="1" t="str">
        <f ca="1">IFERROR(__xludf.DUMMYFUNCTION("""COMPUTED_VALUE"""),"VIPPASSPORT COVER")</f>
        <v>VIPPASSPORT COVER</v>
      </c>
      <c r="F452" s="1">
        <f ca="1">IFERROR(__xludf.DUMMYFUNCTION("""COMPUTED_VALUE"""),1)</f>
        <v>1</v>
      </c>
      <c r="G452" s="1">
        <f ca="1">IFERROR(__xludf.DUMMYFUNCTION("""COMPUTED_VALUE"""),2.1)</f>
        <v>2.1</v>
      </c>
      <c r="J452" s="1" t="str">
        <f ca="1">IFERROR(__xludf.DUMMYFUNCTION("""COMPUTED_VALUE"""),"ZINC METAL HEART DECORATION")</f>
        <v>ZINC METAL HEART DECORATION</v>
      </c>
      <c r="K452" s="1">
        <f ca="1">IFERROR(__xludf.DUMMYFUNCTION("""COMPUTED_VALUE"""),12)</f>
        <v>12</v>
      </c>
      <c r="L452" s="1">
        <f ca="1">IFERROR(__xludf.DUMMYFUNCTION("""COMPUTED_VALUE"""),1.25)</f>
        <v>1.25</v>
      </c>
      <c r="T452" s="1">
        <f ca="1">IFERROR(__xludf.DUMMYFUNCTION("""COMPUTED_VALUE"""),489520)</f>
        <v>489520</v>
      </c>
      <c r="U452" s="1">
        <f ca="1">IFERROR(__xludf.DUMMYFUNCTION("""COMPUTED_VALUE"""),15)</f>
        <v>15</v>
      </c>
    </row>
    <row r="453" spans="1:21" ht="12.75" x14ac:dyDescent="0.2">
      <c r="A453" s="3">
        <f ca="1">IFERROR(__xludf.DUMMYFUNCTION("""COMPUTED_VALUE"""),40148.4868055555)</f>
        <v>40148.486805555498</v>
      </c>
      <c r="B453" s="1">
        <f ca="1">IFERROR(__xludf.DUMMYFUNCTION("""COMPUTED_VALUE"""),2.95)</f>
        <v>2.95</v>
      </c>
      <c r="E453" s="1" t="str">
        <f ca="1">IFERROR(__xludf.DUMMYFUNCTION("""COMPUTED_VALUE"""),"SET/10 PINK SPOTTY PARTY CANDLES")</f>
        <v>SET/10 PINK SPOTTY PARTY CANDLES</v>
      </c>
      <c r="F453" s="1">
        <f ca="1">IFERROR(__xludf.DUMMYFUNCTION("""COMPUTED_VALUE"""),1)</f>
        <v>1</v>
      </c>
      <c r="G453" s="1">
        <f ca="1">IFERROR(__xludf.DUMMYFUNCTION("""COMPUTED_VALUE"""),1.25)</f>
        <v>1.25</v>
      </c>
      <c r="J453" s="1" t="str">
        <f ca="1">IFERROR(__xludf.DUMMYFUNCTION("""COMPUTED_VALUE"""),"SET OF 2 FANCY FONT TEA TOWELS")</f>
        <v>SET OF 2 FANCY FONT TEA TOWELS</v>
      </c>
      <c r="K453" s="1">
        <f ca="1">IFERROR(__xludf.DUMMYFUNCTION("""COMPUTED_VALUE"""),12)</f>
        <v>12</v>
      </c>
      <c r="L453" s="1">
        <f ca="1">IFERROR(__xludf.DUMMYFUNCTION("""COMPUTED_VALUE"""),2.95)</f>
        <v>2.95</v>
      </c>
      <c r="T453" s="1">
        <f ca="1">IFERROR(__xludf.DUMMYFUNCTION("""COMPUTED_VALUE"""),489520)</f>
        <v>489520</v>
      </c>
      <c r="U453" s="1">
        <f ca="1">IFERROR(__xludf.DUMMYFUNCTION("""COMPUTED_VALUE"""),35.4)</f>
        <v>35.4</v>
      </c>
    </row>
    <row r="454" spans="1:21" ht="12.75" x14ac:dyDescent="0.2">
      <c r="A454" s="3">
        <f ca="1">IFERROR(__xludf.DUMMYFUNCTION("""COMPUTED_VALUE"""),40148.4868055555)</f>
        <v>40148.486805555498</v>
      </c>
      <c r="B454" s="1">
        <f ca="1">IFERROR(__xludf.DUMMYFUNCTION("""COMPUTED_VALUE"""),1.65)</f>
        <v>1.65</v>
      </c>
      <c r="E454" s="1" t="str">
        <f ca="1">IFERROR(__xludf.DUMMYFUNCTION("""COMPUTED_VALUE"""),"SET/10 BLUE SPOTTY PARTY CANDLES")</f>
        <v>SET/10 BLUE SPOTTY PARTY CANDLES</v>
      </c>
      <c r="F454" s="1">
        <f ca="1">IFERROR(__xludf.DUMMYFUNCTION("""COMPUTED_VALUE"""),1)</f>
        <v>1</v>
      </c>
      <c r="G454" s="1">
        <f ca="1">IFERROR(__xludf.DUMMYFUNCTION("""COMPUTED_VALUE"""),1.25)</f>
        <v>1.25</v>
      </c>
      <c r="J454" s="1" t="str">
        <f ca="1">IFERROR(__xludf.DUMMYFUNCTION("""COMPUTED_VALUE"""),"RIBBON REEL SPOTS DESIGN")</f>
        <v>RIBBON REEL SPOTS DESIGN</v>
      </c>
      <c r="K454" s="1">
        <f ca="1">IFERROR(__xludf.DUMMYFUNCTION("""COMPUTED_VALUE"""),10)</f>
        <v>10</v>
      </c>
      <c r="L454" s="1">
        <f ca="1">IFERROR(__xludf.DUMMYFUNCTION("""COMPUTED_VALUE"""),1.65)</f>
        <v>1.65</v>
      </c>
      <c r="T454" s="1">
        <f ca="1">IFERROR(__xludf.DUMMYFUNCTION("""COMPUTED_VALUE"""),489520)</f>
        <v>489520</v>
      </c>
      <c r="U454" s="1">
        <f ca="1">IFERROR(__xludf.DUMMYFUNCTION("""COMPUTED_VALUE"""),16.5)</f>
        <v>16.5</v>
      </c>
    </row>
    <row r="455" spans="1:21" ht="12.75" x14ac:dyDescent="0.2">
      <c r="A455" s="3">
        <f ca="1">IFERROR(__xludf.DUMMYFUNCTION("""COMPUTED_VALUE"""),40148.4868055555)</f>
        <v>40148.486805555498</v>
      </c>
      <c r="B455" s="1">
        <f ca="1">IFERROR(__xludf.DUMMYFUNCTION("""COMPUTED_VALUE"""),1.65)</f>
        <v>1.65</v>
      </c>
      <c r="E455" s="1" t="str">
        <f ca="1">IFERROR(__xludf.DUMMYFUNCTION("""COMPUTED_VALUE"""),"TROPICAL LUGGAGE TAG")</f>
        <v>TROPICAL LUGGAGE TAG</v>
      </c>
      <c r="F455" s="1">
        <f ca="1">IFERROR(__xludf.DUMMYFUNCTION("""COMPUTED_VALUE"""),1)</f>
        <v>1</v>
      </c>
      <c r="G455" s="1">
        <f ca="1">IFERROR(__xludf.DUMMYFUNCTION("""COMPUTED_VALUE"""),1.25)</f>
        <v>1.25</v>
      </c>
      <c r="J455" s="1" t="str">
        <f ca="1">IFERROR(__xludf.DUMMYFUNCTION("""COMPUTED_VALUE"""),"RIBBON REEL STRIPES DESIGN")</f>
        <v>RIBBON REEL STRIPES DESIGN</v>
      </c>
      <c r="K455" s="1">
        <f ca="1">IFERROR(__xludf.DUMMYFUNCTION("""COMPUTED_VALUE"""),10)</f>
        <v>10</v>
      </c>
      <c r="L455" s="1">
        <f ca="1">IFERROR(__xludf.DUMMYFUNCTION("""COMPUTED_VALUE"""),1.65)</f>
        <v>1.65</v>
      </c>
      <c r="T455" s="1">
        <f ca="1">IFERROR(__xludf.DUMMYFUNCTION("""COMPUTED_VALUE"""),489520)</f>
        <v>489520</v>
      </c>
      <c r="U455" s="1">
        <f ca="1">IFERROR(__xludf.DUMMYFUNCTION("""COMPUTED_VALUE"""),16.5)</f>
        <v>16.5</v>
      </c>
    </row>
    <row r="456" spans="1:21" ht="12.75" x14ac:dyDescent="0.2">
      <c r="A456" s="3">
        <f ca="1">IFERROR(__xludf.DUMMYFUNCTION("""COMPUTED_VALUE"""),40148.4868055555)</f>
        <v>40148.486805555498</v>
      </c>
      <c r="B456" s="1">
        <f ca="1">IFERROR(__xludf.DUMMYFUNCTION("""COMPUTED_VALUE"""),0.85)</f>
        <v>0.85</v>
      </c>
      <c r="E456" s="1" t="str">
        <f ca="1">IFERROR(__xludf.DUMMYFUNCTION("""COMPUTED_VALUE"""),"PAPER CHAIN KIT 50'S CHRISTMAS")</f>
        <v>PAPER CHAIN KIT 50'S CHRISTMAS</v>
      </c>
      <c r="F456" s="1">
        <f ca="1">IFERROR(__xludf.DUMMYFUNCTION("""COMPUTED_VALUE"""),1)</f>
        <v>1</v>
      </c>
      <c r="G456" s="1">
        <f ca="1">IFERROR(__xludf.DUMMYFUNCTION("""COMPUTED_VALUE"""),2.95)</f>
        <v>2.95</v>
      </c>
      <c r="J456" s="1" t="str">
        <f ca="1">IFERROR(__xludf.DUMMYFUNCTION("""COMPUTED_VALUE"""),"SILVER MINI TAPE MEASURE")</f>
        <v>SILVER MINI TAPE MEASURE</v>
      </c>
      <c r="K456" s="1">
        <f ca="1">IFERROR(__xludf.DUMMYFUNCTION("""COMPUTED_VALUE"""),10)</f>
        <v>10</v>
      </c>
      <c r="L456" s="1">
        <f ca="1">IFERROR(__xludf.DUMMYFUNCTION("""COMPUTED_VALUE"""),0.85)</f>
        <v>0.85</v>
      </c>
      <c r="T456" s="1">
        <f ca="1">IFERROR(__xludf.DUMMYFUNCTION("""COMPUTED_VALUE"""),489520)</f>
        <v>489520</v>
      </c>
      <c r="U456" s="1">
        <f ca="1">IFERROR(__xludf.DUMMYFUNCTION("""COMPUTED_VALUE"""),8.5)</f>
        <v>8.5</v>
      </c>
    </row>
    <row r="457" spans="1:21" ht="12.75" x14ac:dyDescent="0.2">
      <c r="A457" s="3">
        <f ca="1">IFERROR(__xludf.DUMMYFUNCTION("""COMPUTED_VALUE"""),40148.4868055555)</f>
        <v>40148.486805555498</v>
      </c>
      <c r="B457" s="1">
        <f ca="1">IFERROR(__xludf.DUMMYFUNCTION("""COMPUTED_VALUE"""),3.95)</f>
        <v>3.95</v>
      </c>
      <c r="E457" s="1" t="str">
        <f ca="1">IFERROR(__xludf.DUMMYFUNCTION("""COMPUTED_VALUE"""),"TROPICAL PASSPORT COVER")</f>
        <v>TROPICAL PASSPORT COVER</v>
      </c>
      <c r="F457" s="1">
        <f ca="1">IFERROR(__xludf.DUMMYFUNCTION("""COMPUTED_VALUE"""),1)</f>
        <v>1</v>
      </c>
      <c r="G457" s="1">
        <f ca="1">IFERROR(__xludf.DUMMYFUNCTION("""COMPUTED_VALUE"""),2.1)</f>
        <v>2.1</v>
      </c>
      <c r="J457" s="1" t="str">
        <f ca="1">IFERROR(__xludf.DUMMYFUNCTION("""COMPUTED_VALUE"""),"HOT WATER BOTTLE TEA AND SYMPATHY")</f>
        <v>HOT WATER BOTTLE TEA AND SYMPATHY</v>
      </c>
      <c r="K457" s="1">
        <f ca="1">IFERROR(__xludf.DUMMYFUNCTION("""COMPUTED_VALUE"""),8)</f>
        <v>8</v>
      </c>
      <c r="L457" s="1">
        <f ca="1">IFERROR(__xludf.DUMMYFUNCTION("""COMPUTED_VALUE"""),3.95)</f>
        <v>3.95</v>
      </c>
      <c r="T457" s="1">
        <f ca="1">IFERROR(__xludf.DUMMYFUNCTION("""COMPUTED_VALUE"""),489520)</f>
        <v>489520</v>
      </c>
      <c r="U457" s="1">
        <f ca="1">IFERROR(__xludf.DUMMYFUNCTION("""COMPUTED_VALUE"""),31.6)</f>
        <v>31.6</v>
      </c>
    </row>
    <row r="458" spans="1:21" ht="12.75" x14ac:dyDescent="0.2">
      <c r="A458" s="3">
        <f ca="1">IFERROR(__xludf.DUMMYFUNCTION("""COMPUTED_VALUE"""),40148.4868055555)</f>
        <v>40148.486805555498</v>
      </c>
      <c r="B458" s="1">
        <f ca="1">IFERROR(__xludf.DUMMYFUNCTION("""COMPUTED_VALUE"""),2.1)</f>
        <v>2.1</v>
      </c>
      <c r="E458" s="1" t="str">
        <f ca="1">IFERROR(__xludf.DUMMYFUNCTION("""COMPUTED_VALUE"""),"UNION JACK FLAG PASSPORT COVER")</f>
        <v>UNION JACK FLAG PASSPORT COVER</v>
      </c>
      <c r="F458" s="1">
        <f ca="1">IFERROR(__xludf.DUMMYFUNCTION("""COMPUTED_VALUE"""),1)</f>
        <v>1</v>
      </c>
      <c r="G458" s="1">
        <f ca="1">IFERROR(__xludf.DUMMYFUNCTION("""COMPUTED_VALUE"""),2.1)</f>
        <v>2.1</v>
      </c>
      <c r="J458" s="1" t="str">
        <f ca="1">IFERROR(__xludf.DUMMYFUNCTION("""COMPUTED_VALUE"""),"FOUR HOOK  WHITE LOVEBIRDS")</f>
        <v>FOUR HOOK  WHITE LOVEBIRDS</v>
      </c>
      <c r="K458" s="1">
        <f ca="1">IFERROR(__xludf.DUMMYFUNCTION("""COMPUTED_VALUE"""),6)</f>
        <v>6</v>
      </c>
      <c r="L458" s="1">
        <f ca="1">IFERROR(__xludf.DUMMYFUNCTION("""COMPUTED_VALUE"""),2.1)</f>
        <v>2.1</v>
      </c>
      <c r="T458" s="1">
        <f ca="1">IFERROR(__xludf.DUMMYFUNCTION("""COMPUTED_VALUE"""),489520)</f>
        <v>489520</v>
      </c>
      <c r="U458" s="1">
        <f ca="1">IFERROR(__xludf.DUMMYFUNCTION("""COMPUTED_VALUE"""),12.6)</f>
        <v>12.6</v>
      </c>
    </row>
    <row r="459" spans="1:21" ht="12.75" x14ac:dyDescent="0.2">
      <c r="A459" s="3">
        <f ca="1">IFERROR(__xludf.DUMMYFUNCTION("""COMPUTED_VALUE"""),40148.4868055555)</f>
        <v>40148.486805555498</v>
      </c>
      <c r="B459" s="1">
        <f ca="1">IFERROR(__xludf.DUMMYFUNCTION("""COMPUTED_VALUE"""),2.55)</f>
        <v>2.5499999999999998</v>
      </c>
      <c r="E459" s="1" t="str">
        <f ca="1">IFERROR(__xludf.DUMMYFUNCTION("""COMPUTED_VALUE"""),"UNION JACK FLAG LUGGAGE TAG")</f>
        <v>UNION JACK FLAG LUGGAGE TAG</v>
      </c>
      <c r="F459" s="1">
        <f ca="1">IFERROR(__xludf.DUMMYFUNCTION("""COMPUTED_VALUE"""),1)</f>
        <v>1</v>
      </c>
      <c r="G459" s="1">
        <f ca="1">IFERROR(__xludf.DUMMYFUNCTION("""COMPUTED_VALUE"""),1.25)</f>
        <v>1.25</v>
      </c>
      <c r="J459" s="1" t="str">
        <f ca="1">IFERROR(__xludf.DUMMYFUNCTION("""COMPUTED_VALUE"""),"GLITTER BUTTERFLY CLIPS")</f>
        <v>GLITTER BUTTERFLY CLIPS</v>
      </c>
      <c r="K459" s="1">
        <f ca="1">IFERROR(__xludf.DUMMYFUNCTION("""COMPUTED_VALUE"""),6)</f>
        <v>6</v>
      </c>
      <c r="L459" s="1">
        <f ca="1">IFERROR(__xludf.DUMMYFUNCTION("""COMPUTED_VALUE"""),2.55)</f>
        <v>2.5499999999999998</v>
      </c>
      <c r="T459" s="1">
        <f ca="1">IFERROR(__xludf.DUMMYFUNCTION("""COMPUTED_VALUE"""),489520)</f>
        <v>489520</v>
      </c>
      <c r="U459" s="1">
        <f ca="1">IFERROR(__xludf.DUMMYFUNCTION("""COMPUTED_VALUE"""),15.2999999999999)</f>
        <v>15.299999999999899</v>
      </c>
    </row>
    <row r="460" spans="1:21" ht="12.75" x14ac:dyDescent="0.2">
      <c r="A460" s="3">
        <f ca="1">IFERROR(__xludf.DUMMYFUNCTION("""COMPUTED_VALUE"""),40148.4868055555)</f>
        <v>40148.486805555498</v>
      </c>
      <c r="B460" s="1">
        <f ca="1">IFERROR(__xludf.DUMMYFUNCTION("""COMPUTED_VALUE"""),5.95)</f>
        <v>5.95</v>
      </c>
      <c r="E460" s="1" t="str">
        <f ca="1">IFERROR(__xludf.DUMMYFUNCTION("""COMPUTED_VALUE"""),"VIP LUGGAGE TAG")</f>
        <v>VIP LUGGAGE TAG</v>
      </c>
      <c r="F460" s="1">
        <f ca="1">IFERROR(__xludf.DUMMYFUNCTION("""COMPUTED_VALUE"""),1)</f>
        <v>1</v>
      </c>
      <c r="G460" s="1">
        <f ca="1">IFERROR(__xludf.DUMMYFUNCTION("""COMPUTED_VALUE"""),1.25)</f>
        <v>1.25</v>
      </c>
      <c r="J460" s="1" t="str">
        <f ca="1">IFERROR(__xludf.DUMMYFUNCTION("""COMPUTED_VALUE"""),"HOME BUILDING BLOCK WORD")</f>
        <v>HOME BUILDING BLOCK WORD</v>
      </c>
      <c r="K460" s="1">
        <f ca="1">IFERROR(__xludf.DUMMYFUNCTION("""COMPUTED_VALUE"""),6)</f>
        <v>6</v>
      </c>
      <c r="L460" s="1">
        <f ca="1">IFERROR(__xludf.DUMMYFUNCTION("""COMPUTED_VALUE"""),5.95)</f>
        <v>5.95</v>
      </c>
      <c r="T460" s="1">
        <f ca="1">IFERROR(__xludf.DUMMYFUNCTION("""COMPUTED_VALUE"""),489520)</f>
        <v>489520</v>
      </c>
      <c r="U460" s="1">
        <f ca="1">IFERROR(__xludf.DUMMYFUNCTION("""COMPUTED_VALUE"""),35.7)</f>
        <v>35.700000000000003</v>
      </c>
    </row>
    <row r="461" spans="1:21" ht="12.75" x14ac:dyDescent="0.2">
      <c r="A461" s="3">
        <f ca="1">IFERROR(__xludf.DUMMYFUNCTION("""COMPUTED_VALUE"""),40148.4868055555)</f>
        <v>40148.486805555498</v>
      </c>
      <c r="B461" s="1">
        <f ca="1">IFERROR(__xludf.DUMMYFUNCTION("""COMPUTED_VALUE"""),2.1)</f>
        <v>2.1</v>
      </c>
      <c r="E461" s="1" t="str">
        <f ca="1">IFERROR(__xludf.DUMMYFUNCTION("""COMPUTED_VALUE"""),"BLUE WHITE SCARF HOT WATER BOTTLE")</f>
        <v>BLUE WHITE SCARF HOT WATER BOTTLE</v>
      </c>
      <c r="F461" s="1">
        <f ca="1">IFERROR(__xludf.DUMMYFUNCTION("""COMPUTED_VALUE"""),1)</f>
        <v>1</v>
      </c>
      <c r="G461" s="1">
        <f ca="1">IFERROR(__xludf.DUMMYFUNCTION("""COMPUTED_VALUE"""),3.95)</f>
        <v>3.95</v>
      </c>
      <c r="J461" s="1" t="str">
        <f ca="1">IFERROR(__xludf.DUMMYFUNCTION("""COMPUTED_VALUE"""),"PLEASE ONE PERSON  METAL SIGN")</f>
        <v>PLEASE ONE PERSON  METAL SIGN</v>
      </c>
      <c r="K461" s="1">
        <f ca="1">IFERROR(__xludf.DUMMYFUNCTION("""COMPUTED_VALUE"""),6)</f>
        <v>6</v>
      </c>
      <c r="L461" s="1">
        <f ca="1">IFERROR(__xludf.DUMMYFUNCTION("""COMPUTED_VALUE"""),2.1)</f>
        <v>2.1</v>
      </c>
      <c r="T461" s="1">
        <f ca="1">IFERROR(__xludf.DUMMYFUNCTION("""COMPUTED_VALUE"""),489520)</f>
        <v>489520</v>
      </c>
      <c r="U461" s="1">
        <f ca="1">IFERROR(__xludf.DUMMYFUNCTION("""COMPUTED_VALUE"""),12.6)</f>
        <v>12.6</v>
      </c>
    </row>
    <row r="462" spans="1:21" ht="12.75" x14ac:dyDescent="0.2">
      <c r="A462" s="3">
        <f ca="1">IFERROR(__xludf.DUMMYFUNCTION("""COMPUTED_VALUE"""),40148.4868055555)</f>
        <v>40148.486805555498</v>
      </c>
      <c r="B462" s="1">
        <f ca="1">IFERROR(__xludf.DUMMYFUNCTION("""COMPUTED_VALUE"""),2.95)</f>
        <v>2.95</v>
      </c>
      <c r="E462" s="1" t="str">
        <f ca="1">IFERROR(__xludf.DUMMYFUNCTION("""COMPUTED_VALUE"""),"PINK STRAWBERRY HANDBAG")</f>
        <v>PINK STRAWBERRY HANDBAG</v>
      </c>
      <c r="F462" s="1">
        <f ca="1">IFERROR(__xludf.DUMMYFUNCTION("""COMPUTED_VALUE"""),1)</f>
        <v>1</v>
      </c>
      <c r="G462" s="1">
        <f ca="1">IFERROR(__xludf.DUMMYFUNCTION("""COMPUTED_VALUE"""),2.95)</f>
        <v>2.95</v>
      </c>
      <c r="J462" s="1" t="str">
        <f ca="1">IFERROR(__xludf.DUMMYFUNCTION("""COMPUTED_VALUE"""),"PAPER BUNTING VINTAGE PAISLEY")</f>
        <v>PAPER BUNTING VINTAGE PAISLEY</v>
      </c>
      <c r="K462" s="1">
        <f ca="1">IFERROR(__xludf.DUMMYFUNCTION("""COMPUTED_VALUE"""),6)</f>
        <v>6</v>
      </c>
      <c r="L462" s="1">
        <f ca="1">IFERROR(__xludf.DUMMYFUNCTION("""COMPUTED_VALUE"""),2.95)</f>
        <v>2.95</v>
      </c>
      <c r="T462" s="1">
        <f ca="1">IFERROR(__xludf.DUMMYFUNCTION("""COMPUTED_VALUE"""),489520)</f>
        <v>489520</v>
      </c>
      <c r="U462" s="1">
        <f ca="1">IFERROR(__xludf.DUMMYFUNCTION("""COMPUTED_VALUE"""),17.7)</f>
        <v>17.7</v>
      </c>
    </row>
    <row r="463" spans="1:21" ht="12.75" x14ac:dyDescent="0.2">
      <c r="A463" s="3">
        <f ca="1">IFERROR(__xludf.DUMMYFUNCTION("""COMPUTED_VALUE"""),40148.4868055555)</f>
        <v>40148.486805555498</v>
      </c>
      <c r="B463" s="1">
        <f ca="1">IFERROR(__xludf.DUMMYFUNCTION("""COMPUTED_VALUE"""),2.95)</f>
        <v>2.95</v>
      </c>
      <c r="E463" s="1" t="str">
        <f ca="1">IFERROR(__xludf.DUMMYFUNCTION("""COMPUTED_VALUE"""),"CHRYSANTHEMUM NOTEBOOK")</f>
        <v>CHRYSANTHEMUM NOTEBOOK</v>
      </c>
      <c r="F463" s="1">
        <f ca="1">IFERROR(__xludf.DUMMYFUNCTION("""COMPUTED_VALUE"""),1)</f>
        <v>1</v>
      </c>
      <c r="G463" s="1">
        <f ca="1">IFERROR(__xludf.DUMMYFUNCTION("""COMPUTED_VALUE"""),1.65)</f>
        <v>1.65</v>
      </c>
      <c r="J463" s="1" t="str">
        <f ca="1">IFERROR(__xludf.DUMMYFUNCTION("""COMPUTED_VALUE"""),"PAPER CHAIN KIT RETRO SPOT")</f>
        <v>PAPER CHAIN KIT RETRO SPOT</v>
      </c>
      <c r="K463" s="1">
        <f ca="1">IFERROR(__xludf.DUMMYFUNCTION("""COMPUTED_VALUE"""),6)</f>
        <v>6</v>
      </c>
      <c r="L463" s="1">
        <f ca="1">IFERROR(__xludf.DUMMYFUNCTION("""COMPUTED_VALUE"""),2.95)</f>
        <v>2.95</v>
      </c>
      <c r="T463" s="1">
        <f ca="1">IFERROR(__xludf.DUMMYFUNCTION("""COMPUTED_VALUE"""),489520)</f>
        <v>489520</v>
      </c>
      <c r="U463" s="1">
        <f ca="1">IFERROR(__xludf.DUMMYFUNCTION("""COMPUTED_VALUE"""),17.7)</f>
        <v>17.7</v>
      </c>
    </row>
    <row r="464" spans="1:21" ht="12.75" x14ac:dyDescent="0.2">
      <c r="A464" s="3">
        <f ca="1">IFERROR(__xludf.DUMMYFUNCTION("""COMPUTED_VALUE"""),40148.4868055555)</f>
        <v>40148.486805555498</v>
      </c>
      <c r="B464" s="1">
        <f ca="1">IFERROR(__xludf.DUMMYFUNCTION("""COMPUTED_VALUE"""),2.95)</f>
        <v>2.95</v>
      </c>
      <c r="E464" s="1" t="str">
        <f ca="1">IFERROR(__xludf.DUMMYFUNCTION("""COMPUTED_VALUE"""),"ROSE DU SUD CHILDS APRON")</f>
        <v>ROSE DU SUD CHILDS APRON</v>
      </c>
      <c r="F464" s="1">
        <f ca="1">IFERROR(__xludf.DUMMYFUNCTION("""COMPUTED_VALUE"""),1)</f>
        <v>1</v>
      </c>
      <c r="G464" s="1">
        <f ca="1">IFERROR(__xludf.DUMMYFUNCTION("""COMPUTED_VALUE"""),4.25)</f>
        <v>4.25</v>
      </c>
      <c r="J464" s="1" t="str">
        <f ca="1">IFERROR(__xludf.DUMMYFUNCTION("""COMPUTED_VALUE"""),"PAPER CHAIN KIT 50'S CHRISTMAS")</f>
        <v>PAPER CHAIN KIT 50'S CHRISTMAS</v>
      </c>
      <c r="K464" s="1">
        <f ca="1">IFERROR(__xludf.DUMMYFUNCTION("""COMPUTED_VALUE"""),6)</f>
        <v>6</v>
      </c>
      <c r="L464" s="1">
        <f ca="1">IFERROR(__xludf.DUMMYFUNCTION("""COMPUTED_VALUE"""),2.95)</f>
        <v>2.95</v>
      </c>
      <c r="T464" s="1">
        <f ca="1">IFERROR(__xludf.DUMMYFUNCTION("""COMPUTED_VALUE"""),489520)</f>
        <v>489520</v>
      </c>
      <c r="U464" s="1">
        <f ca="1">IFERROR(__xludf.DUMMYFUNCTION("""COMPUTED_VALUE"""),17.7)</f>
        <v>17.7</v>
      </c>
    </row>
    <row r="465" spans="1:21" ht="12.75" x14ac:dyDescent="0.2">
      <c r="A465" s="3">
        <f ca="1">IFERROR(__xludf.DUMMYFUNCTION("""COMPUTED_VALUE"""),40148.4868055555)</f>
        <v>40148.486805555498</v>
      </c>
      <c r="B465" s="1">
        <f ca="1">IFERROR(__xludf.DUMMYFUNCTION("""COMPUTED_VALUE"""),9.95)</f>
        <v>9.9499999999999993</v>
      </c>
      <c r="E465" s="1" t="str">
        <f ca="1">IFERROR(__xludf.DUMMYFUNCTION("""COMPUTED_VALUE"""),"PINK DRESS JEWELLERY STAND")</f>
        <v>PINK DRESS JEWELLERY STAND</v>
      </c>
      <c r="F465" s="1">
        <f ca="1">IFERROR(__xludf.DUMMYFUNCTION("""COMPUTED_VALUE"""),1)</f>
        <v>1</v>
      </c>
      <c r="G465" s="1">
        <f ca="1">IFERROR(__xludf.DUMMYFUNCTION("""COMPUTED_VALUE"""),2.95)</f>
        <v>2.95</v>
      </c>
      <c r="J465" s="1" t="str">
        <f ca="1">IFERROR(__xludf.DUMMYFUNCTION("""COMPUTED_VALUE"""),"SHOE SHINE BOX")</f>
        <v>SHOE SHINE BOX</v>
      </c>
      <c r="K465" s="1">
        <f ca="1">IFERROR(__xludf.DUMMYFUNCTION("""COMPUTED_VALUE"""),4)</f>
        <v>4</v>
      </c>
      <c r="L465" s="1">
        <f ca="1">IFERROR(__xludf.DUMMYFUNCTION("""COMPUTED_VALUE"""),9.95)</f>
        <v>9.9499999999999993</v>
      </c>
      <c r="T465" s="1">
        <f ca="1">IFERROR(__xludf.DUMMYFUNCTION("""COMPUTED_VALUE"""),489520)</f>
        <v>489520</v>
      </c>
      <c r="U465" s="1">
        <f ca="1">IFERROR(__xludf.DUMMYFUNCTION("""COMPUTED_VALUE"""),39.8)</f>
        <v>39.799999999999997</v>
      </c>
    </row>
    <row r="466" spans="1:21" ht="12.75" x14ac:dyDescent="0.2">
      <c r="A466" s="3">
        <f ca="1">IFERROR(__xludf.DUMMYFUNCTION("""COMPUTED_VALUE"""),40148.4868055555)</f>
        <v>40148.486805555498</v>
      </c>
      <c r="B466" s="1">
        <f ca="1">IFERROR(__xludf.DUMMYFUNCTION("""COMPUTED_VALUE"""),12.75)</f>
        <v>12.75</v>
      </c>
      <c r="E466" s="1" t="str">
        <f ca="1">IFERROR(__xludf.DUMMYFUNCTION("""COMPUTED_VALUE"""),"BLACK STITCHED WALL CLOCK")</f>
        <v>BLACK STITCHED WALL CLOCK</v>
      </c>
      <c r="F466" s="1">
        <f ca="1">IFERROR(__xludf.DUMMYFUNCTION("""COMPUTED_VALUE"""),1)</f>
        <v>1</v>
      </c>
      <c r="G466" s="1">
        <f ca="1">IFERROR(__xludf.DUMMYFUNCTION("""COMPUTED_VALUE"""),3.75)</f>
        <v>3.75</v>
      </c>
      <c r="J466" s="1" t="str">
        <f ca="1">IFERROR(__xludf.DUMMYFUNCTION("""COMPUTED_VALUE"""),"12 EGG HOUSE PAINTED WOOD")</f>
        <v>12 EGG HOUSE PAINTED WOOD</v>
      </c>
      <c r="K466" s="1">
        <f ca="1">IFERROR(__xludf.DUMMYFUNCTION("""COMPUTED_VALUE"""),4)</f>
        <v>4</v>
      </c>
      <c r="L466" s="1">
        <f ca="1">IFERROR(__xludf.DUMMYFUNCTION("""COMPUTED_VALUE"""),12.75)</f>
        <v>12.75</v>
      </c>
      <c r="T466" s="1">
        <f ca="1">IFERROR(__xludf.DUMMYFUNCTION("""COMPUTED_VALUE"""),489520)</f>
        <v>489520</v>
      </c>
      <c r="U466" s="1">
        <f ca="1">IFERROR(__xludf.DUMMYFUNCTION("""COMPUTED_VALUE"""),51)</f>
        <v>51</v>
      </c>
    </row>
    <row r="467" spans="1:21" ht="12.75" x14ac:dyDescent="0.2">
      <c r="A467" s="3">
        <f ca="1">IFERROR(__xludf.DUMMYFUNCTION("""COMPUTED_VALUE"""),40148.4868055555)</f>
        <v>40148.486805555498</v>
      </c>
      <c r="B467" s="1">
        <f ca="1">IFERROR(__xludf.DUMMYFUNCTION("""COMPUTED_VALUE"""),3.75)</f>
        <v>3.75</v>
      </c>
      <c r="E467" s="1" t="str">
        <f ca="1">IFERROR(__xludf.DUMMYFUNCTION("""COMPUTED_VALUE"""),"F FAIRY POTPOURRI CUSHIONS LAVENDER")</f>
        <v>F FAIRY POTPOURRI CUSHIONS LAVENDER</v>
      </c>
      <c r="F467" s="1">
        <f ca="1">IFERROR(__xludf.DUMMYFUNCTION("""COMPUTED_VALUE"""),1)</f>
        <v>1</v>
      </c>
      <c r="G467" s="1">
        <f ca="1">IFERROR(__xludf.DUMMYFUNCTION("""COMPUTED_VALUE"""),1.69)</f>
        <v>1.69</v>
      </c>
      <c r="J467" s="1" t="str">
        <f ca="1">IFERROR(__xludf.DUMMYFUNCTION("""COMPUTED_VALUE"""),"SET/3 RED GINGHAM ROSE STORAGE BOX")</f>
        <v>SET/3 RED GINGHAM ROSE STORAGE BOX</v>
      </c>
      <c r="K467" s="1">
        <f ca="1">IFERROR(__xludf.DUMMYFUNCTION("""COMPUTED_VALUE"""),4)</f>
        <v>4</v>
      </c>
      <c r="L467" s="1">
        <f ca="1">IFERROR(__xludf.DUMMYFUNCTION("""COMPUTED_VALUE"""),3.75)</f>
        <v>3.75</v>
      </c>
      <c r="T467" s="1">
        <f ca="1">IFERROR(__xludf.DUMMYFUNCTION("""COMPUTED_VALUE"""),489520)</f>
        <v>489520</v>
      </c>
      <c r="U467" s="1">
        <f ca="1">IFERROR(__xludf.DUMMYFUNCTION("""COMPUTED_VALUE"""),15)</f>
        <v>15</v>
      </c>
    </row>
    <row r="468" spans="1:21" ht="12.75" x14ac:dyDescent="0.2">
      <c r="A468" s="3">
        <f ca="1">IFERROR(__xludf.DUMMYFUNCTION("""COMPUTED_VALUE"""),40148.4868055555)</f>
        <v>40148.486805555498</v>
      </c>
      <c r="B468" s="1">
        <f ca="1">IFERROR(__xludf.DUMMYFUNCTION("""COMPUTED_VALUE"""),4.95)</f>
        <v>4.95</v>
      </c>
      <c r="E468" s="1" t="str">
        <f ca="1">IFERROR(__xludf.DUMMYFUNCTION("""COMPUTED_VALUE"""),"ROSE SCENT CANDLE JEWELLED DRAWER")</f>
        <v>ROSE SCENT CANDLE JEWELLED DRAWER</v>
      </c>
      <c r="F468" s="1">
        <f ca="1">IFERROR(__xludf.DUMMYFUNCTION("""COMPUTED_VALUE"""),-1)</f>
        <v>-1</v>
      </c>
      <c r="G468" s="1">
        <f ca="1">IFERROR(__xludf.DUMMYFUNCTION("""COMPUTED_VALUE"""),4.25)</f>
        <v>4.25</v>
      </c>
      <c r="J468" s="1" t="str">
        <f ca="1">IFERROR(__xludf.DUMMYFUNCTION("""COMPUTED_VALUE"""),"SET/3 DECOUPAGE STACKING TINS")</f>
        <v>SET/3 DECOUPAGE STACKING TINS</v>
      </c>
      <c r="K468" s="1">
        <f ca="1">IFERROR(__xludf.DUMMYFUNCTION("""COMPUTED_VALUE"""),3)</f>
        <v>3</v>
      </c>
      <c r="L468" s="1">
        <f ca="1">IFERROR(__xludf.DUMMYFUNCTION("""COMPUTED_VALUE"""),4.95)</f>
        <v>4.95</v>
      </c>
      <c r="T468" s="1">
        <f ca="1">IFERROR(__xludf.DUMMYFUNCTION("""COMPUTED_VALUE"""),489520)</f>
        <v>489520</v>
      </c>
      <c r="U468" s="1">
        <f ca="1">IFERROR(__xludf.DUMMYFUNCTION("""COMPUTED_VALUE"""),14.85)</f>
        <v>14.85</v>
      </c>
    </row>
    <row r="469" spans="1:21" ht="12.75" x14ac:dyDescent="0.2">
      <c r="A469" s="3">
        <f ca="1">IFERROR(__xludf.DUMMYFUNCTION("""COMPUTED_VALUE"""),40148.4868055555)</f>
        <v>40148.486805555498</v>
      </c>
      <c r="B469" s="1">
        <f ca="1">IFERROR(__xludf.DUMMYFUNCTION("""COMPUTED_VALUE"""),5.95)</f>
        <v>5.95</v>
      </c>
      <c r="E469" s="1" t="str">
        <f ca="1">IFERROR(__xludf.DUMMYFUNCTION("""COMPUTED_VALUE"""),"COLOUR GLASS. STAR T-LIGHT HOLDER")</f>
        <v>COLOUR GLASS. STAR T-LIGHT HOLDER</v>
      </c>
      <c r="F469" s="1">
        <f ca="1">IFERROR(__xludf.DUMMYFUNCTION("""COMPUTED_VALUE"""),12)</f>
        <v>12</v>
      </c>
      <c r="G469" s="1">
        <f ca="1">IFERROR(__xludf.DUMMYFUNCTION("""COMPUTED_VALUE"""),3.25)</f>
        <v>3.25</v>
      </c>
      <c r="J469" s="1" t="str">
        <f ca="1">IFERROR(__xludf.DUMMYFUNCTION("""COMPUTED_VALUE"""),"NOEL WOODEN BLOCK LETTERS")</f>
        <v>NOEL WOODEN BLOCK LETTERS</v>
      </c>
      <c r="K469" s="1">
        <f ca="1">IFERROR(__xludf.DUMMYFUNCTION("""COMPUTED_VALUE"""),3)</f>
        <v>3</v>
      </c>
      <c r="L469" s="1">
        <f ca="1">IFERROR(__xludf.DUMMYFUNCTION("""COMPUTED_VALUE"""),5.95)</f>
        <v>5.95</v>
      </c>
      <c r="T469" s="1">
        <f ca="1">IFERROR(__xludf.DUMMYFUNCTION("""COMPUTED_VALUE"""),489520)</f>
        <v>489520</v>
      </c>
      <c r="U469" s="1">
        <f ca="1">IFERROR(__xludf.DUMMYFUNCTION("""COMPUTED_VALUE"""),17.85)</f>
        <v>17.850000000000001</v>
      </c>
    </row>
    <row r="470" spans="1:21" ht="12.75" x14ac:dyDescent="0.2">
      <c r="A470" s="3">
        <f ca="1">IFERROR(__xludf.DUMMYFUNCTION("""COMPUTED_VALUE"""),40148.4868055555)</f>
        <v>40148.486805555498</v>
      </c>
      <c r="B470" s="1">
        <f ca="1">IFERROR(__xludf.DUMMYFUNCTION("""COMPUTED_VALUE"""),4.95)</f>
        <v>4.95</v>
      </c>
      <c r="E470" s="1" t="str">
        <f ca="1">IFERROR(__xludf.DUMMYFUNCTION("""COMPUTED_VALUE"""),"KINGS CHOICE SMALL TUBE MATCHES")</f>
        <v>KINGS CHOICE SMALL TUBE MATCHES</v>
      </c>
      <c r="F470" s="1">
        <f ca="1">IFERROR(__xludf.DUMMYFUNCTION("""COMPUTED_VALUE"""),8)</f>
        <v>8</v>
      </c>
      <c r="G470" s="1">
        <f ca="1">IFERROR(__xludf.DUMMYFUNCTION("""COMPUTED_VALUE"""),1.65)</f>
        <v>1.65</v>
      </c>
      <c r="J470" s="1" t="str">
        <f ca="1">IFERROR(__xludf.DUMMYFUNCTION("""COMPUTED_VALUE"""),"RED SPOT HEART HOT WATER BOTTLE")</f>
        <v>RED SPOT HEART HOT WATER BOTTLE</v>
      </c>
      <c r="K470" s="1">
        <f ca="1">IFERROR(__xludf.DUMMYFUNCTION("""COMPUTED_VALUE"""),3)</f>
        <v>3</v>
      </c>
      <c r="L470" s="1">
        <f ca="1">IFERROR(__xludf.DUMMYFUNCTION("""COMPUTED_VALUE"""),4.95)</f>
        <v>4.95</v>
      </c>
      <c r="T470" s="1">
        <f ca="1">IFERROR(__xludf.DUMMYFUNCTION("""COMPUTED_VALUE"""),489520)</f>
        <v>489520</v>
      </c>
      <c r="U470" s="1">
        <f ca="1">IFERROR(__xludf.DUMMYFUNCTION("""COMPUTED_VALUE"""),14.85)</f>
        <v>14.85</v>
      </c>
    </row>
    <row r="471" spans="1:21" ht="12.75" x14ac:dyDescent="0.2">
      <c r="A471" s="3">
        <f ca="1">IFERROR(__xludf.DUMMYFUNCTION("""COMPUTED_VALUE"""),40148.4868055555)</f>
        <v>40148.486805555498</v>
      </c>
      <c r="B471" s="1">
        <f ca="1">IFERROR(__xludf.DUMMYFUNCTION("""COMPUTED_VALUE"""),6.75)</f>
        <v>6.75</v>
      </c>
      <c r="E471" s="1" t="str">
        <f ca="1">IFERROR(__xludf.DUMMYFUNCTION("""COMPUTED_VALUE"""),"COSY HOUR CIGAR BOX MATCHES")</f>
        <v>COSY HOUR CIGAR BOX MATCHES</v>
      </c>
      <c r="F471" s="1">
        <f ca="1">IFERROR(__xludf.DUMMYFUNCTION("""COMPUTED_VALUE"""),7)</f>
        <v>7</v>
      </c>
      <c r="G471" s="1">
        <f ca="1">IFERROR(__xludf.DUMMYFUNCTION("""COMPUTED_VALUE"""),1.25)</f>
        <v>1.25</v>
      </c>
      <c r="J471" s="1" t="str">
        <f ca="1">IFERROR(__xludf.DUMMYFUNCTION("""COMPUTED_VALUE"""),"FANCY FONT HOME SWEET HOME DOORMAT")</f>
        <v>FANCY FONT HOME SWEET HOME DOORMAT</v>
      </c>
      <c r="K471" s="1">
        <f ca="1">IFERROR(__xludf.DUMMYFUNCTION("""COMPUTED_VALUE"""),2)</f>
        <v>2</v>
      </c>
      <c r="L471" s="1">
        <f ca="1">IFERROR(__xludf.DUMMYFUNCTION("""COMPUTED_VALUE"""),6.75)</f>
        <v>6.75</v>
      </c>
      <c r="T471" s="1">
        <f ca="1">IFERROR(__xludf.DUMMYFUNCTION("""COMPUTED_VALUE"""),489520)</f>
        <v>489520</v>
      </c>
      <c r="U471" s="1">
        <f ca="1">IFERROR(__xludf.DUMMYFUNCTION("""COMPUTED_VALUE"""),13.5)</f>
        <v>13.5</v>
      </c>
    </row>
    <row r="472" spans="1:21" ht="12.75" x14ac:dyDescent="0.2">
      <c r="A472" s="3">
        <f ca="1">IFERROR(__xludf.DUMMYFUNCTION("""COMPUTED_VALUE"""),40148.4868055555)</f>
        <v>40148.486805555498</v>
      </c>
      <c r="B472" s="1">
        <f ca="1">IFERROR(__xludf.DUMMYFUNCTION("""COMPUTED_VALUE"""),6.75)</f>
        <v>6.75</v>
      </c>
      <c r="E472" s="1" t="str">
        <f ca="1">IFERROR(__xludf.DUMMYFUNCTION("""COMPUTED_VALUE"""),"COSY HOUR GIANT TUBE MATCHES")</f>
        <v>COSY HOUR GIANT TUBE MATCHES</v>
      </c>
      <c r="F472" s="1">
        <f ca="1">IFERROR(__xludf.DUMMYFUNCTION("""COMPUTED_VALUE"""),6)</f>
        <v>6</v>
      </c>
      <c r="G472" s="1">
        <f ca="1">IFERROR(__xludf.DUMMYFUNCTION("""COMPUTED_VALUE"""),2.55)</f>
        <v>2.5499999999999998</v>
      </c>
      <c r="J472" s="1" t="str">
        <f ca="1">IFERROR(__xludf.DUMMYFUNCTION("""COMPUTED_VALUE"""),"DOOR MAT NEW ENGLAND")</f>
        <v>DOOR MAT NEW ENGLAND</v>
      </c>
      <c r="K472" s="1">
        <f ca="1">IFERROR(__xludf.DUMMYFUNCTION("""COMPUTED_VALUE"""),2)</f>
        <v>2</v>
      </c>
      <c r="L472" s="1">
        <f ca="1">IFERROR(__xludf.DUMMYFUNCTION("""COMPUTED_VALUE"""),6.75)</f>
        <v>6.75</v>
      </c>
      <c r="T472" s="1">
        <f ca="1">IFERROR(__xludf.DUMMYFUNCTION("""COMPUTED_VALUE"""),489520)</f>
        <v>489520</v>
      </c>
      <c r="U472" s="1">
        <f ca="1">IFERROR(__xludf.DUMMYFUNCTION("""COMPUTED_VALUE"""),13.5)</f>
        <v>13.5</v>
      </c>
    </row>
    <row r="473" spans="1:21" ht="12.75" x14ac:dyDescent="0.2">
      <c r="A473" s="3">
        <f ca="1">IFERROR(__xludf.DUMMYFUNCTION("""COMPUTED_VALUE"""),40148.4868055555)</f>
        <v>40148.486805555498</v>
      </c>
      <c r="B473" s="1">
        <f ca="1">IFERROR(__xludf.DUMMYFUNCTION("""COMPUTED_VALUE"""),6.75)</f>
        <v>6.75</v>
      </c>
      <c r="E473" s="1" t="str">
        <f ca="1">IFERROR(__xludf.DUMMYFUNCTION("""COMPUTED_VALUE"""),"WHITE HANGING HEART T-LIGHT HOLDER")</f>
        <v>WHITE HANGING HEART T-LIGHT HOLDER</v>
      </c>
      <c r="F473" s="1">
        <f ca="1">IFERROR(__xludf.DUMMYFUNCTION("""COMPUTED_VALUE"""),5)</f>
        <v>5</v>
      </c>
      <c r="G473" s="1">
        <f ca="1">IFERROR(__xludf.DUMMYFUNCTION("""COMPUTED_VALUE"""),2.95)</f>
        <v>2.95</v>
      </c>
      <c r="J473" s="1" t="str">
        <f ca="1">IFERROR(__xludf.DUMMYFUNCTION("""COMPUTED_VALUE"""),"DOOR MAT GREEN PAISLEY")</f>
        <v>DOOR MAT GREEN PAISLEY</v>
      </c>
      <c r="K473" s="1">
        <f ca="1">IFERROR(__xludf.DUMMYFUNCTION("""COMPUTED_VALUE"""),2)</f>
        <v>2</v>
      </c>
      <c r="L473" s="1">
        <f ca="1">IFERROR(__xludf.DUMMYFUNCTION("""COMPUTED_VALUE"""),6.75)</f>
        <v>6.75</v>
      </c>
      <c r="T473" s="1">
        <f ca="1">IFERROR(__xludf.DUMMYFUNCTION("""COMPUTED_VALUE"""),489520)</f>
        <v>489520</v>
      </c>
      <c r="U473" s="1">
        <f ca="1">IFERROR(__xludf.DUMMYFUNCTION("""COMPUTED_VALUE"""),13.5)</f>
        <v>13.5</v>
      </c>
    </row>
    <row r="474" spans="1:21" ht="12.75" x14ac:dyDescent="0.2">
      <c r="A474" s="3">
        <f ca="1">IFERROR(__xludf.DUMMYFUNCTION("""COMPUTED_VALUE"""),40148.4888888888)</f>
        <v>40148.488888888802</v>
      </c>
      <c r="B474" s="1">
        <f ca="1">IFERROR(__xludf.DUMMYFUNCTION("""COMPUTED_VALUE"""),0)</f>
        <v>0</v>
      </c>
      <c r="E474" s="1" t="str">
        <f ca="1">IFERROR(__xludf.DUMMYFUNCTION("""COMPUTED_VALUE"""),"ANTIQUE LILY FAIRY LIGHTS")</f>
        <v>ANTIQUE LILY FAIRY LIGHTS</v>
      </c>
      <c r="F474" s="1">
        <f ca="1">IFERROR(__xludf.DUMMYFUNCTION("""COMPUTED_VALUE"""),4)</f>
        <v>4</v>
      </c>
      <c r="G474" s="1">
        <f ca="1">IFERROR(__xludf.DUMMYFUNCTION("""COMPUTED_VALUE"""),4.95)</f>
        <v>4.95</v>
      </c>
      <c r="J474" s="1"/>
      <c r="K474" s="1">
        <f ca="1">IFERROR(__xludf.DUMMYFUNCTION("""COMPUTED_VALUE"""),-50)</f>
        <v>-50</v>
      </c>
      <c r="L474" s="1">
        <f ca="1">IFERROR(__xludf.DUMMYFUNCTION("""COMPUTED_VALUE"""),0)</f>
        <v>0</v>
      </c>
      <c r="T474" s="1">
        <f ca="1">IFERROR(__xludf.DUMMYFUNCTION("""COMPUTED_VALUE"""),489521)</f>
        <v>489521</v>
      </c>
      <c r="U474" s="1">
        <f ca="1">IFERROR(__xludf.DUMMYFUNCTION("""COMPUTED_VALUE"""),0)</f>
        <v>0</v>
      </c>
    </row>
    <row r="475" spans="1:21" ht="12.75" x14ac:dyDescent="0.2">
      <c r="A475" s="3">
        <f ca="1">IFERROR(__xludf.DUMMYFUNCTION("""COMPUTED_VALUE"""),40148.4895833333)</f>
        <v>40148.489583333299</v>
      </c>
      <c r="B475" s="1">
        <f ca="1">IFERROR(__xludf.DUMMYFUNCTION("""COMPUTED_VALUE"""),0.21)</f>
        <v>0.21</v>
      </c>
      <c r="E475" s="1" t="str">
        <f ca="1">IFERROR(__xludf.DUMMYFUNCTION("""COMPUTED_VALUE"""),"KINGS CHOICE CIGAR BOX MATCHES")</f>
        <v>KINGS CHOICE CIGAR BOX MATCHES</v>
      </c>
      <c r="F475" s="1">
        <f ca="1">IFERROR(__xludf.DUMMYFUNCTION("""COMPUTED_VALUE"""),4)</f>
        <v>4</v>
      </c>
      <c r="G475" s="1">
        <f ca="1">IFERROR(__xludf.DUMMYFUNCTION("""COMPUTED_VALUE"""),1.25)</f>
        <v>1.25</v>
      </c>
      <c r="J475" s="1" t="str">
        <f ca="1">IFERROR(__xludf.DUMMYFUNCTION("""COMPUTED_VALUE"""),"DINOSAUR KEYRINGS ASSORTED")</f>
        <v>DINOSAUR KEYRINGS ASSORTED</v>
      </c>
      <c r="K475" s="1">
        <f ca="1">IFERROR(__xludf.DUMMYFUNCTION("""COMPUTED_VALUE"""),36)</f>
        <v>36</v>
      </c>
      <c r="L475" s="1">
        <f ca="1">IFERROR(__xludf.DUMMYFUNCTION("""COMPUTED_VALUE"""),0.21)</f>
        <v>0.21</v>
      </c>
      <c r="T475" s="1">
        <f ca="1">IFERROR(__xludf.DUMMYFUNCTION("""COMPUTED_VALUE"""),489522)</f>
        <v>489522</v>
      </c>
      <c r="U475" s="1">
        <f ca="1">IFERROR(__xludf.DUMMYFUNCTION("""COMPUTED_VALUE"""),7.56)</f>
        <v>7.56</v>
      </c>
    </row>
    <row r="476" spans="1:21" ht="12.75" x14ac:dyDescent="0.2">
      <c r="A476" s="3">
        <f ca="1">IFERROR(__xludf.DUMMYFUNCTION("""COMPUTED_VALUE"""),40148.4895833333)</f>
        <v>40148.489583333299</v>
      </c>
      <c r="B476" s="1">
        <f ca="1">IFERROR(__xludf.DUMMYFUNCTION("""COMPUTED_VALUE"""),0.42)</f>
        <v>0.42</v>
      </c>
      <c r="E476" s="1" t="str">
        <f ca="1">IFERROR(__xludf.DUMMYFUNCTION("""COMPUTED_VALUE"""),"S/4 FESTIVE GREEN DINNER CANDLES")</f>
        <v>S/4 FESTIVE GREEN DINNER CANDLES</v>
      </c>
      <c r="F476" s="1">
        <f ca="1">IFERROR(__xludf.DUMMYFUNCTION("""COMPUTED_VALUE"""),2)</f>
        <v>2</v>
      </c>
      <c r="G476" s="1">
        <f ca="1">IFERROR(__xludf.DUMMYFUNCTION("""COMPUTED_VALUE"""),1.25)</f>
        <v>1.25</v>
      </c>
      <c r="J476" s="1" t="str">
        <f ca="1">IFERROR(__xludf.DUMMYFUNCTION("""COMPUTED_VALUE"""),"SKULLS WRAP")</f>
        <v>SKULLS WRAP</v>
      </c>
      <c r="K476" s="1">
        <f ca="1">IFERROR(__xludf.DUMMYFUNCTION("""COMPUTED_VALUE"""),25)</f>
        <v>25</v>
      </c>
      <c r="L476" s="1">
        <f ca="1">IFERROR(__xludf.DUMMYFUNCTION("""COMPUTED_VALUE"""),0.42)</f>
        <v>0.42</v>
      </c>
      <c r="T476" s="1">
        <f ca="1">IFERROR(__xludf.DUMMYFUNCTION("""COMPUTED_VALUE"""),489522)</f>
        <v>489522</v>
      </c>
      <c r="U476" s="1">
        <f ca="1">IFERROR(__xludf.DUMMYFUNCTION("""COMPUTED_VALUE"""),10.5)</f>
        <v>10.5</v>
      </c>
    </row>
    <row r="477" spans="1:21" ht="12.75" x14ac:dyDescent="0.2">
      <c r="A477" s="3">
        <f ca="1">IFERROR(__xludf.DUMMYFUNCTION("""COMPUTED_VALUE"""),40148.4895833333)</f>
        <v>40148.489583333299</v>
      </c>
      <c r="B477" s="1">
        <f ca="1">IFERROR(__xludf.DUMMYFUNCTION("""COMPUTED_VALUE"""),0.85)</f>
        <v>0.85</v>
      </c>
      <c r="E477" s="1" t="str">
        <f ca="1">IFERROR(__xludf.DUMMYFUNCTION("""COMPUTED_VALUE"""),"GLASS HONEYPOT WASP CATCHER")</f>
        <v>GLASS HONEYPOT WASP CATCHER</v>
      </c>
      <c r="F477" s="1">
        <f ca="1">IFERROR(__xludf.DUMMYFUNCTION("""COMPUTED_VALUE"""),1)</f>
        <v>1</v>
      </c>
      <c r="G477" s="1">
        <f ca="1">IFERROR(__xludf.DUMMYFUNCTION("""COMPUTED_VALUE"""),1.95)</f>
        <v>1.95</v>
      </c>
      <c r="J477" s="1" t="str">
        <f ca="1">IFERROR(__xludf.DUMMYFUNCTION("""COMPUTED_VALUE"""),"PARTY CONE CHRISTMAS DECORATION")</f>
        <v>PARTY CONE CHRISTMAS DECORATION</v>
      </c>
      <c r="K477" s="1">
        <f ca="1">IFERROR(__xludf.DUMMYFUNCTION("""COMPUTED_VALUE"""),24)</f>
        <v>24</v>
      </c>
      <c r="L477" s="1">
        <f ca="1">IFERROR(__xludf.DUMMYFUNCTION("""COMPUTED_VALUE"""),0.85)</f>
        <v>0.85</v>
      </c>
      <c r="T477" s="1">
        <f ca="1">IFERROR(__xludf.DUMMYFUNCTION("""COMPUTED_VALUE"""),489522)</f>
        <v>489522</v>
      </c>
      <c r="U477" s="1">
        <f ca="1">IFERROR(__xludf.DUMMYFUNCTION("""COMPUTED_VALUE"""),20.4)</f>
        <v>20.399999999999999</v>
      </c>
    </row>
    <row r="478" spans="1:21" ht="12.75" x14ac:dyDescent="0.2">
      <c r="A478" s="3">
        <f ca="1">IFERROR(__xludf.DUMMYFUNCTION("""COMPUTED_VALUE"""),40148.4895833333)</f>
        <v>40148.489583333299</v>
      </c>
      <c r="B478" s="1">
        <f ca="1">IFERROR(__xludf.DUMMYFUNCTION("""COMPUTED_VALUE"""),1.69)</f>
        <v>1.69</v>
      </c>
      <c r="E478" s="1" t="str">
        <f ca="1">IFERROR(__xludf.DUMMYFUNCTION("""COMPUTED_VALUE"""),"CHOCOLATE HOT WATER BOTTLE")</f>
        <v>CHOCOLATE HOT WATER BOTTLE</v>
      </c>
      <c r="F478" s="1">
        <f ca="1">IFERROR(__xludf.DUMMYFUNCTION("""COMPUTED_VALUE"""),1)</f>
        <v>1</v>
      </c>
      <c r="G478" s="1">
        <f ca="1">IFERROR(__xludf.DUMMYFUNCTION("""COMPUTED_VALUE"""),4.95)</f>
        <v>4.95</v>
      </c>
      <c r="J478" s="1" t="str">
        <f ca="1">IFERROR(__xludf.DUMMYFUNCTION("""COMPUTED_VALUE"""),"CAMOUFLAGE LED TORCH")</f>
        <v>CAMOUFLAGE LED TORCH</v>
      </c>
      <c r="K478" s="1">
        <f ca="1">IFERROR(__xludf.DUMMYFUNCTION("""COMPUTED_VALUE"""),12)</f>
        <v>12</v>
      </c>
      <c r="L478" s="1">
        <f ca="1">IFERROR(__xludf.DUMMYFUNCTION("""COMPUTED_VALUE"""),1.69)</f>
        <v>1.69</v>
      </c>
      <c r="T478" s="1">
        <f ca="1">IFERROR(__xludf.DUMMYFUNCTION("""COMPUTED_VALUE"""),489522)</f>
        <v>489522</v>
      </c>
      <c r="U478" s="1">
        <f ca="1">IFERROR(__xludf.DUMMYFUNCTION("""COMPUTED_VALUE"""),20.28)</f>
        <v>20.28</v>
      </c>
    </row>
    <row r="479" spans="1:21" ht="12.75" x14ac:dyDescent="0.2">
      <c r="A479" s="3">
        <f ca="1">IFERROR(__xludf.DUMMYFUNCTION("""COMPUTED_VALUE"""),40148.4895833333)</f>
        <v>40148.489583333299</v>
      </c>
      <c r="B479" s="1">
        <f ca="1">IFERROR(__xludf.DUMMYFUNCTION("""COMPUTED_VALUE"""),0.85)</f>
        <v>0.85</v>
      </c>
      <c r="E479" s="1" t="str">
        <f ca="1">IFERROR(__xludf.DUMMYFUNCTION("""COMPUTED_VALUE"""),"SCOTTIE DOG HOT WATER BOTTLE")</f>
        <v>SCOTTIE DOG HOT WATER BOTTLE</v>
      </c>
      <c r="F479" s="1">
        <f ca="1">IFERROR(__xludf.DUMMYFUNCTION("""COMPUTED_VALUE"""),1)</f>
        <v>1</v>
      </c>
      <c r="G479" s="1">
        <f ca="1">IFERROR(__xludf.DUMMYFUNCTION("""COMPUTED_VALUE"""),4.95)</f>
        <v>4.95</v>
      </c>
      <c r="J479" s="1" t="str">
        <f ca="1">IFERROR(__xludf.DUMMYFUNCTION("""COMPUTED_VALUE"""),"ASSORTED TUTTI FRUTTI KEYRING")</f>
        <v>ASSORTED TUTTI FRUTTI KEYRING</v>
      </c>
      <c r="K479" s="1">
        <f ca="1">IFERROR(__xludf.DUMMYFUNCTION("""COMPUTED_VALUE"""),10)</f>
        <v>10</v>
      </c>
      <c r="L479" s="1">
        <f ca="1">IFERROR(__xludf.DUMMYFUNCTION("""COMPUTED_VALUE"""),0.85)</f>
        <v>0.85</v>
      </c>
      <c r="T479" s="1">
        <f ca="1">IFERROR(__xludf.DUMMYFUNCTION("""COMPUTED_VALUE"""),489522)</f>
        <v>489522</v>
      </c>
      <c r="U479" s="1">
        <f ca="1">IFERROR(__xludf.DUMMYFUNCTION("""COMPUTED_VALUE"""),8.5)</f>
        <v>8.5</v>
      </c>
    </row>
    <row r="480" spans="1:21" ht="12.75" x14ac:dyDescent="0.2">
      <c r="A480" s="3">
        <f ca="1">IFERROR(__xludf.DUMMYFUNCTION("""COMPUTED_VALUE"""),40148.4895833333)</f>
        <v>40148.489583333299</v>
      </c>
      <c r="B480" s="1">
        <f ca="1">IFERROR(__xludf.DUMMYFUNCTION("""COMPUTED_VALUE"""),0.85)</f>
        <v>0.85</v>
      </c>
      <c r="E480" s="1" t="str">
        <f ca="1">IFERROR(__xludf.DUMMYFUNCTION("""COMPUTED_VALUE"""),"BRIGHT BLUES RIBBONS")</f>
        <v>BRIGHT BLUES RIBBONS</v>
      </c>
      <c r="F480" s="1">
        <f ca="1">IFERROR(__xludf.DUMMYFUNCTION("""COMPUTED_VALUE"""),12)</f>
        <v>12</v>
      </c>
      <c r="G480" s="1">
        <f ca="1">IFERROR(__xludf.DUMMYFUNCTION("""COMPUTED_VALUE"""),1.25)</f>
        <v>1.25</v>
      </c>
      <c r="J480" s="1" t="str">
        <f ca="1">IFERROR(__xludf.DUMMYFUNCTION("""COMPUTED_VALUE"""),"POPCORN HOLDER , SMALL ")</f>
        <v xml:space="preserve">POPCORN HOLDER , SMALL </v>
      </c>
      <c r="K480" s="1">
        <f ca="1">IFERROR(__xludf.DUMMYFUNCTION("""COMPUTED_VALUE"""),10)</f>
        <v>10</v>
      </c>
      <c r="L480" s="1">
        <f ca="1">IFERROR(__xludf.DUMMYFUNCTION("""COMPUTED_VALUE"""),0.85)</f>
        <v>0.85</v>
      </c>
      <c r="T480" s="1">
        <f ca="1">IFERROR(__xludf.DUMMYFUNCTION("""COMPUTED_VALUE"""),489522)</f>
        <v>489522</v>
      </c>
      <c r="U480" s="1">
        <f ca="1">IFERROR(__xludf.DUMMYFUNCTION("""COMPUTED_VALUE"""),8.5)</f>
        <v>8.5</v>
      </c>
    </row>
    <row r="481" spans="1:21" ht="12.75" x14ac:dyDescent="0.2">
      <c r="A481" s="3">
        <f ca="1">IFERROR(__xludf.DUMMYFUNCTION("""COMPUTED_VALUE"""),40148.4895833333)</f>
        <v>40148.489583333299</v>
      </c>
      <c r="B481" s="1">
        <f ca="1">IFERROR(__xludf.DUMMYFUNCTION("""COMPUTED_VALUE"""),0.65)</f>
        <v>0.65</v>
      </c>
      <c r="E481" s="1" t="str">
        <f ca="1">IFERROR(__xludf.DUMMYFUNCTION("""COMPUTED_VALUE"""),"ROMANTIC PINKS RIBBONS")</f>
        <v>ROMANTIC PINKS RIBBONS</v>
      </c>
      <c r="F481" s="1">
        <f ca="1">IFERROR(__xludf.DUMMYFUNCTION("""COMPUTED_VALUE"""),12)</f>
        <v>12</v>
      </c>
      <c r="G481" s="1">
        <f ca="1">IFERROR(__xludf.DUMMYFUNCTION("""COMPUTED_VALUE"""),1.25)</f>
        <v>1.25</v>
      </c>
      <c r="J481" s="1" t="str">
        <f ca="1">IFERROR(__xludf.DUMMYFUNCTION("""COMPUTED_VALUE"""),"SET/6 RED SPOTTY PAPER CUPS")</f>
        <v>SET/6 RED SPOTTY PAPER CUPS</v>
      </c>
      <c r="K481" s="1">
        <f ca="1">IFERROR(__xludf.DUMMYFUNCTION("""COMPUTED_VALUE"""),8)</f>
        <v>8</v>
      </c>
      <c r="L481" s="1">
        <f ca="1">IFERROR(__xludf.DUMMYFUNCTION("""COMPUTED_VALUE"""),0.65)</f>
        <v>0.65</v>
      </c>
      <c r="T481" s="1">
        <f ca="1">IFERROR(__xludf.DUMMYFUNCTION("""COMPUTED_VALUE"""),489522)</f>
        <v>489522</v>
      </c>
      <c r="U481" s="1">
        <f ca="1">IFERROR(__xludf.DUMMYFUNCTION("""COMPUTED_VALUE"""),5.2)</f>
        <v>5.2</v>
      </c>
    </row>
    <row r="482" spans="1:21" ht="12.75" x14ac:dyDescent="0.2">
      <c r="A482" s="3">
        <f ca="1">IFERROR(__xludf.DUMMYFUNCTION("""COMPUTED_VALUE"""),40148.4895833333)</f>
        <v>40148.489583333299</v>
      </c>
      <c r="B482" s="1">
        <f ca="1">IFERROR(__xludf.DUMMYFUNCTION("""COMPUTED_VALUE"""),1.69)</f>
        <v>1.69</v>
      </c>
      <c r="E482" s="1" t="str">
        <f ca="1">IFERROR(__xludf.DUMMYFUNCTION("""COMPUTED_VALUE"""),"6 RIBBONS RUSTIC CHARM")</f>
        <v>6 RIBBONS RUSTIC CHARM</v>
      </c>
      <c r="F482" s="1">
        <f ca="1">IFERROR(__xludf.DUMMYFUNCTION("""COMPUTED_VALUE"""),9)</f>
        <v>9</v>
      </c>
      <c r="G482" s="1">
        <f ca="1">IFERROR(__xludf.DUMMYFUNCTION("""COMPUTED_VALUE"""),1.65)</f>
        <v>1.65</v>
      </c>
      <c r="J482" s="1" t="str">
        <f ca="1">IFERROR(__xludf.DUMMYFUNCTION("""COMPUTED_VALUE"""),"PAINTED METAL PEARS ASSORTED")</f>
        <v>PAINTED METAL PEARS ASSORTED</v>
      </c>
      <c r="K482" s="1">
        <f ca="1">IFERROR(__xludf.DUMMYFUNCTION("""COMPUTED_VALUE"""),8)</f>
        <v>8</v>
      </c>
      <c r="L482" s="1">
        <f ca="1">IFERROR(__xludf.DUMMYFUNCTION("""COMPUTED_VALUE"""),1.69)</f>
        <v>1.69</v>
      </c>
      <c r="T482" s="1">
        <f ca="1">IFERROR(__xludf.DUMMYFUNCTION("""COMPUTED_VALUE"""),489522)</f>
        <v>489522</v>
      </c>
      <c r="U482" s="1">
        <f ca="1">IFERROR(__xludf.DUMMYFUNCTION("""COMPUTED_VALUE"""),13.52)</f>
        <v>13.52</v>
      </c>
    </row>
    <row r="483" spans="1:21" ht="12.75" x14ac:dyDescent="0.2">
      <c r="A483" s="3">
        <f ca="1">IFERROR(__xludf.DUMMYFUNCTION("""COMPUTED_VALUE"""),40148.4895833333)</f>
        <v>40148.489583333299</v>
      </c>
      <c r="B483" s="1">
        <f ca="1">IFERROR(__xludf.DUMMYFUNCTION("""COMPUTED_VALUE"""),1.69)</f>
        <v>1.69</v>
      </c>
      <c r="E483" s="1" t="str">
        <f ca="1">IFERROR(__xludf.DUMMYFUNCTION("""COMPUTED_VALUE"""),"PAPER CHAIN KIT RETRO SPOT")</f>
        <v>PAPER CHAIN KIT RETRO SPOT</v>
      </c>
      <c r="F483" s="1">
        <f ca="1">IFERROR(__xludf.DUMMYFUNCTION("""COMPUTED_VALUE"""),6)</f>
        <v>6</v>
      </c>
      <c r="G483" s="1">
        <f ca="1">IFERROR(__xludf.DUMMYFUNCTION("""COMPUTED_VALUE"""),2.95)</f>
        <v>2.95</v>
      </c>
      <c r="J483" s="1" t="str">
        <f ca="1">IFERROR(__xludf.DUMMYFUNCTION("""COMPUTED_VALUE"""),"ASSORTED COLOUR BIRD ORNAMENT")</f>
        <v>ASSORTED COLOUR BIRD ORNAMENT</v>
      </c>
      <c r="K483" s="1">
        <f ca="1">IFERROR(__xludf.DUMMYFUNCTION("""COMPUTED_VALUE"""),8)</f>
        <v>8</v>
      </c>
      <c r="L483" s="1">
        <f ca="1">IFERROR(__xludf.DUMMYFUNCTION("""COMPUTED_VALUE"""),1.69)</f>
        <v>1.69</v>
      </c>
      <c r="T483" s="1">
        <f ca="1">IFERROR(__xludf.DUMMYFUNCTION("""COMPUTED_VALUE"""),489522)</f>
        <v>489522</v>
      </c>
      <c r="U483" s="1">
        <f ca="1">IFERROR(__xludf.DUMMYFUNCTION("""COMPUTED_VALUE"""),13.52)</f>
        <v>13.52</v>
      </c>
    </row>
    <row r="484" spans="1:21" ht="12.75" x14ac:dyDescent="0.2">
      <c r="A484" s="3">
        <f ca="1">IFERROR(__xludf.DUMMYFUNCTION("""COMPUTED_VALUE"""),40148.4895833333)</f>
        <v>40148.489583333299</v>
      </c>
      <c r="B484" s="1">
        <f ca="1">IFERROR(__xludf.DUMMYFUNCTION("""COMPUTED_VALUE"""),1.95)</f>
        <v>1.95</v>
      </c>
      <c r="E484" s="1" t="str">
        <f ca="1">IFERROR(__xludf.DUMMYFUNCTION("""COMPUTED_VALUE"""),"PAPER CHAIN KIT 50'S CHRISTMAS")</f>
        <v>PAPER CHAIN KIT 50'S CHRISTMAS</v>
      </c>
      <c r="F484" s="1">
        <f ca="1">IFERROR(__xludf.DUMMYFUNCTION("""COMPUTED_VALUE"""),6)</f>
        <v>6</v>
      </c>
      <c r="G484" s="1">
        <f ca="1">IFERROR(__xludf.DUMMYFUNCTION("""COMPUTED_VALUE"""),2.95)</f>
        <v>2.95</v>
      </c>
      <c r="J484" s="1" t="str">
        <f ca="1">IFERROR(__xludf.DUMMYFUNCTION("""COMPUTED_VALUE"""),"ANTIQUE GLASS HEART DECORATION")</f>
        <v>ANTIQUE GLASS HEART DECORATION</v>
      </c>
      <c r="K484" s="1">
        <f ca="1">IFERROR(__xludf.DUMMYFUNCTION("""COMPUTED_VALUE"""),7)</f>
        <v>7</v>
      </c>
      <c r="L484" s="1">
        <f ca="1">IFERROR(__xludf.DUMMYFUNCTION("""COMPUTED_VALUE"""),1.95)</f>
        <v>1.95</v>
      </c>
      <c r="T484" s="1">
        <f ca="1">IFERROR(__xludf.DUMMYFUNCTION("""COMPUTED_VALUE"""),489522)</f>
        <v>489522</v>
      </c>
      <c r="U484" s="1">
        <f ca="1">IFERROR(__xludf.DUMMYFUNCTION("""COMPUTED_VALUE"""),13.65)</f>
        <v>13.65</v>
      </c>
    </row>
    <row r="485" spans="1:21" ht="12.75" x14ac:dyDescent="0.2">
      <c r="A485" s="3">
        <f ca="1">IFERROR(__xludf.DUMMYFUNCTION("""COMPUTED_VALUE"""),40148.4895833333)</f>
        <v>40148.489583333299</v>
      </c>
      <c r="B485" s="1">
        <f ca="1">IFERROR(__xludf.DUMMYFUNCTION("""COMPUTED_VALUE"""),1.25)</f>
        <v>1.25</v>
      </c>
      <c r="E485" s="1" t="str">
        <f ca="1">IFERROR(__xludf.DUMMYFUNCTION("""COMPUTED_VALUE"""),"ROTATING SILVER ANGELS T-LIGHT HLDR")</f>
        <v>ROTATING SILVER ANGELS T-LIGHT HLDR</v>
      </c>
      <c r="F485" s="1">
        <f ca="1">IFERROR(__xludf.DUMMYFUNCTION("""COMPUTED_VALUE"""),6)</f>
        <v>6</v>
      </c>
      <c r="G485" s="1">
        <f ca="1">IFERROR(__xludf.DUMMYFUNCTION("""COMPUTED_VALUE"""),2.55)</f>
        <v>2.5499999999999998</v>
      </c>
      <c r="J485" s="1" t="str">
        <f ca="1">IFERROR(__xludf.DUMMYFUNCTION("""COMPUTED_VALUE"""),"SET/6 CHRISTMAS ICICLE T-LIGHTS")</f>
        <v>SET/6 CHRISTMAS ICICLE T-LIGHTS</v>
      </c>
      <c r="K485" s="1">
        <f ca="1">IFERROR(__xludf.DUMMYFUNCTION("""COMPUTED_VALUE"""),7)</f>
        <v>7</v>
      </c>
      <c r="L485" s="1">
        <f ca="1">IFERROR(__xludf.DUMMYFUNCTION("""COMPUTED_VALUE"""),1.25)</f>
        <v>1.25</v>
      </c>
      <c r="T485" s="1">
        <f ca="1">IFERROR(__xludf.DUMMYFUNCTION("""COMPUTED_VALUE"""),489522)</f>
        <v>489522</v>
      </c>
      <c r="U485" s="1">
        <f ca="1">IFERROR(__xludf.DUMMYFUNCTION("""COMPUTED_VALUE"""),8.75)</f>
        <v>8.75</v>
      </c>
    </row>
    <row r="486" spans="1:21" ht="12.75" x14ac:dyDescent="0.2">
      <c r="A486" s="3">
        <f ca="1">IFERROR(__xludf.DUMMYFUNCTION("""COMPUTED_VALUE"""),40148.4895833333)</f>
        <v>40148.489583333299</v>
      </c>
      <c r="B486" s="1">
        <f ca="1">IFERROR(__xludf.DUMMYFUNCTION("""COMPUTED_VALUE"""),0.85)</f>
        <v>0.85</v>
      </c>
      <c r="E486" s="1" t="str">
        <f ca="1">IFERROR(__xludf.DUMMYFUNCTION("""COMPUTED_VALUE"""),"SMALL RETRO SPOT MUG IN BOX  WHITE")</f>
        <v>SMALL RETRO SPOT MUG IN BOX  WHITE</v>
      </c>
      <c r="F486" s="1">
        <f ca="1">IFERROR(__xludf.DUMMYFUNCTION("""COMPUTED_VALUE"""),6)</f>
        <v>6</v>
      </c>
      <c r="G486" s="1">
        <f ca="1">IFERROR(__xludf.DUMMYFUNCTION("""COMPUTED_VALUE"""),3.75)</f>
        <v>3.75</v>
      </c>
      <c r="J486" s="1" t="str">
        <f ca="1">IFERROR(__xludf.DUMMYFUNCTION("""COMPUTED_VALUE"""),"COLOURING PENCILS BROWN TUBE")</f>
        <v>COLOURING PENCILS BROWN TUBE</v>
      </c>
      <c r="K486" s="1">
        <f ca="1">IFERROR(__xludf.DUMMYFUNCTION("""COMPUTED_VALUE"""),6)</f>
        <v>6</v>
      </c>
      <c r="L486" s="1">
        <f ca="1">IFERROR(__xludf.DUMMYFUNCTION("""COMPUTED_VALUE"""),0.85)</f>
        <v>0.85</v>
      </c>
      <c r="T486" s="1">
        <f ca="1">IFERROR(__xludf.DUMMYFUNCTION("""COMPUTED_VALUE"""),489522)</f>
        <v>489522</v>
      </c>
      <c r="U486" s="1">
        <f ca="1">IFERROR(__xludf.DUMMYFUNCTION("""COMPUTED_VALUE"""),5.1)</f>
        <v>5.0999999999999996</v>
      </c>
    </row>
    <row r="487" spans="1:21" ht="12.75" x14ac:dyDescent="0.2">
      <c r="A487" s="3">
        <f ca="1">IFERROR(__xludf.DUMMYFUNCTION("""COMPUTED_VALUE"""),40148.4895833333)</f>
        <v>40148.489583333299</v>
      </c>
      <c r="B487" s="1">
        <f ca="1">IFERROR(__xludf.DUMMYFUNCTION("""COMPUTED_VALUE"""),1.95)</f>
        <v>1.95</v>
      </c>
      <c r="E487" s="1" t="str">
        <f ca="1">IFERROR(__xludf.DUMMYFUNCTION("""COMPUTED_VALUE"""),"SMALL RETRO SPOT MUG IN BOX  RED")</f>
        <v>SMALL RETRO SPOT MUG IN BOX  RED</v>
      </c>
      <c r="F487" s="1">
        <f ca="1">IFERROR(__xludf.DUMMYFUNCTION("""COMPUTED_VALUE"""),6)</f>
        <v>6</v>
      </c>
      <c r="G487" s="1">
        <f ca="1">IFERROR(__xludf.DUMMYFUNCTION("""COMPUTED_VALUE"""),3.75)</f>
        <v>3.75</v>
      </c>
      <c r="J487" s="1" t="str">
        <f ca="1">IFERROR(__xludf.DUMMYFUNCTION("""COMPUTED_VALUE"""),"GEISHA GIRL CHOPSTICKS SET/5")</f>
        <v>GEISHA GIRL CHOPSTICKS SET/5</v>
      </c>
      <c r="K487" s="1">
        <f ca="1">IFERROR(__xludf.DUMMYFUNCTION("""COMPUTED_VALUE"""),6)</f>
        <v>6</v>
      </c>
      <c r="L487" s="1">
        <f ca="1">IFERROR(__xludf.DUMMYFUNCTION("""COMPUTED_VALUE"""),1.95)</f>
        <v>1.95</v>
      </c>
      <c r="T487" s="1">
        <f ca="1">IFERROR(__xludf.DUMMYFUNCTION("""COMPUTED_VALUE"""),489522)</f>
        <v>489522</v>
      </c>
      <c r="U487" s="1">
        <f ca="1">IFERROR(__xludf.DUMMYFUNCTION("""COMPUTED_VALUE"""),11.7)</f>
        <v>11.7</v>
      </c>
    </row>
    <row r="488" spans="1:21" ht="12.75" x14ac:dyDescent="0.2">
      <c r="A488" s="3">
        <f ca="1">IFERROR(__xludf.DUMMYFUNCTION("""COMPUTED_VALUE"""),40148.4895833333)</f>
        <v>40148.489583333299</v>
      </c>
      <c r="B488" s="1">
        <f ca="1">IFERROR(__xludf.DUMMYFUNCTION("""COMPUTED_VALUE"""),2.1)</f>
        <v>2.1</v>
      </c>
      <c r="E488" s="1" t="str">
        <f ca="1">IFERROR(__xludf.DUMMYFUNCTION("""COMPUTED_VALUE"""),"SCOTTIE DOG HOT WATER BOTTLE")</f>
        <v>SCOTTIE DOG HOT WATER BOTTLE</v>
      </c>
      <c r="F488" s="1">
        <f ca="1">IFERROR(__xludf.DUMMYFUNCTION("""COMPUTED_VALUE"""),3)</f>
        <v>3</v>
      </c>
      <c r="G488" s="1">
        <f ca="1">IFERROR(__xludf.DUMMYFUNCTION("""COMPUTED_VALUE"""),4.95)</f>
        <v>4.95</v>
      </c>
      <c r="J488" s="1" t="str">
        <f ca="1">IFERROR(__xludf.DUMMYFUNCTION("""COMPUTED_VALUE"""),"ASSORTED TUTTI FRUTTI NOTEBOOK")</f>
        <v>ASSORTED TUTTI FRUTTI NOTEBOOK</v>
      </c>
      <c r="K488" s="1">
        <f ca="1">IFERROR(__xludf.DUMMYFUNCTION("""COMPUTED_VALUE"""),6)</f>
        <v>6</v>
      </c>
      <c r="L488" s="1">
        <f ca="1">IFERROR(__xludf.DUMMYFUNCTION("""COMPUTED_VALUE"""),2.1)</f>
        <v>2.1</v>
      </c>
      <c r="T488" s="1">
        <f ca="1">IFERROR(__xludf.DUMMYFUNCTION("""COMPUTED_VALUE"""),489522)</f>
        <v>489522</v>
      </c>
      <c r="U488" s="1">
        <f ca="1">IFERROR(__xludf.DUMMYFUNCTION("""COMPUTED_VALUE"""),12.6)</f>
        <v>12.6</v>
      </c>
    </row>
    <row r="489" spans="1:21" ht="12.75" x14ac:dyDescent="0.2">
      <c r="A489" s="3">
        <f ca="1">IFERROR(__xludf.DUMMYFUNCTION("""COMPUTED_VALUE"""),40148.4895833333)</f>
        <v>40148.489583333299</v>
      </c>
      <c r="B489" s="1">
        <f ca="1">IFERROR(__xludf.DUMMYFUNCTION("""COMPUTED_VALUE"""),1.25)</f>
        <v>1.25</v>
      </c>
      <c r="E489" s="1" t="str">
        <f ca="1">IFERROR(__xludf.DUMMYFUNCTION("""COMPUTED_VALUE"""),"RED SPOT HEART HOT WATER BOTTLE")</f>
        <v>RED SPOT HEART HOT WATER BOTTLE</v>
      </c>
      <c r="F489" s="1">
        <f ca="1">IFERROR(__xludf.DUMMYFUNCTION("""COMPUTED_VALUE"""),3)</f>
        <v>3</v>
      </c>
      <c r="G489" s="1">
        <f ca="1">IFERROR(__xludf.DUMMYFUNCTION("""COMPUTED_VALUE"""),4.95)</f>
        <v>4.95</v>
      </c>
      <c r="J489" s="1" t="str">
        <f ca="1">IFERROR(__xludf.DUMMYFUNCTION("""COMPUTED_VALUE"""),"PARTY CONES CARNIVAL ASSORTED")</f>
        <v>PARTY CONES CARNIVAL ASSORTED</v>
      </c>
      <c r="K489" s="1">
        <f ca="1">IFERROR(__xludf.DUMMYFUNCTION("""COMPUTED_VALUE"""),6)</f>
        <v>6</v>
      </c>
      <c r="L489" s="1">
        <f ca="1">IFERROR(__xludf.DUMMYFUNCTION("""COMPUTED_VALUE"""),1.25)</f>
        <v>1.25</v>
      </c>
      <c r="T489" s="1">
        <f ca="1">IFERROR(__xludf.DUMMYFUNCTION("""COMPUTED_VALUE"""),489522)</f>
        <v>489522</v>
      </c>
      <c r="U489" s="1">
        <f ca="1">IFERROR(__xludf.DUMMYFUNCTION("""COMPUTED_VALUE"""),7.5)</f>
        <v>7.5</v>
      </c>
    </row>
    <row r="490" spans="1:21" ht="12.75" x14ac:dyDescent="0.2">
      <c r="A490" s="3">
        <f ca="1">IFERROR(__xludf.DUMMYFUNCTION("""COMPUTED_VALUE"""),40148.4895833333)</f>
        <v>40148.489583333299</v>
      </c>
      <c r="B490" s="1">
        <f ca="1">IFERROR(__xludf.DUMMYFUNCTION("""COMPUTED_VALUE"""),0.42)</f>
        <v>0.42</v>
      </c>
      <c r="E490" s="1" t="str">
        <f ca="1">IFERROR(__xludf.DUMMYFUNCTION("""COMPUTED_VALUE"""),"ZINC METAL HEART DECORATION")</f>
        <v>ZINC METAL HEART DECORATION</v>
      </c>
      <c r="F490" s="1">
        <f ca="1">IFERROR(__xludf.DUMMYFUNCTION("""COMPUTED_VALUE"""),12)</f>
        <v>12</v>
      </c>
      <c r="G490" s="1">
        <f ca="1">IFERROR(__xludf.DUMMYFUNCTION("""COMPUTED_VALUE"""),1.25)</f>
        <v>1.25</v>
      </c>
      <c r="J490" s="1" t="str">
        <f ca="1">IFERROR(__xludf.DUMMYFUNCTION("""COMPUTED_VALUE"""),"ANGEL DECORATION 3 BUTTONS")</f>
        <v>ANGEL DECORATION 3 BUTTONS</v>
      </c>
      <c r="K490" s="1">
        <f ca="1">IFERROR(__xludf.DUMMYFUNCTION("""COMPUTED_VALUE"""),6)</f>
        <v>6</v>
      </c>
      <c r="L490" s="1">
        <f ca="1">IFERROR(__xludf.DUMMYFUNCTION("""COMPUTED_VALUE"""),0.42)</f>
        <v>0.42</v>
      </c>
      <c r="T490" s="1">
        <f ca="1">IFERROR(__xludf.DUMMYFUNCTION("""COMPUTED_VALUE"""),489522)</f>
        <v>489522</v>
      </c>
      <c r="U490" s="1">
        <f ca="1">IFERROR(__xludf.DUMMYFUNCTION("""COMPUTED_VALUE"""),2.52)</f>
        <v>2.52</v>
      </c>
    </row>
    <row r="491" spans="1:21" ht="12.75" x14ac:dyDescent="0.2">
      <c r="A491" s="3">
        <f ca="1">IFERROR(__xludf.DUMMYFUNCTION("""COMPUTED_VALUE"""),40148.4895833333)</f>
        <v>40148.489583333299</v>
      </c>
      <c r="B491" s="1">
        <f ca="1">IFERROR(__xludf.DUMMYFUNCTION("""COMPUTED_VALUE"""),0.42)</f>
        <v>0.42</v>
      </c>
      <c r="E491" s="1" t="str">
        <f ca="1">IFERROR(__xludf.DUMMYFUNCTION("""COMPUTED_VALUE"""),"ANTIQUE SILVER TEA GLASS ETCHED")</f>
        <v>ANTIQUE SILVER TEA GLASS ETCHED</v>
      </c>
      <c r="F491" s="1">
        <f ca="1">IFERROR(__xludf.DUMMYFUNCTION("""COMPUTED_VALUE"""),6)</f>
        <v>6</v>
      </c>
      <c r="G491" s="1">
        <f ca="1">IFERROR(__xludf.DUMMYFUNCTION("""COMPUTED_VALUE"""),1.25)</f>
        <v>1.25</v>
      </c>
      <c r="J491" s="1" t="str">
        <f ca="1">IFERROR(__xludf.DUMMYFUNCTION("""COMPUTED_VALUE"""),"STAR DECORATION RUSTIC")</f>
        <v>STAR DECORATION RUSTIC</v>
      </c>
      <c r="K491" s="1">
        <f ca="1">IFERROR(__xludf.DUMMYFUNCTION("""COMPUTED_VALUE"""),6)</f>
        <v>6</v>
      </c>
      <c r="L491" s="1">
        <f ca="1">IFERROR(__xludf.DUMMYFUNCTION("""COMPUTED_VALUE"""),0.42)</f>
        <v>0.42</v>
      </c>
      <c r="T491" s="1">
        <f ca="1">IFERROR(__xludf.DUMMYFUNCTION("""COMPUTED_VALUE"""),489522)</f>
        <v>489522</v>
      </c>
      <c r="U491" s="1">
        <f ca="1">IFERROR(__xludf.DUMMYFUNCTION("""COMPUTED_VALUE"""),2.52)</f>
        <v>2.52</v>
      </c>
    </row>
    <row r="492" spans="1:21" ht="12.75" x14ac:dyDescent="0.2">
      <c r="A492" s="3">
        <f ca="1">IFERROR(__xludf.DUMMYFUNCTION("""COMPUTED_VALUE"""),40148.4895833333)</f>
        <v>40148.489583333299</v>
      </c>
      <c r="B492" s="1">
        <f ca="1">IFERROR(__xludf.DUMMYFUNCTION("""COMPUTED_VALUE"""),1.25)</f>
        <v>1.25</v>
      </c>
      <c r="E492" s="1" t="str">
        <f ca="1">IFERROR(__xludf.DUMMYFUNCTION("""COMPUTED_VALUE"""),"COFFEE MUG DOG + BALL DESIGN")</f>
        <v>COFFEE MUG DOG + BALL DESIGN</v>
      </c>
      <c r="F492" s="1">
        <f ca="1">IFERROR(__xludf.DUMMYFUNCTION("""COMPUTED_VALUE"""),6)</f>
        <v>6</v>
      </c>
      <c r="G492" s="1">
        <f ca="1">IFERROR(__xludf.DUMMYFUNCTION("""COMPUTED_VALUE"""),2.55)</f>
        <v>2.5499999999999998</v>
      </c>
      <c r="J492" s="1" t="str">
        <f ca="1">IFERROR(__xludf.DUMMYFUNCTION("""COMPUTED_VALUE"""),"HEART FILIGREE DOVE  SMALL")</f>
        <v>HEART FILIGREE DOVE  SMALL</v>
      </c>
      <c r="K492" s="1">
        <f ca="1">IFERROR(__xludf.DUMMYFUNCTION("""COMPUTED_VALUE"""),6)</f>
        <v>6</v>
      </c>
      <c r="L492" s="1">
        <f ca="1">IFERROR(__xludf.DUMMYFUNCTION("""COMPUTED_VALUE"""),1.25)</f>
        <v>1.25</v>
      </c>
      <c r="T492" s="1">
        <f ca="1">IFERROR(__xludf.DUMMYFUNCTION("""COMPUTED_VALUE"""),489522)</f>
        <v>489522</v>
      </c>
      <c r="U492" s="1">
        <f ca="1">IFERROR(__xludf.DUMMYFUNCTION("""COMPUTED_VALUE"""),7.5)</f>
        <v>7.5</v>
      </c>
    </row>
    <row r="493" spans="1:21" ht="12.75" x14ac:dyDescent="0.2">
      <c r="A493" s="3">
        <f ca="1">IFERROR(__xludf.DUMMYFUNCTION("""COMPUTED_VALUE"""),40148.4895833333)</f>
        <v>40148.489583333299</v>
      </c>
      <c r="B493" s="1">
        <f ca="1">IFERROR(__xludf.DUMMYFUNCTION("""COMPUTED_VALUE"""),1.69)</f>
        <v>1.69</v>
      </c>
      <c r="E493" s="1" t="str">
        <f ca="1">IFERROR(__xludf.DUMMYFUNCTION("""COMPUTED_VALUE"""),"ANTIQUE SILVER TEA GLASS ETCHED")</f>
        <v>ANTIQUE SILVER TEA GLASS ETCHED</v>
      </c>
      <c r="F493" s="1">
        <f ca="1">IFERROR(__xludf.DUMMYFUNCTION("""COMPUTED_VALUE"""),6)</f>
        <v>6</v>
      </c>
      <c r="G493" s="1">
        <f ca="1">IFERROR(__xludf.DUMMYFUNCTION("""COMPUTED_VALUE"""),1.25)</f>
        <v>1.25</v>
      </c>
      <c r="J493" s="1" t="str">
        <f ca="1">IFERROR(__xludf.DUMMYFUNCTION("""COMPUTED_VALUE"""),"PAINTED BIRD ASSORTED CHRISTMAS")</f>
        <v>PAINTED BIRD ASSORTED CHRISTMAS</v>
      </c>
      <c r="K493" s="1">
        <f ca="1">IFERROR(__xludf.DUMMYFUNCTION("""COMPUTED_VALUE"""),6)</f>
        <v>6</v>
      </c>
      <c r="L493" s="1">
        <f ca="1">IFERROR(__xludf.DUMMYFUNCTION("""COMPUTED_VALUE"""),1.69)</f>
        <v>1.69</v>
      </c>
      <c r="T493" s="1">
        <f ca="1">IFERROR(__xludf.DUMMYFUNCTION("""COMPUTED_VALUE"""),489522)</f>
        <v>489522</v>
      </c>
      <c r="U493" s="1">
        <f ca="1">IFERROR(__xludf.DUMMYFUNCTION("""COMPUTED_VALUE"""),10.14)</f>
        <v>10.14</v>
      </c>
    </row>
    <row r="494" spans="1:21" ht="12.75" x14ac:dyDescent="0.2">
      <c r="A494" s="3">
        <f ca="1">IFERROR(__xludf.DUMMYFUNCTION("""COMPUTED_VALUE"""),40148.4895833333)</f>
        <v>40148.489583333299</v>
      </c>
      <c r="B494" s="1">
        <f ca="1">IFERROR(__xludf.DUMMYFUNCTION("""COMPUTED_VALUE"""),2.55)</f>
        <v>2.5499999999999998</v>
      </c>
      <c r="E494" s="1" t="str">
        <f ca="1">IFERROR(__xludf.DUMMYFUNCTION("""COMPUTED_VALUE"""),"DAIRY MAID CERAMIC BUTTER DISH")</f>
        <v>DAIRY MAID CERAMIC BUTTER DISH</v>
      </c>
      <c r="F494" s="1">
        <f ca="1">IFERROR(__xludf.DUMMYFUNCTION("""COMPUTED_VALUE"""),2)</f>
        <v>2</v>
      </c>
      <c r="G494" s="1">
        <f ca="1">IFERROR(__xludf.DUMMYFUNCTION("""COMPUTED_VALUE"""),4.25)</f>
        <v>4.25</v>
      </c>
      <c r="J494" s="1" t="str">
        <f ca="1">IFERROR(__xludf.DUMMYFUNCTION("""COMPUTED_VALUE"""),"COSY HOUR GIANT TUBE MATCHES")</f>
        <v>COSY HOUR GIANT TUBE MATCHES</v>
      </c>
      <c r="K494" s="1">
        <f ca="1">IFERROR(__xludf.DUMMYFUNCTION("""COMPUTED_VALUE"""),6)</f>
        <v>6</v>
      </c>
      <c r="L494" s="1">
        <f ca="1">IFERROR(__xludf.DUMMYFUNCTION("""COMPUTED_VALUE"""),2.55)</f>
        <v>2.5499999999999998</v>
      </c>
      <c r="T494" s="1">
        <f ca="1">IFERROR(__xludf.DUMMYFUNCTION("""COMPUTED_VALUE"""),489522)</f>
        <v>489522</v>
      </c>
      <c r="U494" s="1">
        <f ca="1">IFERROR(__xludf.DUMMYFUNCTION("""COMPUTED_VALUE"""),15.2999999999999)</f>
        <v>15.299999999999899</v>
      </c>
    </row>
    <row r="495" spans="1:21" ht="12.75" x14ac:dyDescent="0.2">
      <c r="A495" s="3">
        <f ca="1">IFERROR(__xludf.DUMMYFUNCTION("""COMPUTED_VALUE"""),40148.4895833333)</f>
        <v>40148.489583333299</v>
      </c>
      <c r="B495" s="1">
        <f ca="1">IFERROR(__xludf.DUMMYFUNCTION("""COMPUTED_VALUE"""),0.85)</f>
        <v>0.85</v>
      </c>
      <c r="E495" s="1" t="str">
        <f ca="1">IFERROR(__xludf.DUMMYFUNCTION("""COMPUTED_VALUE"""),"FRENCH ENAMEL CANDLEHOLDER")</f>
        <v>FRENCH ENAMEL CANDLEHOLDER</v>
      </c>
      <c r="F495" s="1">
        <f ca="1">IFERROR(__xludf.DUMMYFUNCTION("""COMPUTED_VALUE"""),2)</f>
        <v>2</v>
      </c>
      <c r="G495" s="1">
        <f ca="1">IFERROR(__xludf.DUMMYFUNCTION("""COMPUTED_VALUE"""),2.1)</f>
        <v>2.1</v>
      </c>
      <c r="J495" s="1" t="str">
        <f ca="1">IFERROR(__xludf.DUMMYFUNCTION("""COMPUTED_VALUE"""),"GLITTER CHRISTMAS HEART")</f>
        <v>GLITTER CHRISTMAS HEART</v>
      </c>
      <c r="K495" s="1">
        <f ca="1">IFERROR(__xludf.DUMMYFUNCTION("""COMPUTED_VALUE"""),6)</f>
        <v>6</v>
      </c>
      <c r="L495" s="1">
        <f ca="1">IFERROR(__xludf.DUMMYFUNCTION("""COMPUTED_VALUE"""),0.85)</f>
        <v>0.85</v>
      </c>
      <c r="T495" s="1">
        <f ca="1">IFERROR(__xludf.DUMMYFUNCTION("""COMPUTED_VALUE"""),489522)</f>
        <v>489522</v>
      </c>
      <c r="U495" s="1">
        <f ca="1">IFERROR(__xludf.DUMMYFUNCTION("""COMPUTED_VALUE"""),5.1)</f>
        <v>5.0999999999999996</v>
      </c>
    </row>
    <row r="496" spans="1:21" ht="12.75" x14ac:dyDescent="0.2">
      <c r="A496" s="3">
        <f ca="1">IFERROR(__xludf.DUMMYFUNCTION("""COMPUTED_VALUE"""),40148.4895833333)</f>
        <v>40148.489583333299</v>
      </c>
      <c r="B496" s="1">
        <f ca="1">IFERROR(__xludf.DUMMYFUNCTION("""COMPUTED_VALUE"""),0.85)</f>
        <v>0.85</v>
      </c>
      <c r="E496" s="1" t="str">
        <f ca="1">IFERROR(__xludf.DUMMYFUNCTION("""COMPUTED_VALUE"""),"JOY WOODEN BLOCK LETTERS")</f>
        <v>JOY WOODEN BLOCK LETTERS</v>
      </c>
      <c r="F496" s="1">
        <f ca="1">IFERROR(__xludf.DUMMYFUNCTION("""COMPUTED_VALUE"""),2)</f>
        <v>2</v>
      </c>
      <c r="G496" s="1">
        <f ca="1">IFERROR(__xludf.DUMMYFUNCTION("""COMPUTED_VALUE"""),4.95)</f>
        <v>4.95</v>
      </c>
      <c r="J496" s="1" t="str">
        <f ca="1">IFERROR(__xludf.DUMMYFUNCTION("""COMPUTED_VALUE"""),"GLITTER CHRISTMAS STAR")</f>
        <v>GLITTER CHRISTMAS STAR</v>
      </c>
      <c r="K496" s="1">
        <f ca="1">IFERROR(__xludf.DUMMYFUNCTION("""COMPUTED_VALUE"""),6)</f>
        <v>6</v>
      </c>
      <c r="L496" s="1">
        <f ca="1">IFERROR(__xludf.DUMMYFUNCTION("""COMPUTED_VALUE"""),0.85)</f>
        <v>0.85</v>
      </c>
      <c r="T496" s="1">
        <f ca="1">IFERROR(__xludf.DUMMYFUNCTION("""COMPUTED_VALUE"""),489522)</f>
        <v>489522</v>
      </c>
      <c r="U496" s="1">
        <f ca="1">IFERROR(__xludf.DUMMYFUNCTION("""COMPUTED_VALUE"""),5.1)</f>
        <v>5.0999999999999996</v>
      </c>
    </row>
    <row r="497" spans="1:21" ht="12.75" x14ac:dyDescent="0.2">
      <c r="A497" s="3">
        <f ca="1">IFERROR(__xludf.DUMMYFUNCTION("""COMPUTED_VALUE"""),40148.4895833333)</f>
        <v>40148.489583333299</v>
      </c>
      <c r="B497" s="1">
        <f ca="1">IFERROR(__xludf.DUMMYFUNCTION("""COMPUTED_VALUE"""),0.85)</f>
        <v>0.85</v>
      </c>
      <c r="E497" s="1" t="str">
        <f ca="1">IFERROR(__xludf.DUMMYFUNCTION("""COMPUTED_VALUE"""),"CORONA MEXICAN TRAY")</f>
        <v>CORONA MEXICAN TRAY</v>
      </c>
      <c r="F497" s="1">
        <f ca="1">IFERROR(__xludf.DUMMYFUNCTION("""COMPUTED_VALUE"""),1)</f>
        <v>1</v>
      </c>
      <c r="G497" s="1">
        <f ca="1">IFERROR(__xludf.DUMMYFUNCTION("""COMPUTED_VALUE"""),3.75)</f>
        <v>3.75</v>
      </c>
      <c r="J497" s="1" t="str">
        <f ca="1">IFERROR(__xludf.DUMMYFUNCTION("""COMPUTED_VALUE"""),"GLITTER CHRISTMAS TREE")</f>
        <v>GLITTER CHRISTMAS TREE</v>
      </c>
      <c r="K497" s="1">
        <f ca="1">IFERROR(__xludf.DUMMYFUNCTION("""COMPUTED_VALUE"""),6)</f>
        <v>6</v>
      </c>
      <c r="L497" s="1">
        <f ca="1">IFERROR(__xludf.DUMMYFUNCTION("""COMPUTED_VALUE"""),0.85)</f>
        <v>0.85</v>
      </c>
      <c r="T497" s="1">
        <f ca="1">IFERROR(__xludf.DUMMYFUNCTION("""COMPUTED_VALUE"""),489522)</f>
        <v>489522</v>
      </c>
      <c r="U497" s="1">
        <f ca="1">IFERROR(__xludf.DUMMYFUNCTION("""COMPUTED_VALUE"""),5.1)</f>
        <v>5.0999999999999996</v>
      </c>
    </row>
    <row r="498" spans="1:21" ht="12.75" x14ac:dyDescent="0.2">
      <c r="A498" s="3">
        <f ca="1">IFERROR(__xludf.DUMMYFUNCTION("""COMPUTED_VALUE"""),40148.4895833333)</f>
        <v>40148.489583333299</v>
      </c>
      <c r="B498" s="1">
        <f ca="1">IFERROR(__xludf.DUMMYFUNCTION("""COMPUTED_VALUE"""),1.25)</f>
        <v>1.25</v>
      </c>
      <c r="E498" s="1" t="str">
        <f ca="1">IFERROR(__xludf.DUMMYFUNCTION("""COMPUTED_VALUE"""),"MILK PAN RED RETROSPOT")</f>
        <v>MILK PAN RED RETROSPOT</v>
      </c>
      <c r="F498" s="1">
        <f ca="1">IFERROR(__xludf.DUMMYFUNCTION("""COMPUTED_VALUE"""),1)</f>
        <v>1</v>
      </c>
      <c r="G498" s="1">
        <f ca="1">IFERROR(__xludf.DUMMYFUNCTION("""COMPUTED_VALUE"""),3.75)</f>
        <v>3.75</v>
      </c>
      <c r="J498" s="1" t="str">
        <f ca="1">IFERROR(__xludf.DUMMYFUNCTION("""COMPUTED_VALUE"""),"COLOURING PENCILS BROWN TUBE")</f>
        <v>COLOURING PENCILS BROWN TUBE</v>
      </c>
      <c r="K498" s="1">
        <f ca="1">IFERROR(__xludf.DUMMYFUNCTION("""COMPUTED_VALUE"""),6)</f>
        <v>6</v>
      </c>
      <c r="L498" s="1">
        <f ca="1">IFERROR(__xludf.DUMMYFUNCTION("""COMPUTED_VALUE"""),1.25)</f>
        <v>1.25</v>
      </c>
      <c r="T498" s="1">
        <f ca="1">IFERROR(__xludf.DUMMYFUNCTION("""COMPUTED_VALUE"""),489522)</f>
        <v>489522</v>
      </c>
      <c r="U498" s="1">
        <f ca="1">IFERROR(__xludf.DUMMYFUNCTION("""COMPUTED_VALUE"""),7.5)</f>
        <v>7.5</v>
      </c>
    </row>
    <row r="499" spans="1:21" ht="12.75" x14ac:dyDescent="0.2">
      <c r="A499" s="3">
        <f ca="1">IFERROR(__xludf.DUMMYFUNCTION("""COMPUTED_VALUE"""),40148.4895833333)</f>
        <v>40148.489583333299</v>
      </c>
      <c r="B499" s="1">
        <f ca="1">IFERROR(__xludf.DUMMYFUNCTION("""COMPUTED_VALUE"""),1.25)</f>
        <v>1.25</v>
      </c>
      <c r="E499" s="1" t="str">
        <f ca="1">IFERROR(__xludf.DUMMYFUNCTION("""COMPUTED_VALUE"""),"RETRO SPOT SMALL MILK JUG")</f>
        <v>RETRO SPOT SMALL MILK JUG</v>
      </c>
      <c r="F499" s="1">
        <f ca="1">IFERROR(__xludf.DUMMYFUNCTION("""COMPUTED_VALUE"""),1)</f>
        <v>1</v>
      </c>
      <c r="G499" s="1">
        <f ca="1">IFERROR(__xludf.DUMMYFUNCTION("""COMPUTED_VALUE"""),2.55)</f>
        <v>2.5499999999999998</v>
      </c>
      <c r="J499" s="1" t="str">
        <f ca="1">IFERROR(__xludf.DUMMYFUNCTION("""COMPUTED_VALUE"""),"SET OF 6 CAKE CHOPSTICKS")</f>
        <v>SET OF 6 CAKE CHOPSTICKS</v>
      </c>
      <c r="K499" s="1">
        <f ca="1">IFERROR(__xludf.DUMMYFUNCTION("""COMPUTED_VALUE"""),6)</f>
        <v>6</v>
      </c>
      <c r="L499" s="1">
        <f ca="1">IFERROR(__xludf.DUMMYFUNCTION("""COMPUTED_VALUE"""),1.25)</f>
        <v>1.25</v>
      </c>
      <c r="T499" s="1">
        <f ca="1">IFERROR(__xludf.DUMMYFUNCTION("""COMPUTED_VALUE"""),489522)</f>
        <v>489522</v>
      </c>
      <c r="U499" s="1">
        <f ca="1">IFERROR(__xludf.DUMMYFUNCTION("""COMPUTED_VALUE"""),7.5)</f>
        <v>7.5</v>
      </c>
    </row>
    <row r="500" spans="1:21" ht="12.75" x14ac:dyDescent="0.2">
      <c r="A500" s="3">
        <f ca="1">IFERROR(__xludf.DUMMYFUNCTION("""COMPUTED_VALUE"""),40148.4895833333)</f>
        <v>40148.489583333299</v>
      </c>
      <c r="B500" s="1">
        <f ca="1">IFERROR(__xludf.DUMMYFUNCTION("""COMPUTED_VALUE"""),1.65)</f>
        <v>1.65</v>
      </c>
      <c r="E500" s="1" t="str">
        <f ca="1">IFERROR(__xludf.DUMMYFUNCTION("""COMPUTED_VALUE"""),"DAIRY MAID  PUDDING BOWL")</f>
        <v>DAIRY MAID  PUDDING BOWL</v>
      </c>
      <c r="F500" s="1">
        <f ca="1">IFERROR(__xludf.DUMMYFUNCTION("""COMPUTED_VALUE"""),1)</f>
        <v>1</v>
      </c>
      <c r="G500" s="1">
        <f ca="1">IFERROR(__xludf.DUMMYFUNCTION("""COMPUTED_VALUE"""),3.75)</f>
        <v>3.75</v>
      </c>
      <c r="J500" s="1" t="str">
        <f ca="1">IFERROR(__xludf.DUMMYFUNCTION("""COMPUTED_VALUE"""),"MIRROR MOSAIC T-LIGHT HOLDER ROUND")</f>
        <v>MIRROR MOSAIC T-LIGHT HOLDER ROUND</v>
      </c>
      <c r="K500" s="1">
        <f ca="1">IFERROR(__xludf.DUMMYFUNCTION("""COMPUTED_VALUE"""),6)</f>
        <v>6</v>
      </c>
      <c r="L500" s="1">
        <f ca="1">IFERROR(__xludf.DUMMYFUNCTION("""COMPUTED_VALUE"""),1.65)</f>
        <v>1.65</v>
      </c>
      <c r="T500" s="1">
        <f ca="1">IFERROR(__xludf.DUMMYFUNCTION("""COMPUTED_VALUE"""),489522)</f>
        <v>489522</v>
      </c>
      <c r="U500" s="1">
        <f ca="1">IFERROR(__xludf.DUMMYFUNCTION("""COMPUTED_VALUE"""),9.89999999999999)</f>
        <v>9.8999999999999897</v>
      </c>
    </row>
    <row r="501" spans="1:21" ht="12.75" x14ac:dyDescent="0.2">
      <c r="A501" s="3">
        <f ca="1">IFERROR(__xludf.DUMMYFUNCTION("""COMPUTED_VALUE"""),40148.4895833333)</f>
        <v>40148.489583333299</v>
      </c>
      <c r="B501" s="1">
        <f ca="1">IFERROR(__xludf.DUMMYFUNCTION("""COMPUTED_VALUE"""),0.85)</f>
        <v>0.85</v>
      </c>
      <c r="E501" s="1" t="str">
        <f ca="1">IFERROR(__xludf.DUMMYFUNCTION("""COMPUTED_VALUE"""),"RETRO SPOT STORAGE JAR")</f>
        <v>RETRO SPOT STORAGE JAR</v>
      </c>
      <c r="F501" s="1">
        <f ca="1">IFERROR(__xludf.DUMMYFUNCTION("""COMPUTED_VALUE"""),1)</f>
        <v>1</v>
      </c>
      <c r="G501" s="1">
        <f ca="1">IFERROR(__xludf.DUMMYFUNCTION("""COMPUTED_VALUE"""),3.75)</f>
        <v>3.75</v>
      </c>
      <c r="J501" s="1" t="str">
        <f ca="1">IFERROR(__xludf.DUMMYFUNCTION("""COMPUTED_VALUE"""),"WHITE WITH BLACK CATS MUG")</f>
        <v>WHITE WITH BLACK CATS MUG</v>
      </c>
      <c r="K501" s="1">
        <f ca="1">IFERROR(__xludf.DUMMYFUNCTION("""COMPUTED_VALUE"""),6)</f>
        <v>6</v>
      </c>
      <c r="L501" s="1">
        <f ca="1">IFERROR(__xludf.DUMMYFUNCTION("""COMPUTED_VALUE"""),0.85)</f>
        <v>0.85</v>
      </c>
      <c r="T501" s="1">
        <f ca="1">IFERROR(__xludf.DUMMYFUNCTION("""COMPUTED_VALUE"""),489522)</f>
        <v>489522</v>
      </c>
      <c r="U501" s="1">
        <f ca="1">IFERROR(__xludf.DUMMYFUNCTION("""COMPUTED_VALUE"""),5.1)</f>
        <v>5.0999999999999996</v>
      </c>
    </row>
    <row r="502" spans="1:21" ht="12.75" x14ac:dyDescent="0.2">
      <c r="A502" s="3">
        <f ca="1">IFERROR(__xludf.DUMMYFUNCTION("""COMPUTED_VALUE"""),40148.4895833333)</f>
        <v>40148.489583333299</v>
      </c>
      <c r="B502" s="1">
        <f ca="1">IFERROR(__xludf.DUMMYFUNCTION("""COMPUTED_VALUE"""),6.75)</f>
        <v>6.75</v>
      </c>
      <c r="E502" s="1" t="str">
        <f ca="1">IFERROR(__xludf.DUMMYFUNCTION("""COMPUTED_VALUE"""),"DAIRY MAID LARGE MILK JUG")</f>
        <v>DAIRY MAID LARGE MILK JUG</v>
      </c>
      <c r="F502" s="1">
        <f ca="1">IFERROR(__xludf.DUMMYFUNCTION("""COMPUTED_VALUE"""),1)</f>
        <v>1</v>
      </c>
      <c r="G502" s="1">
        <f ca="1">IFERROR(__xludf.DUMMYFUNCTION("""COMPUTED_VALUE"""),4.95)</f>
        <v>4.95</v>
      </c>
      <c r="J502" s="1" t="str">
        <f ca="1">IFERROR(__xludf.DUMMYFUNCTION("""COMPUTED_VALUE"""),"WILLOW BRANCH LIGHTS.")</f>
        <v>WILLOW BRANCH LIGHTS.</v>
      </c>
      <c r="K502" s="1">
        <f ca="1">IFERROR(__xludf.DUMMYFUNCTION("""COMPUTED_VALUE"""),6)</f>
        <v>6</v>
      </c>
      <c r="L502" s="1">
        <f ca="1">IFERROR(__xludf.DUMMYFUNCTION("""COMPUTED_VALUE"""),6.75)</f>
        <v>6.75</v>
      </c>
      <c r="T502" s="1">
        <f ca="1">IFERROR(__xludf.DUMMYFUNCTION("""COMPUTED_VALUE"""),489522)</f>
        <v>489522</v>
      </c>
      <c r="U502" s="1">
        <f ca="1">IFERROR(__xludf.DUMMYFUNCTION("""COMPUTED_VALUE"""),40.5)</f>
        <v>40.5</v>
      </c>
    </row>
    <row r="503" spans="1:21" ht="12.75" x14ac:dyDescent="0.2">
      <c r="A503" s="3">
        <f ca="1">IFERROR(__xludf.DUMMYFUNCTION("""COMPUTED_VALUE"""),40148.4895833333)</f>
        <v>40148.489583333299</v>
      </c>
      <c r="B503" s="1">
        <f ca="1">IFERROR(__xludf.DUMMYFUNCTION("""COMPUTED_VALUE"""),1.65)</f>
        <v>1.65</v>
      </c>
      <c r="E503" s="1" t="str">
        <f ca="1">IFERROR(__xludf.DUMMYFUNCTION("""COMPUTED_VALUE"""),"RETRO SPOT STORAGE JAR")</f>
        <v>RETRO SPOT STORAGE JAR</v>
      </c>
      <c r="F503" s="1">
        <f ca="1">IFERROR(__xludf.DUMMYFUNCTION("""COMPUTED_VALUE"""),1)</f>
        <v>1</v>
      </c>
      <c r="G503" s="1">
        <f ca="1">IFERROR(__xludf.DUMMYFUNCTION("""COMPUTED_VALUE"""),3.75)</f>
        <v>3.75</v>
      </c>
      <c r="J503" s="1" t="str">
        <f ca="1">IFERROR(__xludf.DUMMYFUNCTION("""COMPUTED_VALUE"""),"CHOCOLATE CALCULATOR")</f>
        <v>CHOCOLATE CALCULATOR</v>
      </c>
      <c r="K503" s="1">
        <f ca="1">IFERROR(__xludf.DUMMYFUNCTION("""COMPUTED_VALUE"""),5)</f>
        <v>5</v>
      </c>
      <c r="L503" s="1">
        <f ca="1">IFERROR(__xludf.DUMMYFUNCTION("""COMPUTED_VALUE"""),1.65)</f>
        <v>1.65</v>
      </c>
      <c r="T503" s="1">
        <f ca="1">IFERROR(__xludf.DUMMYFUNCTION("""COMPUTED_VALUE"""),489522)</f>
        <v>489522</v>
      </c>
      <c r="U503" s="1">
        <f ca="1">IFERROR(__xludf.DUMMYFUNCTION("""COMPUTED_VALUE"""),8.25)</f>
        <v>8.25</v>
      </c>
    </row>
    <row r="504" spans="1:21" ht="12.75" x14ac:dyDescent="0.2">
      <c r="A504" s="3">
        <f ca="1">IFERROR(__xludf.DUMMYFUNCTION("""COMPUTED_VALUE"""),40148.4895833333)</f>
        <v>40148.489583333299</v>
      </c>
      <c r="B504" s="1">
        <f ca="1">IFERROR(__xludf.DUMMYFUNCTION("""COMPUTED_VALUE"""),3.45)</f>
        <v>3.45</v>
      </c>
      <c r="E504" s="1" t="str">
        <f ca="1">IFERROR(__xludf.DUMMYFUNCTION("""COMPUTED_VALUE"""),"RETRO SPOT LARGE MILK JUG")</f>
        <v>RETRO SPOT LARGE MILK JUG</v>
      </c>
      <c r="F504" s="1">
        <f ca="1">IFERROR(__xludf.DUMMYFUNCTION("""COMPUTED_VALUE"""),1)</f>
        <v>1</v>
      </c>
      <c r="G504" s="1">
        <f ca="1">IFERROR(__xludf.DUMMYFUNCTION("""COMPUTED_VALUE"""),4.95)</f>
        <v>4.95</v>
      </c>
      <c r="J504" s="1" t="str">
        <f ca="1">IFERROR(__xludf.DUMMYFUNCTION("""COMPUTED_VALUE"""),"GREY HEART HOT WATER BOTTLE")</f>
        <v>GREY HEART HOT WATER BOTTLE</v>
      </c>
      <c r="K504" s="1">
        <f ca="1">IFERROR(__xludf.DUMMYFUNCTION("""COMPUTED_VALUE"""),4)</f>
        <v>4</v>
      </c>
      <c r="L504" s="1">
        <f ca="1">IFERROR(__xludf.DUMMYFUNCTION("""COMPUTED_VALUE"""),3.45)</f>
        <v>3.45</v>
      </c>
      <c r="T504" s="1">
        <f ca="1">IFERROR(__xludf.DUMMYFUNCTION("""COMPUTED_VALUE"""),489522)</f>
        <v>489522</v>
      </c>
      <c r="U504" s="1">
        <f ca="1">IFERROR(__xludf.DUMMYFUNCTION("""COMPUTED_VALUE"""),13.8)</f>
        <v>13.8</v>
      </c>
    </row>
    <row r="505" spans="1:21" ht="12.75" x14ac:dyDescent="0.2">
      <c r="A505" s="3">
        <f ca="1">IFERROR(__xludf.DUMMYFUNCTION("""COMPUTED_VALUE"""),40148.4895833333)</f>
        <v>40148.489583333299</v>
      </c>
      <c r="B505" s="1">
        <f ca="1">IFERROR(__xludf.DUMMYFUNCTION("""COMPUTED_VALUE"""),1.25)</f>
        <v>1.25</v>
      </c>
      <c r="E505" s="1" t="str">
        <f ca="1">IFERROR(__xludf.DUMMYFUNCTION("""COMPUTED_VALUE"""),"JOY WOODEN BLOCK LETTERS")</f>
        <v>JOY WOODEN BLOCK LETTERS</v>
      </c>
      <c r="F505" s="1">
        <f ca="1">IFERROR(__xludf.DUMMYFUNCTION("""COMPUTED_VALUE"""),1)</f>
        <v>1</v>
      </c>
      <c r="G505" s="1">
        <f ca="1">IFERROR(__xludf.DUMMYFUNCTION("""COMPUTED_VALUE"""),4.95)</f>
        <v>4.95</v>
      </c>
      <c r="J505" s="1" t="str">
        <f ca="1">IFERROR(__xludf.DUMMYFUNCTION("""COMPUTED_VALUE"""),"RATTLE SNAKE EGGS")</f>
        <v>RATTLE SNAKE EGGS</v>
      </c>
      <c r="K505" s="1">
        <f ca="1">IFERROR(__xludf.DUMMYFUNCTION("""COMPUTED_VALUE"""),4)</f>
        <v>4</v>
      </c>
      <c r="L505" s="1">
        <f ca="1">IFERROR(__xludf.DUMMYFUNCTION("""COMPUTED_VALUE"""),1.25)</f>
        <v>1.25</v>
      </c>
      <c r="T505" s="1">
        <f ca="1">IFERROR(__xludf.DUMMYFUNCTION("""COMPUTED_VALUE"""),489522)</f>
        <v>489522</v>
      </c>
      <c r="U505" s="1">
        <f ca="1">IFERROR(__xludf.DUMMYFUNCTION("""COMPUTED_VALUE"""),5)</f>
        <v>5</v>
      </c>
    </row>
    <row r="506" spans="1:21" ht="12.75" x14ac:dyDescent="0.2">
      <c r="A506" s="3">
        <f ca="1">IFERROR(__xludf.DUMMYFUNCTION("""COMPUTED_VALUE"""),40148.4895833333)</f>
        <v>40148.489583333299</v>
      </c>
      <c r="B506" s="1">
        <f ca="1">IFERROR(__xludf.DUMMYFUNCTION("""COMPUTED_VALUE"""),2.55)</f>
        <v>2.5499999999999998</v>
      </c>
      <c r="E506" s="1" t="str">
        <f ca="1">IFERROR(__xludf.DUMMYFUNCTION("""COMPUTED_VALUE"""),"VINTAGE HEADS AND TAILS CARD GAME")</f>
        <v>VINTAGE HEADS AND TAILS CARD GAME</v>
      </c>
      <c r="F506" s="1">
        <f ca="1">IFERROR(__xludf.DUMMYFUNCTION("""COMPUTED_VALUE"""),6)</f>
        <v>6</v>
      </c>
      <c r="G506" s="1">
        <f ca="1">IFERROR(__xludf.DUMMYFUNCTION("""COMPUTED_VALUE"""),1.25)</f>
        <v>1.25</v>
      </c>
      <c r="J506" s="1" t="str">
        <f ca="1">IFERROR(__xludf.DUMMYFUNCTION("""COMPUTED_VALUE"""),"KINGS CHOICE GIANT TUBE MATCHES")</f>
        <v>KINGS CHOICE GIANT TUBE MATCHES</v>
      </c>
      <c r="K506" s="1">
        <f ca="1">IFERROR(__xludf.DUMMYFUNCTION("""COMPUTED_VALUE"""),4)</f>
        <v>4</v>
      </c>
      <c r="L506" s="1">
        <f ca="1">IFERROR(__xludf.DUMMYFUNCTION("""COMPUTED_VALUE"""),2.55)</f>
        <v>2.5499999999999998</v>
      </c>
      <c r="T506" s="1">
        <f ca="1">IFERROR(__xludf.DUMMYFUNCTION("""COMPUTED_VALUE"""),489522)</f>
        <v>489522</v>
      </c>
      <c r="U506" s="1">
        <f ca="1">IFERROR(__xludf.DUMMYFUNCTION("""COMPUTED_VALUE"""),10.2)</f>
        <v>10.199999999999999</v>
      </c>
    </row>
    <row r="507" spans="1:21" ht="12.75" x14ac:dyDescent="0.2">
      <c r="A507" s="3">
        <f ca="1">IFERROR(__xludf.DUMMYFUNCTION("""COMPUTED_VALUE"""),40148.4895833333)</f>
        <v>40148.489583333299</v>
      </c>
      <c r="B507" s="1">
        <f ca="1">IFERROR(__xludf.DUMMYFUNCTION("""COMPUTED_VALUE"""),5.95)</f>
        <v>5.95</v>
      </c>
      <c r="E507" s="1" t="str">
        <f ca="1">IFERROR(__xludf.DUMMYFUNCTION("""COMPUTED_VALUE"""),"ANTIQUE SILVER TEA GLASS ETCHED")</f>
        <v>ANTIQUE SILVER TEA GLASS ETCHED</v>
      </c>
      <c r="F507" s="1">
        <f ca="1">IFERROR(__xludf.DUMMYFUNCTION("""COMPUTED_VALUE"""),6)</f>
        <v>6</v>
      </c>
      <c r="G507" s="1">
        <f ca="1">IFERROR(__xludf.DUMMYFUNCTION("""COMPUTED_VALUE"""),1.25)</f>
        <v>1.25</v>
      </c>
      <c r="J507" s="1" t="str">
        <f ca="1">IFERROR(__xludf.DUMMYFUNCTION("""COMPUTED_VALUE"""),"UNION JACK HOT WATER BOTTLE")</f>
        <v>UNION JACK HOT WATER BOTTLE</v>
      </c>
      <c r="K507" s="1">
        <f ca="1">IFERROR(__xludf.DUMMYFUNCTION("""COMPUTED_VALUE"""),4)</f>
        <v>4</v>
      </c>
      <c r="L507" s="1">
        <f ca="1">IFERROR(__xludf.DUMMYFUNCTION("""COMPUTED_VALUE"""),5.95)</f>
        <v>5.95</v>
      </c>
      <c r="T507" s="1">
        <f ca="1">IFERROR(__xludf.DUMMYFUNCTION("""COMPUTED_VALUE"""),489522)</f>
        <v>489522</v>
      </c>
      <c r="U507" s="1">
        <f ca="1">IFERROR(__xludf.DUMMYFUNCTION("""COMPUTED_VALUE"""),23.8)</f>
        <v>23.8</v>
      </c>
    </row>
    <row r="508" spans="1:21" ht="12.75" x14ac:dyDescent="0.2">
      <c r="A508" s="3">
        <f ca="1">IFERROR(__xludf.DUMMYFUNCTION("""COMPUTED_VALUE"""),40148.4895833333)</f>
        <v>40148.489583333299</v>
      </c>
      <c r="B508" s="1">
        <f ca="1">IFERROR(__xludf.DUMMYFUNCTION("""COMPUTED_VALUE"""),0.85)</f>
        <v>0.85</v>
      </c>
      <c r="E508" s="1" t="str">
        <f ca="1">IFERROR(__xludf.DUMMYFUNCTION("""COMPUTED_VALUE"""),"JUMBO STORAGE BAG SUKI")</f>
        <v>JUMBO STORAGE BAG SUKI</v>
      </c>
      <c r="F508" s="1">
        <f ca="1">IFERROR(__xludf.DUMMYFUNCTION("""COMPUTED_VALUE"""),5)</f>
        <v>5</v>
      </c>
      <c r="G508" s="1">
        <f ca="1">IFERROR(__xludf.DUMMYFUNCTION("""COMPUTED_VALUE"""),1.95)</f>
        <v>1.95</v>
      </c>
      <c r="J508" s="1" t="str">
        <f ca="1">IFERROR(__xludf.DUMMYFUNCTION("""COMPUTED_VALUE"""),"SET/6 RED SPOTTY PAPER PLATES")</f>
        <v>SET/6 RED SPOTTY PAPER PLATES</v>
      </c>
      <c r="K508" s="1">
        <f ca="1">IFERROR(__xludf.DUMMYFUNCTION("""COMPUTED_VALUE"""),4)</f>
        <v>4</v>
      </c>
      <c r="L508" s="1">
        <f ca="1">IFERROR(__xludf.DUMMYFUNCTION("""COMPUTED_VALUE"""),0.85)</f>
        <v>0.85</v>
      </c>
      <c r="T508" s="1">
        <f ca="1">IFERROR(__xludf.DUMMYFUNCTION("""COMPUTED_VALUE"""),489522)</f>
        <v>489522</v>
      </c>
      <c r="U508" s="1">
        <f ca="1">IFERROR(__xludf.DUMMYFUNCTION("""COMPUTED_VALUE"""),3.4)</f>
        <v>3.4</v>
      </c>
    </row>
    <row r="509" spans="1:21" ht="12.75" x14ac:dyDescent="0.2">
      <c r="A509" s="3">
        <f ca="1">IFERROR(__xludf.DUMMYFUNCTION("""COMPUTED_VALUE"""),40148.4895833333)</f>
        <v>40148.489583333299</v>
      </c>
      <c r="B509" s="1">
        <f ca="1">IFERROR(__xludf.DUMMYFUNCTION("""COMPUTED_VALUE"""),0.85)</f>
        <v>0.85</v>
      </c>
      <c r="E509" s="1" t="str">
        <f ca="1">IFERROR(__xludf.DUMMYFUNCTION("""COMPUTED_VALUE"""),"JUMBO BAG RED WHITE SPOTTY")</f>
        <v>JUMBO BAG RED WHITE SPOTTY</v>
      </c>
      <c r="F509" s="1">
        <f ca="1">IFERROR(__xludf.DUMMYFUNCTION("""COMPUTED_VALUE"""),5)</f>
        <v>5</v>
      </c>
      <c r="G509" s="1">
        <f ca="1">IFERROR(__xludf.DUMMYFUNCTION("""COMPUTED_VALUE"""),1.95)</f>
        <v>1.95</v>
      </c>
      <c r="J509" s="1" t="str">
        <f ca="1">IFERROR(__xludf.DUMMYFUNCTION("""COMPUTED_VALUE"""),"RED SPOTTY CUP")</f>
        <v>RED SPOTTY CUP</v>
      </c>
      <c r="K509" s="1">
        <f ca="1">IFERROR(__xludf.DUMMYFUNCTION("""COMPUTED_VALUE"""),4)</f>
        <v>4</v>
      </c>
      <c r="L509" s="1">
        <f ca="1">IFERROR(__xludf.DUMMYFUNCTION("""COMPUTED_VALUE"""),0.85)</f>
        <v>0.85</v>
      </c>
      <c r="T509" s="1">
        <f ca="1">IFERROR(__xludf.DUMMYFUNCTION("""COMPUTED_VALUE"""),489522)</f>
        <v>489522</v>
      </c>
      <c r="U509" s="1">
        <f ca="1">IFERROR(__xludf.DUMMYFUNCTION("""COMPUTED_VALUE"""),3.4)</f>
        <v>3.4</v>
      </c>
    </row>
    <row r="510" spans="1:21" ht="12.75" x14ac:dyDescent="0.2">
      <c r="A510" s="3">
        <f ca="1">IFERROR(__xludf.DUMMYFUNCTION("""COMPUTED_VALUE"""),40148.4895833333)</f>
        <v>40148.489583333299</v>
      </c>
      <c r="B510" s="1">
        <f ca="1">IFERROR(__xludf.DUMMYFUNCTION("""COMPUTED_VALUE"""),0.85)</f>
        <v>0.85</v>
      </c>
      <c r="E510" s="1" t="str">
        <f ca="1">IFERROR(__xludf.DUMMYFUNCTION("""COMPUTED_VALUE"""),"LUNCH BAG CARS BLUE")</f>
        <v>LUNCH BAG CARS BLUE</v>
      </c>
      <c r="F510" s="1">
        <f ca="1">IFERROR(__xludf.DUMMYFUNCTION("""COMPUTED_VALUE"""),4)</f>
        <v>4</v>
      </c>
      <c r="G510" s="1">
        <f ca="1">IFERROR(__xludf.DUMMYFUNCTION("""COMPUTED_VALUE"""),1.65)</f>
        <v>1.65</v>
      </c>
      <c r="J510" s="1" t="str">
        <f ca="1">IFERROR(__xludf.DUMMYFUNCTION("""COMPUTED_VALUE"""),"BLUE  SPOTTY CUP")</f>
        <v>BLUE  SPOTTY CUP</v>
      </c>
      <c r="K510" s="1">
        <f ca="1">IFERROR(__xludf.DUMMYFUNCTION("""COMPUTED_VALUE"""),4)</f>
        <v>4</v>
      </c>
      <c r="L510" s="1">
        <f ca="1">IFERROR(__xludf.DUMMYFUNCTION("""COMPUTED_VALUE"""),0.85)</f>
        <v>0.85</v>
      </c>
      <c r="T510" s="1">
        <f ca="1">IFERROR(__xludf.DUMMYFUNCTION("""COMPUTED_VALUE"""),489522)</f>
        <v>489522</v>
      </c>
      <c r="U510" s="1">
        <f ca="1">IFERROR(__xludf.DUMMYFUNCTION("""COMPUTED_VALUE"""),3.4)</f>
        <v>3.4</v>
      </c>
    </row>
    <row r="511" spans="1:21" ht="12.75" x14ac:dyDescent="0.2">
      <c r="A511" s="3">
        <f ca="1">IFERROR(__xludf.DUMMYFUNCTION("""COMPUTED_VALUE"""),40148.4895833333)</f>
        <v>40148.489583333299</v>
      </c>
      <c r="B511" s="1">
        <f ca="1">IFERROR(__xludf.DUMMYFUNCTION("""COMPUTED_VALUE"""),0.85)</f>
        <v>0.85</v>
      </c>
      <c r="E511" s="1" t="str">
        <f ca="1">IFERROR(__xludf.DUMMYFUNCTION("""COMPUTED_VALUE"""),"PINK DOUGHNUT TRINKET POT")</f>
        <v>PINK DOUGHNUT TRINKET POT</v>
      </c>
      <c r="F511" s="1">
        <f ca="1">IFERROR(__xludf.DUMMYFUNCTION("""COMPUTED_VALUE"""),4)</f>
        <v>4</v>
      </c>
      <c r="G511" s="1">
        <f ca="1">IFERROR(__xludf.DUMMYFUNCTION("""COMPUTED_VALUE"""),1.65)</f>
        <v>1.65</v>
      </c>
      <c r="J511" s="1" t="str">
        <f ca="1">IFERROR(__xludf.DUMMYFUNCTION("""COMPUTED_VALUE"""),"PINK  SPOTTY CUP")</f>
        <v>PINK  SPOTTY CUP</v>
      </c>
      <c r="K511" s="1">
        <f ca="1">IFERROR(__xludf.DUMMYFUNCTION("""COMPUTED_VALUE"""),4)</f>
        <v>4</v>
      </c>
      <c r="L511" s="1">
        <f ca="1">IFERROR(__xludf.DUMMYFUNCTION("""COMPUTED_VALUE"""),0.85)</f>
        <v>0.85</v>
      </c>
      <c r="T511" s="1">
        <f ca="1">IFERROR(__xludf.DUMMYFUNCTION("""COMPUTED_VALUE"""),489522)</f>
        <v>489522</v>
      </c>
      <c r="U511" s="1">
        <f ca="1">IFERROR(__xludf.DUMMYFUNCTION("""COMPUTED_VALUE"""),3.4)</f>
        <v>3.4</v>
      </c>
    </row>
    <row r="512" spans="1:21" ht="12.75" x14ac:dyDescent="0.2">
      <c r="A512" s="3">
        <f ca="1">IFERROR(__xludf.DUMMYFUNCTION("""COMPUTED_VALUE"""),40148.4895833333)</f>
        <v>40148.489583333299</v>
      </c>
      <c r="B512" s="1">
        <f ca="1">IFERROR(__xludf.DUMMYFUNCTION("""COMPUTED_VALUE"""),2.55)</f>
        <v>2.5499999999999998</v>
      </c>
      <c r="E512" s="1" t="str">
        <f ca="1">IFERROR(__xludf.DUMMYFUNCTION("""COMPUTED_VALUE"""),"BLACK PIRATE TREASURE CHEST")</f>
        <v>BLACK PIRATE TREASURE CHEST</v>
      </c>
      <c r="F512" s="1">
        <f ca="1">IFERROR(__xludf.DUMMYFUNCTION("""COMPUTED_VALUE"""),4)</f>
        <v>4</v>
      </c>
      <c r="G512" s="1">
        <f ca="1">IFERROR(__xludf.DUMMYFUNCTION("""COMPUTED_VALUE"""),1.65)</f>
        <v>1.65</v>
      </c>
      <c r="J512" s="1" t="str">
        <f ca="1">IFERROR(__xludf.DUMMYFUNCTION("""COMPUTED_VALUE"""),"MAGIC GARDEN MOUNT FUJI")</f>
        <v>MAGIC GARDEN MOUNT FUJI</v>
      </c>
      <c r="K512" s="1">
        <f ca="1">IFERROR(__xludf.DUMMYFUNCTION("""COMPUTED_VALUE"""),4)</f>
        <v>4</v>
      </c>
      <c r="L512" s="1">
        <f ca="1">IFERROR(__xludf.DUMMYFUNCTION("""COMPUTED_VALUE"""),2.55)</f>
        <v>2.5499999999999998</v>
      </c>
      <c r="T512" s="1">
        <f ca="1">IFERROR(__xludf.DUMMYFUNCTION("""COMPUTED_VALUE"""),489522)</f>
        <v>489522</v>
      </c>
      <c r="U512" s="1">
        <f ca="1">IFERROR(__xludf.DUMMYFUNCTION("""COMPUTED_VALUE"""),10.2)</f>
        <v>10.199999999999999</v>
      </c>
    </row>
    <row r="513" spans="1:21" ht="12.75" x14ac:dyDescent="0.2">
      <c r="A513" s="3">
        <f ca="1">IFERROR(__xludf.DUMMYFUNCTION("""COMPUTED_VALUE"""),40148.4895833333)</f>
        <v>40148.489583333299</v>
      </c>
      <c r="B513" s="1">
        <f ca="1">IFERROR(__xludf.DUMMYFUNCTION("""COMPUTED_VALUE"""),2.55)</f>
        <v>2.5499999999999998</v>
      </c>
      <c r="E513" s="1" t="str">
        <f ca="1">IFERROR(__xludf.DUMMYFUNCTION("""COMPUTED_VALUE"""),"SKULLS  DESIGN  COTTON TOTE BAG")</f>
        <v>SKULLS  DESIGN  COTTON TOTE BAG</v>
      </c>
      <c r="F513" s="1">
        <f ca="1">IFERROR(__xludf.DUMMYFUNCTION("""COMPUTED_VALUE"""),4)</f>
        <v>4</v>
      </c>
      <c r="G513" s="1">
        <f ca="1">IFERROR(__xludf.DUMMYFUNCTION("""COMPUTED_VALUE"""),2.25)</f>
        <v>2.25</v>
      </c>
      <c r="J513" s="1" t="str">
        <f ca="1">IFERROR(__xludf.DUMMYFUNCTION("""COMPUTED_VALUE"""),"MAGIC SHEEP WOOL GROWING FROM PAPER")</f>
        <v>MAGIC SHEEP WOOL GROWING FROM PAPER</v>
      </c>
      <c r="K513" s="1">
        <f ca="1">IFERROR(__xludf.DUMMYFUNCTION("""COMPUTED_VALUE"""),4)</f>
        <v>4</v>
      </c>
      <c r="L513" s="1">
        <f ca="1">IFERROR(__xludf.DUMMYFUNCTION("""COMPUTED_VALUE"""),2.55)</f>
        <v>2.5499999999999998</v>
      </c>
      <c r="T513" s="1">
        <f ca="1">IFERROR(__xludf.DUMMYFUNCTION("""COMPUTED_VALUE"""),489522)</f>
        <v>489522</v>
      </c>
      <c r="U513" s="1">
        <f ca="1">IFERROR(__xludf.DUMMYFUNCTION("""COMPUTED_VALUE"""),10.2)</f>
        <v>10.199999999999999</v>
      </c>
    </row>
    <row r="514" spans="1:21" ht="12.75" x14ac:dyDescent="0.2">
      <c r="A514" s="3">
        <f ca="1">IFERROR(__xludf.DUMMYFUNCTION("""COMPUTED_VALUE"""),40148.4895833333)</f>
        <v>40148.489583333299</v>
      </c>
      <c r="B514" s="1">
        <f ca="1">IFERROR(__xludf.DUMMYFUNCTION("""COMPUTED_VALUE"""),0.42)</f>
        <v>0.42</v>
      </c>
      <c r="E514" s="1" t="str">
        <f ca="1">IFERROR(__xludf.DUMMYFUNCTION("""COMPUTED_VALUE"""),"STRAWBERRY CERAMIC TRINKET BOX")</f>
        <v>STRAWBERRY CERAMIC TRINKET BOX</v>
      </c>
      <c r="F514" s="1">
        <f ca="1">IFERROR(__xludf.DUMMYFUNCTION("""COMPUTED_VALUE"""),3)</f>
        <v>3</v>
      </c>
      <c r="G514" s="1">
        <f ca="1">IFERROR(__xludf.DUMMYFUNCTION("""COMPUTED_VALUE"""),1.25)</f>
        <v>1.25</v>
      </c>
      <c r="J514" s="1" t="str">
        <f ca="1">IFERROR(__xludf.DUMMYFUNCTION("""COMPUTED_VALUE"""),"SET 12 RETRO WHITE CHALK STICKS")</f>
        <v>SET 12 RETRO WHITE CHALK STICKS</v>
      </c>
      <c r="K514" s="1">
        <f ca="1">IFERROR(__xludf.DUMMYFUNCTION("""COMPUTED_VALUE"""),3)</f>
        <v>3</v>
      </c>
      <c r="L514" s="1">
        <f ca="1">IFERROR(__xludf.DUMMYFUNCTION("""COMPUTED_VALUE"""),0.42)</f>
        <v>0.42</v>
      </c>
      <c r="T514" s="1">
        <f ca="1">IFERROR(__xludf.DUMMYFUNCTION("""COMPUTED_VALUE"""),489522)</f>
        <v>489522</v>
      </c>
      <c r="U514" s="1">
        <f ca="1">IFERROR(__xludf.DUMMYFUNCTION("""COMPUTED_VALUE"""),1.26)</f>
        <v>1.26</v>
      </c>
    </row>
    <row r="515" spans="1:21" ht="12.75" x14ac:dyDescent="0.2">
      <c r="A515" s="3">
        <f ca="1">IFERROR(__xludf.DUMMYFUNCTION("""COMPUTED_VALUE"""),40148.4895833333)</f>
        <v>40148.489583333299</v>
      </c>
      <c r="B515" s="1">
        <f ca="1">IFERROR(__xludf.DUMMYFUNCTION("""COMPUTED_VALUE"""),1.25)</f>
        <v>1.25</v>
      </c>
      <c r="E515" s="1" t="str">
        <f ca="1">IFERROR(__xludf.DUMMYFUNCTION("""COMPUTED_VALUE"""),"LUNCH BAG  BLACK SKULL.")</f>
        <v>LUNCH BAG  BLACK SKULL.</v>
      </c>
      <c r="F515" s="1">
        <f ca="1">IFERROR(__xludf.DUMMYFUNCTION("""COMPUTED_VALUE"""),3)</f>
        <v>3</v>
      </c>
      <c r="G515" s="1">
        <f ca="1">IFERROR(__xludf.DUMMYFUNCTION("""COMPUTED_VALUE"""),1.65)</f>
        <v>1.65</v>
      </c>
      <c r="J515" s="1" t="str">
        <f ca="1">IFERROR(__xludf.DUMMYFUNCTION("""COMPUTED_VALUE"""),"EIGHT PIECE DINOSAUR SET")</f>
        <v>EIGHT PIECE DINOSAUR SET</v>
      </c>
      <c r="K515" s="1">
        <f ca="1">IFERROR(__xludf.DUMMYFUNCTION("""COMPUTED_VALUE"""),3)</f>
        <v>3</v>
      </c>
      <c r="L515" s="1">
        <f ca="1">IFERROR(__xludf.DUMMYFUNCTION("""COMPUTED_VALUE"""),1.25)</f>
        <v>1.25</v>
      </c>
      <c r="T515" s="1">
        <f ca="1">IFERROR(__xludf.DUMMYFUNCTION("""COMPUTED_VALUE"""),489522)</f>
        <v>489522</v>
      </c>
      <c r="U515" s="1">
        <f ca="1">IFERROR(__xludf.DUMMYFUNCTION("""COMPUTED_VALUE"""),3.75)</f>
        <v>3.75</v>
      </c>
    </row>
    <row r="516" spans="1:21" ht="12.75" x14ac:dyDescent="0.2">
      <c r="A516" s="3">
        <f ca="1">IFERROR(__xludf.DUMMYFUNCTION("""COMPUTED_VALUE"""),40148.4895833333)</f>
        <v>40148.489583333299</v>
      </c>
      <c r="B516" s="1">
        <f ca="1">IFERROR(__xludf.DUMMYFUNCTION("""COMPUTED_VALUE"""),1.25)</f>
        <v>1.25</v>
      </c>
      <c r="E516" s="1" t="str">
        <f ca="1">IFERROR(__xludf.DUMMYFUNCTION("""COMPUTED_VALUE"""),"ENGLISH ROSE GARDEN SECATEURS")</f>
        <v>ENGLISH ROSE GARDEN SECATEURS</v>
      </c>
      <c r="F516" s="1">
        <f ca="1">IFERROR(__xludf.DUMMYFUNCTION("""COMPUTED_VALUE"""),2)</f>
        <v>2</v>
      </c>
      <c r="G516" s="1">
        <f ca="1">IFERROR(__xludf.DUMMYFUNCTION("""COMPUTED_VALUE"""),1.95)</f>
        <v>1.95</v>
      </c>
      <c r="J516" s="1" t="str">
        <f ca="1">IFERROR(__xludf.DUMMYFUNCTION("""COMPUTED_VALUE"""),"EIGHT PIECE CREEPY CRAWLIE SET")</f>
        <v>EIGHT PIECE CREEPY CRAWLIE SET</v>
      </c>
      <c r="K516" s="1">
        <f ca="1">IFERROR(__xludf.DUMMYFUNCTION("""COMPUTED_VALUE"""),3)</f>
        <v>3</v>
      </c>
      <c r="L516" s="1">
        <f ca="1">IFERROR(__xludf.DUMMYFUNCTION("""COMPUTED_VALUE"""),1.25)</f>
        <v>1.25</v>
      </c>
      <c r="T516" s="1">
        <f ca="1">IFERROR(__xludf.DUMMYFUNCTION("""COMPUTED_VALUE"""),489522)</f>
        <v>489522</v>
      </c>
      <c r="U516" s="1">
        <f ca="1">IFERROR(__xludf.DUMMYFUNCTION("""COMPUTED_VALUE"""),3.75)</f>
        <v>3.75</v>
      </c>
    </row>
    <row r="517" spans="1:21" ht="12.75" x14ac:dyDescent="0.2">
      <c r="A517" s="3">
        <f ca="1">IFERROR(__xludf.DUMMYFUNCTION("""COMPUTED_VALUE"""),40148.4895833333)</f>
        <v>40148.489583333299</v>
      </c>
      <c r="B517" s="1">
        <f ca="1">IFERROR(__xludf.DUMMYFUNCTION("""COMPUTED_VALUE"""),1.25)</f>
        <v>1.25</v>
      </c>
      <c r="E517" s="1" t="str">
        <f ca="1">IFERROR(__xludf.DUMMYFUNCTION("""COMPUTED_VALUE"""),"ENGLISH ROSE TORCH")</f>
        <v>ENGLISH ROSE TORCH</v>
      </c>
      <c r="F517" s="1">
        <f ca="1">IFERROR(__xludf.DUMMYFUNCTION("""COMPUTED_VALUE"""),2)</f>
        <v>2</v>
      </c>
      <c r="G517" s="1">
        <f ca="1">IFERROR(__xludf.DUMMYFUNCTION("""COMPUTED_VALUE"""),1.65)</f>
        <v>1.65</v>
      </c>
      <c r="J517" s="1" t="str">
        <f ca="1">IFERROR(__xludf.DUMMYFUNCTION("""COMPUTED_VALUE"""),"EIGHT PIECE SNAKE  SET")</f>
        <v>EIGHT PIECE SNAKE  SET</v>
      </c>
      <c r="K517" s="1">
        <f ca="1">IFERROR(__xludf.DUMMYFUNCTION("""COMPUTED_VALUE"""),3)</f>
        <v>3</v>
      </c>
      <c r="L517" s="1">
        <f ca="1">IFERROR(__xludf.DUMMYFUNCTION("""COMPUTED_VALUE"""),1.25)</f>
        <v>1.25</v>
      </c>
      <c r="T517" s="1">
        <f ca="1">IFERROR(__xludf.DUMMYFUNCTION("""COMPUTED_VALUE"""),489522)</f>
        <v>489522</v>
      </c>
      <c r="U517" s="1">
        <f ca="1">IFERROR(__xludf.DUMMYFUNCTION("""COMPUTED_VALUE"""),3.75)</f>
        <v>3.75</v>
      </c>
    </row>
    <row r="518" spans="1:21" ht="12.75" x14ac:dyDescent="0.2">
      <c r="A518" s="3">
        <f ca="1">IFERROR(__xludf.DUMMYFUNCTION("""COMPUTED_VALUE"""),40148.4895833333)</f>
        <v>40148.489583333299</v>
      </c>
      <c r="B518" s="1">
        <f ca="1">IFERROR(__xludf.DUMMYFUNCTION("""COMPUTED_VALUE"""),2.55)</f>
        <v>2.5499999999999998</v>
      </c>
      <c r="E518" s="1" t="str">
        <f ca="1">IFERROR(__xludf.DUMMYFUNCTION("""COMPUTED_VALUE"""),"WHITE DOVE HONEYCOMB PAPER GARLAND")</f>
        <v>WHITE DOVE HONEYCOMB PAPER GARLAND</v>
      </c>
      <c r="F518" s="1">
        <f ca="1">IFERROR(__xludf.DUMMYFUNCTION("""COMPUTED_VALUE"""),2)</f>
        <v>2</v>
      </c>
      <c r="G518" s="1">
        <f ca="1">IFERROR(__xludf.DUMMYFUNCTION("""COMPUTED_VALUE"""),1.65)</f>
        <v>1.65</v>
      </c>
      <c r="J518" s="1" t="str">
        <f ca="1">IFERROR(__xludf.DUMMYFUNCTION("""COMPUTED_VALUE"""),"COFFEE MUG DOG + BALL DESIGN")</f>
        <v>COFFEE MUG DOG + BALL DESIGN</v>
      </c>
      <c r="K518" s="1">
        <f ca="1">IFERROR(__xludf.DUMMYFUNCTION("""COMPUTED_VALUE"""),3)</f>
        <v>3</v>
      </c>
      <c r="L518" s="1">
        <f ca="1">IFERROR(__xludf.DUMMYFUNCTION("""COMPUTED_VALUE"""),2.55)</f>
        <v>2.5499999999999998</v>
      </c>
      <c r="T518" s="1">
        <f ca="1">IFERROR(__xludf.DUMMYFUNCTION("""COMPUTED_VALUE"""),489522)</f>
        <v>489522</v>
      </c>
      <c r="U518" s="1">
        <f ca="1">IFERROR(__xludf.DUMMYFUNCTION("""COMPUTED_VALUE"""),7.64999999999999)</f>
        <v>7.6499999999999897</v>
      </c>
    </row>
    <row r="519" spans="1:21" ht="12.75" x14ac:dyDescent="0.2">
      <c r="A519" s="3">
        <f ca="1">IFERROR(__xludf.DUMMYFUNCTION("""COMPUTED_VALUE"""),40148.4895833333)</f>
        <v>40148.489583333299</v>
      </c>
      <c r="B519" s="1">
        <f ca="1">IFERROR(__xludf.DUMMYFUNCTION("""COMPUTED_VALUE"""),2.55)</f>
        <v>2.5499999999999998</v>
      </c>
      <c r="E519" s="1" t="str">
        <f ca="1">IFERROR(__xludf.DUMMYFUNCTION("""COMPUTED_VALUE"""),"SET OF 12 LILY BOTANICAL T-LIGHTS")</f>
        <v>SET OF 12 LILY BOTANICAL T-LIGHTS</v>
      </c>
      <c r="F519" s="1">
        <f ca="1">IFERROR(__xludf.DUMMYFUNCTION("""COMPUTED_VALUE"""),2)</f>
        <v>2</v>
      </c>
      <c r="G519" s="1">
        <f ca="1">IFERROR(__xludf.DUMMYFUNCTION("""COMPUTED_VALUE"""),2.95)</f>
        <v>2.95</v>
      </c>
      <c r="J519" s="1" t="str">
        <f ca="1">IFERROR(__xludf.DUMMYFUNCTION("""COMPUTED_VALUE"""),"COFFEE MUG CAT + BIRD DESIGN")</f>
        <v>COFFEE MUG CAT + BIRD DESIGN</v>
      </c>
      <c r="K519" s="1">
        <f ca="1">IFERROR(__xludf.DUMMYFUNCTION("""COMPUTED_VALUE"""),3)</f>
        <v>3</v>
      </c>
      <c r="L519" s="1">
        <f ca="1">IFERROR(__xludf.DUMMYFUNCTION("""COMPUTED_VALUE"""),2.55)</f>
        <v>2.5499999999999998</v>
      </c>
      <c r="T519" s="1">
        <f ca="1">IFERROR(__xludf.DUMMYFUNCTION("""COMPUTED_VALUE"""),489522)</f>
        <v>489522</v>
      </c>
      <c r="U519" s="1">
        <f ca="1">IFERROR(__xludf.DUMMYFUNCTION("""COMPUTED_VALUE"""),7.64999999999999)</f>
        <v>7.6499999999999897</v>
      </c>
    </row>
    <row r="520" spans="1:21" ht="12.75" x14ac:dyDescent="0.2">
      <c r="A520" s="3">
        <f ca="1">IFERROR(__xludf.DUMMYFUNCTION("""COMPUTED_VALUE"""),40148.4895833333)</f>
        <v>40148.489583333299</v>
      </c>
      <c r="B520" s="1">
        <f ca="1">IFERROR(__xludf.DUMMYFUNCTION("""COMPUTED_VALUE"""),2.55)</f>
        <v>2.5499999999999998</v>
      </c>
      <c r="E520" s="1" t="str">
        <f ca="1">IFERROR(__xludf.DUMMYFUNCTION("""COMPUTED_VALUE"""),"GREY HEART HOT WATER BOTTLE")</f>
        <v>GREY HEART HOT WATER BOTTLE</v>
      </c>
      <c r="F520" s="1">
        <f ca="1">IFERROR(__xludf.DUMMYFUNCTION("""COMPUTED_VALUE"""),2)</f>
        <v>2</v>
      </c>
      <c r="G520" s="1">
        <f ca="1">IFERROR(__xludf.DUMMYFUNCTION("""COMPUTED_VALUE"""),3.45)</f>
        <v>3.45</v>
      </c>
      <c r="J520" s="1" t="str">
        <f ca="1">IFERROR(__xludf.DUMMYFUNCTION("""COMPUTED_VALUE"""),"COFFEE MUG PINK PAISLEY DESIGN")</f>
        <v>COFFEE MUG PINK PAISLEY DESIGN</v>
      </c>
      <c r="K520" s="1">
        <f ca="1">IFERROR(__xludf.DUMMYFUNCTION("""COMPUTED_VALUE"""),3)</f>
        <v>3</v>
      </c>
      <c r="L520" s="1">
        <f ca="1">IFERROR(__xludf.DUMMYFUNCTION("""COMPUTED_VALUE"""),2.55)</f>
        <v>2.5499999999999998</v>
      </c>
      <c r="T520" s="1">
        <f ca="1">IFERROR(__xludf.DUMMYFUNCTION("""COMPUTED_VALUE"""),489522)</f>
        <v>489522</v>
      </c>
      <c r="U520" s="1">
        <f ca="1">IFERROR(__xludf.DUMMYFUNCTION("""COMPUTED_VALUE"""),7.64999999999999)</f>
        <v>7.6499999999999897</v>
      </c>
    </row>
    <row r="521" spans="1:21" ht="12.75" x14ac:dyDescent="0.2">
      <c r="A521" s="3">
        <f ca="1">IFERROR(__xludf.DUMMYFUNCTION("""COMPUTED_VALUE"""),40148.4895833333)</f>
        <v>40148.489583333299</v>
      </c>
      <c r="B521" s="1">
        <f ca="1">IFERROR(__xludf.DUMMYFUNCTION("""COMPUTED_VALUE"""),2.55)</f>
        <v>2.5499999999999998</v>
      </c>
      <c r="E521" s="1" t="str">
        <f ca="1">IFERROR(__xludf.DUMMYFUNCTION("""COMPUTED_VALUE"""),"HEART FILIGREE DOVE LARGE")</f>
        <v>HEART FILIGREE DOVE LARGE</v>
      </c>
      <c r="F521" s="1">
        <f ca="1">IFERROR(__xludf.DUMMYFUNCTION("""COMPUTED_VALUE"""),2)</f>
        <v>2</v>
      </c>
      <c r="G521" s="1">
        <f ca="1">IFERROR(__xludf.DUMMYFUNCTION("""COMPUTED_VALUE"""),1.65)</f>
        <v>1.65</v>
      </c>
      <c r="J521" s="1" t="str">
        <f ca="1">IFERROR(__xludf.DUMMYFUNCTION("""COMPUTED_VALUE"""),"COFFEE MUG BLUE PAISLEY DESIGN")</f>
        <v>COFFEE MUG BLUE PAISLEY DESIGN</v>
      </c>
      <c r="K521" s="1">
        <f ca="1">IFERROR(__xludf.DUMMYFUNCTION("""COMPUTED_VALUE"""),3)</f>
        <v>3</v>
      </c>
      <c r="L521" s="1">
        <f ca="1">IFERROR(__xludf.DUMMYFUNCTION("""COMPUTED_VALUE"""),2.55)</f>
        <v>2.5499999999999998</v>
      </c>
      <c r="T521" s="1">
        <f ca="1">IFERROR(__xludf.DUMMYFUNCTION("""COMPUTED_VALUE"""),489522)</f>
        <v>489522</v>
      </c>
      <c r="U521" s="1">
        <f ca="1">IFERROR(__xludf.DUMMYFUNCTION("""COMPUTED_VALUE"""),7.64999999999999)</f>
        <v>7.6499999999999897</v>
      </c>
    </row>
    <row r="522" spans="1:21" ht="12.75" x14ac:dyDescent="0.2">
      <c r="A522" s="3">
        <f ca="1">IFERROR(__xludf.DUMMYFUNCTION("""COMPUTED_VALUE"""),40148.4895833333)</f>
        <v>40148.489583333299</v>
      </c>
      <c r="B522" s="1">
        <f ca="1">IFERROR(__xludf.DUMMYFUNCTION("""COMPUTED_VALUE"""),2.55)</f>
        <v>2.5499999999999998</v>
      </c>
      <c r="E522" s="1" t="str">
        <f ca="1">IFERROR(__xludf.DUMMYFUNCTION("""COMPUTED_VALUE"""),"SLATE TILE NATURAL HANGING")</f>
        <v>SLATE TILE NATURAL HANGING</v>
      </c>
      <c r="F522" s="1">
        <f ca="1">IFERROR(__xludf.DUMMYFUNCTION("""COMPUTED_VALUE"""),2)</f>
        <v>2</v>
      </c>
      <c r="G522" s="1">
        <f ca="1">IFERROR(__xludf.DUMMYFUNCTION("""COMPUTED_VALUE"""),1.65)</f>
        <v>1.65</v>
      </c>
      <c r="J522" s="1" t="str">
        <f ca="1">IFERROR(__xludf.DUMMYFUNCTION("""COMPUTED_VALUE"""),"COFFEE MUG PEARS  DESIGN")</f>
        <v>COFFEE MUG PEARS  DESIGN</v>
      </c>
      <c r="K522" s="1">
        <f ca="1">IFERROR(__xludf.DUMMYFUNCTION("""COMPUTED_VALUE"""),3)</f>
        <v>3</v>
      </c>
      <c r="L522" s="1">
        <f ca="1">IFERROR(__xludf.DUMMYFUNCTION("""COMPUTED_VALUE"""),2.55)</f>
        <v>2.5499999999999998</v>
      </c>
      <c r="T522" s="1">
        <f ca="1">IFERROR(__xludf.DUMMYFUNCTION("""COMPUTED_VALUE"""),489522)</f>
        <v>489522</v>
      </c>
      <c r="U522" s="1">
        <f ca="1">IFERROR(__xludf.DUMMYFUNCTION("""COMPUTED_VALUE"""),7.64999999999999)</f>
        <v>7.6499999999999897</v>
      </c>
    </row>
    <row r="523" spans="1:21" ht="12.75" x14ac:dyDescent="0.2">
      <c r="A523" s="3">
        <f ca="1">IFERROR(__xludf.DUMMYFUNCTION("""COMPUTED_VALUE"""),40148.4895833333)</f>
        <v>40148.489583333299</v>
      </c>
      <c r="B523" s="1">
        <f ca="1">IFERROR(__xludf.DUMMYFUNCTION("""COMPUTED_VALUE"""),2.55)</f>
        <v>2.5499999999999998</v>
      </c>
      <c r="E523" s="1" t="str">
        <f ca="1">IFERROR(__xludf.DUMMYFUNCTION("""COMPUTED_VALUE"""),"VINTAGE HEADS AND TAILS CARD GAME")</f>
        <v>VINTAGE HEADS AND TAILS CARD GAME</v>
      </c>
      <c r="F523" s="1">
        <f ca="1">IFERROR(__xludf.DUMMYFUNCTION("""COMPUTED_VALUE"""),2)</f>
        <v>2</v>
      </c>
      <c r="G523" s="1">
        <f ca="1">IFERROR(__xludf.DUMMYFUNCTION("""COMPUTED_VALUE"""),1.25)</f>
        <v>1.25</v>
      </c>
      <c r="J523" s="1" t="str">
        <f ca="1">IFERROR(__xludf.DUMMYFUNCTION("""COMPUTED_VALUE"""),"COFFEE MUG APPLES DESIGN")</f>
        <v>COFFEE MUG APPLES DESIGN</v>
      </c>
      <c r="K523" s="1">
        <f ca="1">IFERROR(__xludf.DUMMYFUNCTION("""COMPUTED_VALUE"""),3)</f>
        <v>3</v>
      </c>
      <c r="L523" s="1">
        <f ca="1">IFERROR(__xludf.DUMMYFUNCTION("""COMPUTED_VALUE"""),2.55)</f>
        <v>2.5499999999999998</v>
      </c>
      <c r="T523" s="1">
        <f ca="1">IFERROR(__xludf.DUMMYFUNCTION("""COMPUTED_VALUE"""),489522)</f>
        <v>489522</v>
      </c>
      <c r="U523" s="1">
        <f ca="1">IFERROR(__xludf.DUMMYFUNCTION("""COMPUTED_VALUE"""),7.64999999999999)</f>
        <v>7.6499999999999897</v>
      </c>
    </row>
    <row r="524" spans="1:21" ht="12.75" x14ac:dyDescent="0.2">
      <c r="A524" s="3">
        <f ca="1">IFERROR(__xludf.DUMMYFUNCTION("""COMPUTED_VALUE"""),40148.4895833333)</f>
        <v>40148.489583333299</v>
      </c>
      <c r="B524" s="1">
        <f ca="1">IFERROR(__xludf.DUMMYFUNCTION("""COMPUTED_VALUE"""),3.75)</f>
        <v>3.75</v>
      </c>
      <c r="E524" s="1" t="str">
        <f ca="1">IFERROR(__xludf.DUMMYFUNCTION("""COMPUTED_VALUE"""),"PAPER CHAIN KIT 50'S CHRISTMAS")</f>
        <v>PAPER CHAIN KIT 50'S CHRISTMAS</v>
      </c>
      <c r="F524" s="1">
        <f ca="1">IFERROR(__xludf.DUMMYFUNCTION("""COMPUTED_VALUE"""),2)</f>
        <v>2</v>
      </c>
      <c r="G524" s="1">
        <f ca="1">IFERROR(__xludf.DUMMYFUNCTION("""COMPUTED_VALUE"""),2.95)</f>
        <v>2.95</v>
      </c>
      <c r="J524" s="1" t="str">
        <f ca="1">IFERROR(__xludf.DUMMYFUNCTION("""COMPUTED_VALUE"""),"BINGO SET")</f>
        <v>BINGO SET</v>
      </c>
      <c r="K524" s="1">
        <f ca="1">IFERROR(__xludf.DUMMYFUNCTION("""COMPUTED_VALUE"""),3)</f>
        <v>3</v>
      </c>
      <c r="L524" s="1">
        <f ca="1">IFERROR(__xludf.DUMMYFUNCTION("""COMPUTED_VALUE"""),3.75)</f>
        <v>3.75</v>
      </c>
      <c r="T524" s="1">
        <f ca="1">IFERROR(__xludf.DUMMYFUNCTION("""COMPUTED_VALUE"""),489522)</f>
        <v>489522</v>
      </c>
      <c r="U524" s="1">
        <f ca="1">IFERROR(__xludf.DUMMYFUNCTION("""COMPUTED_VALUE"""),11.25)</f>
        <v>11.25</v>
      </c>
    </row>
    <row r="525" spans="1:21" ht="12.75" x14ac:dyDescent="0.2">
      <c r="A525" s="3">
        <f ca="1">IFERROR(__xludf.DUMMYFUNCTION("""COMPUTED_VALUE"""),40148.4895833333)</f>
        <v>40148.489583333299</v>
      </c>
      <c r="B525" s="1">
        <f ca="1">IFERROR(__xludf.DUMMYFUNCTION("""COMPUTED_VALUE"""),2.1)</f>
        <v>2.1</v>
      </c>
      <c r="E525" s="1" t="str">
        <f ca="1">IFERROR(__xludf.DUMMYFUNCTION("""COMPUTED_VALUE"""),"SET OF THREE VINTAGE GIFT WRAPS")</f>
        <v>SET OF THREE VINTAGE GIFT WRAPS</v>
      </c>
      <c r="F525" s="1">
        <f ca="1">IFERROR(__xludf.DUMMYFUNCTION("""COMPUTED_VALUE"""),2)</f>
        <v>2</v>
      </c>
      <c r="G525" s="1">
        <f ca="1">IFERROR(__xludf.DUMMYFUNCTION("""COMPUTED_VALUE"""),1.95)</f>
        <v>1.95</v>
      </c>
      <c r="J525" s="1" t="str">
        <f ca="1">IFERROR(__xludf.DUMMYFUNCTION("""COMPUTED_VALUE"""),"CHOCOLATE THIS WAY METAL SIGN")</f>
        <v>CHOCOLATE THIS WAY METAL SIGN</v>
      </c>
      <c r="K525" s="1">
        <f ca="1">IFERROR(__xludf.DUMMYFUNCTION("""COMPUTED_VALUE"""),3)</f>
        <v>3</v>
      </c>
      <c r="L525" s="1">
        <f ca="1">IFERROR(__xludf.DUMMYFUNCTION("""COMPUTED_VALUE"""),2.1)</f>
        <v>2.1</v>
      </c>
      <c r="T525" s="1">
        <f ca="1">IFERROR(__xludf.DUMMYFUNCTION("""COMPUTED_VALUE"""),489522)</f>
        <v>489522</v>
      </c>
      <c r="U525" s="1">
        <f ca="1">IFERROR(__xludf.DUMMYFUNCTION("""COMPUTED_VALUE"""),6.3)</f>
        <v>6.3</v>
      </c>
    </row>
    <row r="526" spans="1:21" ht="12.75" x14ac:dyDescent="0.2">
      <c r="A526" s="3">
        <f ca="1">IFERROR(__xludf.DUMMYFUNCTION("""COMPUTED_VALUE"""),40148.4895833333)</f>
        <v>40148.489583333299</v>
      </c>
      <c r="B526" s="1">
        <f ca="1">IFERROR(__xludf.DUMMYFUNCTION("""COMPUTED_VALUE"""),3.75)</f>
        <v>3.75</v>
      </c>
      <c r="E526" s="1" t="str">
        <f ca="1">IFERROR(__xludf.DUMMYFUNCTION("""COMPUTED_VALUE"""),"BLACK LOVE BIRD T-LIGHT HOLDER")</f>
        <v>BLACK LOVE BIRD T-LIGHT HOLDER</v>
      </c>
      <c r="F526" s="1">
        <f ca="1">IFERROR(__xludf.DUMMYFUNCTION("""COMPUTED_VALUE"""),2)</f>
        <v>2</v>
      </c>
      <c r="G526" s="1">
        <f ca="1">IFERROR(__xludf.DUMMYFUNCTION("""COMPUTED_VALUE"""),3.75)</f>
        <v>3.75</v>
      </c>
      <c r="J526" s="1" t="str">
        <f ca="1">IFERROR(__xludf.DUMMYFUNCTION("""COMPUTED_VALUE"""),"WHITE SKULL HOT WATER BOTTLE")</f>
        <v>WHITE SKULL HOT WATER BOTTLE</v>
      </c>
      <c r="K526" s="1">
        <f ca="1">IFERROR(__xludf.DUMMYFUNCTION("""COMPUTED_VALUE"""),2)</f>
        <v>2</v>
      </c>
      <c r="L526" s="1">
        <f ca="1">IFERROR(__xludf.DUMMYFUNCTION("""COMPUTED_VALUE"""),3.75)</f>
        <v>3.75</v>
      </c>
      <c r="T526" s="1">
        <f ca="1">IFERROR(__xludf.DUMMYFUNCTION("""COMPUTED_VALUE"""),489522)</f>
        <v>489522</v>
      </c>
      <c r="U526" s="1">
        <f ca="1">IFERROR(__xludf.DUMMYFUNCTION("""COMPUTED_VALUE"""),7.5)</f>
        <v>7.5</v>
      </c>
    </row>
    <row r="527" spans="1:21" ht="12.75" x14ac:dyDescent="0.2">
      <c r="A527" s="3">
        <f ca="1">IFERROR(__xludf.DUMMYFUNCTION("""COMPUTED_VALUE"""),40148.4895833333)</f>
        <v>40148.489583333299</v>
      </c>
      <c r="B527" s="1">
        <f ca="1">IFERROR(__xludf.DUMMYFUNCTION("""COMPUTED_VALUE"""),4.95)</f>
        <v>4.95</v>
      </c>
      <c r="E527" s="1" t="str">
        <f ca="1">IFERROR(__xludf.DUMMYFUNCTION("""COMPUTED_VALUE"""),"RED SPOTTY BOWL")</f>
        <v>RED SPOTTY BOWL</v>
      </c>
      <c r="F527" s="1">
        <f ca="1">IFERROR(__xludf.DUMMYFUNCTION("""COMPUTED_VALUE"""),2)</f>
        <v>2</v>
      </c>
      <c r="G527" s="1">
        <f ca="1">IFERROR(__xludf.DUMMYFUNCTION("""COMPUTED_VALUE"""),1.25)</f>
        <v>1.25</v>
      </c>
      <c r="J527" s="1" t="str">
        <f ca="1">IFERROR(__xludf.DUMMYFUNCTION("""COMPUTED_VALUE"""),"SCOTTIE DOG HOT WATER BOTTLE")</f>
        <v>SCOTTIE DOG HOT WATER BOTTLE</v>
      </c>
      <c r="K527" s="1">
        <f ca="1">IFERROR(__xludf.DUMMYFUNCTION("""COMPUTED_VALUE"""),2)</f>
        <v>2</v>
      </c>
      <c r="L527" s="1">
        <f ca="1">IFERROR(__xludf.DUMMYFUNCTION("""COMPUTED_VALUE"""),4.95)</f>
        <v>4.95</v>
      </c>
      <c r="T527" s="1">
        <f ca="1">IFERROR(__xludf.DUMMYFUNCTION("""COMPUTED_VALUE"""),489522)</f>
        <v>489522</v>
      </c>
      <c r="U527" s="1">
        <f ca="1">IFERROR(__xludf.DUMMYFUNCTION("""COMPUTED_VALUE"""),9.9)</f>
        <v>9.9</v>
      </c>
    </row>
    <row r="528" spans="1:21" ht="12.75" x14ac:dyDescent="0.2">
      <c r="A528" s="3">
        <f ca="1">IFERROR(__xludf.DUMMYFUNCTION("""COMPUTED_VALUE"""),40148.4895833333)</f>
        <v>40148.489583333299</v>
      </c>
      <c r="B528" s="1">
        <f ca="1">IFERROR(__xludf.DUMMYFUNCTION("""COMPUTED_VALUE"""),1.95)</f>
        <v>1.95</v>
      </c>
      <c r="E528" s="1" t="str">
        <f ca="1">IFERROR(__xludf.DUMMYFUNCTION("""COMPUTED_VALUE"""),"PHOTO CUBE")</f>
        <v>PHOTO CUBE</v>
      </c>
      <c r="F528" s="1">
        <f ca="1">IFERROR(__xludf.DUMMYFUNCTION("""COMPUTED_VALUE"""),2)</f>
        <v>2</v>
      </c>
      <c r="G528" s="1">
        <f ca="1">IFERROR(__xludf.DUMMYFUNCTION("""COMPUTED_VALUE"""),1.65)</f>
        <v>1.65</v>
      </c>
      <c r="J528" s="1" t="str">
        <f ca="1">IFERROR(__xludf.DUMMYFUNCTION("""COMPUTED_VALUE"""),"URBAN CHIC CHOPSTICKS SET/5")</f>
        <v>URBAN CHIC CHOPSTICKS SET/5</v>
      </c>
      <c r="K528" s="1">
        <f ca="1">IFERROR(__xludf.DUMMYFUNCTION("""COMPUTED_VALUE"""),2)</f>
        <v>2</v>
      </c>
      <c r="L528" s="1">
        <f ca="1">IFERROR(__xludf.DUMMYFUNCTION("""COMPUTED_VALUE"""),1.95)</f>
        <v>1.95</v>
      </c>
      <c r="T528" s="1">
        <f ca="1">IFERROR(__xludf.DUMMYFUNCTION("""COMPUTED_VALUE"""),489522)</f>
        <v>489522</v>
      </c>
      <c r="U528" s="1">
        <f ca="1">IFERROR(__xludf.DUMMYFUNCTION("""COMPUTED_VALUE"""),3.9)</f>
        <v>3.9</v>
      </c>
    </row>
    <row r="529" spans="1:21" ht="12.75" x14ac:dyDescent="0.2">
      <c r="A529" s="3">
        <f ca="1">IFERROR(__xludf.DUMMYFUNCTION("""COMPUTED_VALUE"""),40148.4895833333)</f>
        <v>40148.489583333299</v>
      </c>
      <c r="B529" s="1">
        <f ca="1">IFERROR(__xludf.DUMMYFUNCTION("""COMPUTED_VALUE"""),1.65)</f>
        <v>1.65</v>
      </c>
      <c r="E529" s="1" t="str">
        <f ca="1">IFERROR(__xludf.DUMMYFUNCTION("""COMPUTED_VALUE"""),"3 STRIPEY MICE FELTCRAFT")</f>
        <v>3 STRIPEY MICE FELTCRAFT</v>
      </c>
      <c r="F529" s="1">
        <f ca="1">IFERROR(__xludf.DUMMYFUNCTION("""COMPUTED_VALUE"""),2)</f>
        <v>2</v>
      </c>
      <c r="G529" s="1">
        <f ca="1">IFERROR(__xludf.DUMMYFUNCTION("""COMPUTED_VALUE"""),1.95)</f>
        <v>1.95</v>
      </c>
      <c r="J529" s="1" t="str">
        <f ca="1">IFERROR(__xludf.DUMMYFUNCTION("""COMPUTED_VALUE"""),"KINGS CHOICE SMALL TUBE MATCHES")</f>
        <v>KINGS CHOICE SMALL TUBE MATCHES</v>
      </c>
      <c r="K529" s="1">
        <f ca="1">IFERROR(__xludf.DUMMYFUNCTION("""COMPUTED_VALUE"""),2)</f>
        <v>2</v>
      </c>
      <c r="L529" s="1">
        <f ca="1">IFERROR(__xludf.DUMMYFUNCTION("""COMPUTED_VALUE"""),1.65)</f>
        <v>1.65</v>
      </c>
      <c r="T529" s="1">
        <f ca="1">IFERROR(__xludf.DUMMYFUNCTION("""COMPUTED_VALUE"""),489522)</f>
        <v>489522</v>
      </c>
      <c r="U529" s="1">
        <f ca="1">IFERROR(__xludf.DUMMYFUNCTION("""COMPUTED_VALUE"""),3.3)</f>
        <v>3.3</v>
      </c>
    </row>
    <row r="530" spans="1:21" ht="12.75" x14ac:dyDescent="0.2">
      <c r="A530" s="3">
        <f ca="1">IFERROR(__xludf.DUMMYFUNCTION("""COMPUTED_VALUE"""),40148.4895833333)</f>
        <v>40148.489583333299</v>
      </c>
      <c r="B530" s="1">
        <f ca="1">IFERROR(__xludf.DUMMYFUNCTION("""COMPUTED_VALUE"""),1.65)</f>
        <v>1.65</v>
      </c>
      <c r="E530" s="1" t="str">
        <f ca="1">IFERROR(__xludf.DUMMYFUNCTION("""COMPUTED_VALUE"""),"FELTCRAFT BUTTERFLY HEARTS")</f>
        <v>FELTCRAFT BUTTERFLY HEARTS</v>
      </c>
      <c r="F530" s="1">
        <f ca="1">IFERROR(__xludf.DUMMYFUNCTION("""COMPUTED_VALUE"""),2)</f>
        <v>2</v>
      </c>
      <c r="G530" s="1">
        <f ca="1">IFERROR(__xludf.DUMMYFUNCTION("""COMPUTED_VALUE"""),1.45)</f>
        <v>1.45</v>
      </c>
      <c r="J530" s="1" t="str">
        <f ca="1">IFERROR(__xludf.DUMMYFUNCTION("""COMPUTED_VALUE"""),"RETRO SPOT SMALL TUBE MATCHES")</f>
        <v>RETRO SPOT SMALL TUBE MATCHES</v>
      </c>
      <c r="K530" s="1">
        <f ca="1">IFERROR(__xludf.DUMMYFUNCTION("""COMPUTED_VALUE"""),2)</f>
        <v>2</v>
      </c>
      <c r="L530" s="1">
        <f ca="1">IFERROR(__xludf.DUMMYFUNCTION("""COMPUTED_VALUE"""),1.65)</f>
        <v>1.65</v>
      </c>
      <c r="T530" s="1">
        <f ca="1">IFERROR(__xludf.DUMMYFUNCTION("""COMPUTED_VALUE"""),489522)</f>
        <v>489522</v>
      </c>
      <c r="U530" s="1">
        <f ca="1">IFERROR(__xludf.DUMMYFUNCTION("""COMPUTED_VALUE"""),3.3)</f>
        <v>3.3</v>
      </c>
    </row>
    <row r="531" spans="1:21" ht="12.75" x14ac:dyDescent="0.2">
      <c r="A531" s="3">
        <f ca="1">IFERROR(__xludf.DUMMYFUNCTION("""COMPUTED_VALUE"""),40148.4895833333)</f>
        <v>40148.489583333299</v>
      </c>
      <c r="B531" s="1">
        <f ca="1">IFERROR(__xludf.DUMMYFUNCTION("""COMPUTED_VALUE"""),8.95)</f>
        <v>8.9499999999999993</v>
      </c>
      <c r="E531" s="1" t="str">
        <f ca="1">IFERROR(__xludf.DUMMYFUNCTION("""COMPUTED_VALUE"""),"VINTAGE HEADS AND TAILS CARD GAME")</f>
        <v>VINTAGE HEADS AND TAILS CARD GAME</v>
      </c>
      <c r="F531" s="1">
        <f ca="1">IFERROR(__xludf.DUMMYFUNCTION("""COMPUTED_VALUE"""),2)</f>
        <v>2</v>
      </c>
      <c r="G531" s="1">
        <f ca="1">IFERROR(__xludf.DUMMYFUNCTION("""COMPUTED_VALUE"""),1.25)</f>
        <v>1.25</v>
      </c>
      <c r="J531" s="1" t="str">
        <f ca="1">IFERROR(__xludf.DUMMYFUNCTION("""COMPUTED_VALUE"""),"WOODEN BOX ADVENT CALENDAR")</f>
        <v>WOODEN BOX ADVENT CALENDAR</v>
      </c>
      <c r="K531" s="1">
        <f ca="1">IFERROR(__xludf.DUMMYFUNCTION("""COMPUTED_VALUE"""),2)</f>
        <v>2</v>
      </c>
      <c r="L531" s="1">
        <f ca="1">IFERROR(__xludf.DUMMYFUNCTION("""COMPUTED_VALUE"""),8.95)</f>
        <v>8.9499999999999993</v>
      </c>
      <c r="T531" s="1">
        <f ca="1">IFERROR(__xludf.DUMMYFUNCTION("""COMPUTED_VALUE"""),489522)</f>
        <v>489522</v>
      </c>
      <c r="U531" s="1">
        <f ca="1">IFERROR(__xludf.DUMMYFUNCTION("""COMPUTED_VALUE"""),17.9)</f>
        <v>17.899999999999999</v>
      </c>
    </row>
    <row r="532" spans="1:21" ht="12.75" x14ac:dyDescent="0.2">
      <c r="A532" s="3">
        <f ca="1">IFERROR(__xludf.DUMMYFUNCTION("""COMPUTED_VALUE"""),40148.4895833333)</f>
        <v>40148.489583333299</v>
      </c>
      <c r="B532" s="1">
        <f ca="1">IFERROR(__xludf.DUMMYFUNCTION("""COMPUTED_VALUE"""),1.25)</f>
        <v>1.25</v>
      </c>
      <c r="E532" s="1" t="str">
        <f ca="1">IFERROR(__xludf.DUMMYFUNCTION("""COMPUTED_VALUE"""),"SAVE THE PLANET COTTON TOTE BAG")</f>
        <v>SAVE THE PLANET COTTON TOTE BAG</v>
      </c>
      <c r="F532" s="1">
        <f ca="1">IFERROR(__xludf.DUMMYFUNCTION("""COMPUTED_VALUE"""),2)</f>
        <v>2</v>
      </c>
      <c r="G532" s="1">
        <f ca="1">IFERROR(__xludf.DUMMYFUNCTION("""COMPUTED_VALUE"""),2.25)</f>
        <v>2.25</v>
      </c>
      <c r="J532" s="1" t="str">
        <f ca="1">IFERROR(__xludf.DUMMYFUNCTION("""COMPUTED_VALUE"""),"WOODEN BOX OF DOMINOES")</f>
        <v>WOODEN BOX OF DOMINOES</v>
      </c>
      <c r="K532" s="1">
        <f ca="1">IFERROR(__xludf.DUMMYFUNCTION("""COMPUTED_VALUE"""),2)</f>
        <v>2</v>
      </c>
      <c r="L532" s="1">
        <f ca="1">IFERROR(__xludf.DUMMYFUNCTION("""COMPUTED_VALUE"""),1.25)</f>
        <v>1.25</v>
      </c>
      <c r="T532" s="1">
        <f ca="1">IFERROR(__xludf.DUMMYFUNCTION("""COMPUTED_VALUE"""),489522)</f>
        <v>489522</v>
      </c>
      <c r="U532" s="1">
        <f ca="1">IFERROR(__xludf.DUMMYFUNCTION("""COMPUTED_VALUE"""),2.5)</f>
        <v>2.5</v>
      </c>
    </row>
    <row r="533" spans="1:21" ht="12.75" x14ac:dyDescent="0.2">
      <c r="A533" s="3">
        <f ca="1">IFERROR(__xludf.DUMMYFUNCTION("""COMPUTED_VALUE"""),40148.4895833333)</f>
        <v>40148.489583333299</v>
      </c>
      <c r="B533" s="1">
        <f ca="1">IFERROR(__xludf.DUMMYFUNCTION("""COMPUTED_VALUE"""),4.95)</f>
        <v>4.95</v>
      </c>
      <c r="E533" s="1" t="str">
        <f ca="1">IFERROR(__xludf.DUMMYFUNCTION("""COMPUTED_VALUE"""),"SLATE TILE NATURAL HANGING")</f>
        <v>SLATE TILE NATURAL HANGING</v>
      </c>
      <c r="F533" s="1">
        <f ca="1">IFERROR(__xludf.DUMMYFUNCTION("""COMPUTED_VALUE"""),2)</f>
        <v>2</v>
      </c>
      <c r="G533" s="1">
        <f ca="1">IFERROR(__xludf.DUMMYFUNCTION("""COMPUTED_VALUE"""),1.65)</f>
        <v>1.65</v>
      </c>
      <c r="J533" s="1" t="str">
        <f ca="1">IFERROR(__xludf.DUMMYFUNCTION("""COMPUTED_VALUE"""),"GREEN CHRISTMAS TREE STRING 20LIGHT")</f>
        <v>GREEN CHRISTMAS TREE STRING 20LIGHT</v>
      </c>
      <c r="K533" s="1">
        <f ca="1">IFERROR(__xludf.DUMMYFUNCTION("""COMPUTED_VALUE"""),2)</f>
        <v>2</v>
      </c>
      <c r="L533" s="1">
        <f ca="1">IFERROR(__xludf.DUMMYFUNCTION("""COMPUTED_VALUE"""),4.95)</f>
        <v>4.95</v>
      </c>
      <c r="T533" s="1">
        <f ca="1">IFERROR(__xludf.DUMMYFUNCTION("""COMPUTED_VALUE"""),489522)</f>
        <v>489522</v>
      </c>
      <c r="U533" s="1">
        <f ca="1">IFERROR(__xludf.DUMMYFUNCTION("""COMPUTED_VALUE"""),9.9)</f>
        <v>9.9</v>
      </c>
    </row>
    <row r="534" spans="1:21" ht="12.75" x14ac:dyDescent="0.2">
      <c r="A534" s="3">
        <f ca="1">IFERROR(__xludf.DUMMYFUNCTION("""COMPUTED_VALUE"""),40148.4895833333)</f>
        <v>40148.489583333299</v>
      </c>
      <c r="B534" s="1">
        <f ca="1">IFERROR(__xludf.DUMMYFUNCTION("""COMPUTED_VALUE"""),4.95)</f>
        <v>4.95</v>
      </c>
      <c r="E534" s="1" t="str">
        <f ca="1">IFERROR(__xludf.DUMMYFUNCTION("""COMPUTED_VALUE"""),"WOODLAND DESIGN  COTTON TOTE BAG")</f>
        <v>WOODLAND DESIGN  COTTON TOTE BAG</v>
      </c>
      <c r="F534" s="1">
        <f ca="1">IFERROR(__xludf.DUMMYFUNCTION("""COMPUTED_VALUE"""),2)</f>
        <v>2</v>
      </c>
      <c r="G534" s="1">
        <f ca="1">IFERROR(__xludf.DUMMYFUNCTION("""COMPUTED_VALUE"""),2.25)</f>
        <v>2.25</v>
      </c>
      <c r="J534" s="1" t="str">
        <f ca="1">IFERROR(__xludf.DUMMYFUNCTION("""COMPUTED_VALUE"""),"RED REINDEER STRING OF 20 LIGHTS")</f>
        <v>RED REINDEER STRING OF 20 LIGHTS</v>
      </c>
      <c r="K534" s="1">
        <f ca="1">IFERROR(__xludf.DUMMYFUNCTION("""COMPUTED_VALUE"""),2)</f>
        <v>2</v>
      </c>
      <c r="L534" s="1">
        <f ca="1">IFERROR(__xludf.DUMMYFUNCTION("""COMPUTED_VALUE"""),4.95)</f>
        <v>4.95</v>
      </c>
      <c r="T534" s="1">
        <f ca="1">IFERROR(__xludf.DUMMYFUNCTION("""COMPUTED_VALUE"""),489522)</f>
        <v>489522</v>
      </c>
      <c r="U534" s="1">
        <f ca="1">IFERROR(__xludf.DUMMYFUNCTION("""COMPUTED_VALUE"""),9.9)</f>
        <v>9.9</v>
      </c>
    </row>
    <row r="535" spans="1:21" ht="12.75" x14ac:dyDescent="0.2">
      <c r="A535" s="3">
        <f ca="1">IFERROR(__xludf.DUMMYFUNCTION("""COMPUTED_VALUE"""),40148.4895833333)</f>
        <v>40148.489583333299</v>
      </c>
      <c r="B535" s="1">
        <f ca="1">IFERROR(__xludf.DUMMYFUNCTION("""COMPUTED_VALUE"""),2.55)</f>
        <v>2.5499999999999998</v>
      </c>
      <c r="E535" s="1" t="str">
        <f ca="1">IFERROR(__xludf.DUMMYFUNCTION("""COMPUTED_VALUE"""),"SKULL SHOULDER BAG")</f>
        <v>SKULL SHOULDER BAG</v>
      </c>
      <c r="F535" s="1">
        <f ca="1">IFERROR(__xludf.DUMMYFUNCTION("""COMPUTED_VALUE"""),2)</f>
        <v>2</v>
      </c>
      <c r="G535" s="1">
        <f ca="1">IFERROR(__xludf.DUMMYFUNCTION("""COMPUTED_VALUE"""),1.65)</f>
        <v>1.65</v>
      </c>
      <c r="J535" s="1" t="str">
        <f ca="1">IFERROR(__xludf.DUMMYFUNCTION("""COMPUTED_VALUE"""),"RETRO SPOT GIANT  TUBE MATCHES")</f>
        <v>RETRO SPOT GIANT  TUBE MATCHES</v>
      </c>
      <c r="K535" s="1">
        <f ca="1">IFERROR(__xludf.DUMMYFUNCTION("""COMPUTED_VALUE"""),2)</f>
        <v>2</v>
      </c>
      <c r="L535" s="1">
        <f ca="1">IFERROR(__xludf.DUMMYFUNCTION("""COMPUTED_VALUE"""),2.55)</f>
        <v>2.5499999999999998</v>
      </c>
      <c r="T535" s="1">
        <f ca="1">IFERROR(__xludf.DUMMYFUNCTION("""COMPUTED_VALUE"""),489522)</f>
        <v>489522</v>
      </c>
      <c r="U535" s="1">
        <f ca="1">IFERROR(__xludf.DUMMYFUNCTION("""COMPUTED_VALUE"""),5.1)</f>
        <v>5.0999999999999996</v>
      </c>
    </row>
    <row r="536" spans="1:21" ht="12.75" x14ac:dyDescent="0.2">
      <c r="A536" s="3">
        <f ca="1">IFERROR(__xludf.DUMMYFUNCTION("""COMPUTED_VALUE"""),40148.4895833333)</f>
        <v>40148.489583333299</v>
      </c>
      <c r="B536" s="1">
        <f ca="1">IFERROR(__xludf.DUMMYFUNCTION("""COMPUTED_VALUE"""),4.95)</f>
        <v>4.95</v>
      </c>
      <c r="E536" s="1" t="str">
        <f ca="1">IFERROR(__xludf.DUMMYFUNCTION("""COMPUTED_VALUE"""),"PORCELAIN T-LIGHT HOLDERS ASSORTED")</f>
        <v>PORCELAIN T-LIGHT HOLDERS ASSORTED</v>
      </c>
      <c r="F536" s="1">
        <f ca="1">IFERROR(__xludf.DUMMYFUNCTION("""COMPUTED_VALUE"""),2)</f>
        <v>2</v>
      </c>
      <c r="G536" s="1">
        <f ca="1">IFERROR(__xludf.DUMMYFUNCTION("""COMPUTED_VALUE"""),1.25)</f>
        <v>1.25</v>
      </c>
      <c r="J536" s="1" t="str">
        <f ca="1">IFERROR(__xludf.DUMMYFUNCTION("""COMPUTED_VALUE"""),"MINATURE COLOURED GARDENING SET")</f>
        <v>MINATURE COLOURED GARDENING SET</v>
      </c>
      <c r="K536" s="1">
        <f ca="1">IFERROR(__xludf.DUMMYFUNCTION("""COMPUTED_VALUE"""),2)</f>
        <v>2</v>
      </c>
      <c r="L536" s="1">
        <f ca="1">IFERROR(__xludf.DUMMYFUNCTION("""COMPUTED_VALUE"""),4.95)</f>
        <v>4.95</v>
      </c>
      <c r="T536" s="1">
        <f ca="1">IFERROR(__xludf.DUMMYFUNCTION("""COMPUTED_VALUE"""),489522)</f>
        <v>489522</v>
      </c>
      <c r="U536" s="1">
        <f ca="1">IFERROR(__xludf.DUMMYFUNCTION("""COMPUTED_VALUE"""),9.9)</f>
        <v>9.9</v>
      </c>
    </row>
    <row r="537" spans="1:21" ht="12.75" x14ac:dyDescent="0.2">
      <c r="A537" s="3">
        <f ca="1">IFERROR(__xludf.DUMMYFUNCTION("""COMPUTED_VALUE"""),40148.4895833333)</f>
        <v>40148.489583333299</v>
      </c>
      <c r="B537" s="1">
        <f ca="1">IFERROR(__xludf.DUMMYFUNCTION("""COMPUTED_VALUE"""),2.1)</f>
        <v>2.1</v>
      </c>
      <c r="E537" s="1" t="str">
        <f ca="1">IFERROR(__xludf.DUMMYFUNCTION("""COMPUTED_VALUE"""),"FULL ENGLISH BREAKFAST PLATE")</f>
        <v>FULL ENGLISH BREAKFAST PLATE</v>
      </c>
      <c r="F537" s="1">
        <f ca="1">IFERROR(__xludf.DUMMYFUNCTION("""COMPUTED_VALUE"""),1)</f>
        <v>1</v>
      </c>
      <c r="G537" s="1">
        <f ca="1">IFERROR(__xludf.DUMMYFUNCTION("""COMPUTED_VALUE"""),3.75)</f>
        <v>3.75</v>
      </c>
      <c r="J537" s="1" t="str">
        <f ca="1">IFERROR(__xludf.DUMMYFUNCTION("""COMPUTED_VALUE"""),"PLEASE ONE PERSON  METAL SIGN")</f>
        <v>PLEASE ONE PERSON  METAL SIGN</v>
      </c>
      <c r="K537" s="1">
        <f ca="1">IFERROR(__xludf.DUMMYFUNCTION("""COMPUTED_VALUE"""),2)</f>
        <v>2</v>
      </c>
      <c r="L537" s="1">
        <f ca="1">IFERROR(__xludf.DUMMYFUNCTION("""COMPUTED_VALUE"""),2.1)</f>
        <v>2.1</v>
      </c>
      <c r="T537" s="1">
        <f ca="1">IFERROR(__xludf.DUMMYFUNCTION("""COMPUTED_VALUE"""),489522)</f>
        <v>489522</v>
      </c>
      <c r="U537" s="1">
        <f ca="1">IFERROR(__xludf.DUMMYFUNCTION("""COMPUTED_VALUE"""),4.2)</f>
        <v>4.2</v>
      </c>
    </row>
    <row r="538" spans="1:21" ht="12.75" x14ac:dyDescent="0.2">
      <c r="A538" s="3">
        <f ca="1">IFERROR(__xludf.DUMMYFUNCTION("""COMPUTED_VALUE"""),40148.4895833333)</f>
        <v>40148.489583333299</v>
      </c>
      <c r="B538" s="1">
        <f ca="1">IFERROR(__xludf.DUMMYFUNCTION("""COMPUTED_VALUE"""),1.95)</f>
        <v>1.95</v>
      </c>
      <c r="E538" s="1" t="str">
        <f ca="1">IFERROR(__xludf.DUMMYFUNCTION("""COMPUTED_VALUE"""),"UNION JACK FLAG PASSPORT COVER")</f>
        <v>UNION JACK FLAG PASSPORT COVER</v>
      </c>
      <c r="F538" s="1">
        <f ca="1">IFERROR(__xludf.DUMMYFUNCTION("""COMPUTED_VALUE"""),1)</f>
        <v>1</v>
      </c>
      <c r="G538" s="1">
        <f ca="1">IFERROR(__xludf.DUMMYFUNCTION("""COMPUTED_VALUE"""),2.1)</f>
        <v>2.1</v>
      </c>
      <c r="J538" s="1" t="str">
        <f ca="1">IFERROR(__xludf.DUMMYFUNCTION("""COMPUTED_VALUE"""),"COOK WITH WINE METAL SIGN")</f>
        <v>COOK WITH WINE METAL SIGN</v>
      </c>
      <c r="K538" s="1">
        <f ca="1">IFERROR(__xludf.DUMMYFUNCTION("""COMPUTED_VALUE"""),2)</f>
        <v>2</v>
      </c>
      <c r="L538" s="1">
        <f ca="1">IFERROR(__xludf.DUMMYFUNCTION("""COMPUTED_VALUE"""),1.95)</f>
        <v>1.95</v>
      </c>
      <c r="T538" s="1">
        <f ca="1">IFERROR(__xludf.DUMMYFUNCTION("""COMPUTED_VALUE"""),489522)</f>
        <v>489522</v>
      </c>
      <c r="U538" s="1">
        <f ca="1">IFERROR(__xludf.DUMMYFUNCTION("""COMPUTED_VALUE"""),3.9)</f>
        <v>3.9</v>
      </c>
    </row>
    <row r="539" spans="1:21" ht="12.75" x14ac:dyDescent="0.2">
      <c r="A539" s="3">
        <f ca="1">IFERROR(__xludf.DUMMYFUNCTION("""COMPUTED_VALUE"""),40148.4895833333)</f>
        <v>40148.489583333299</v>
      </c>
      <c r="B539" s="1">
        <f ca="1">IFERROR(__xludf.DUMMYFUNCTION("""COMPUTED_VALUE"""),2.1)</f>
        <v>2.1</v>
      </c>
      <c r="E539" s="1" t="str">
        <f ca="1">IFERROR(__xludf.DUMMYFUNCTION("""COMPUTED_VALUE"""),"RED STAR CARD HOLDER")</f>
        <v>RED STAR CARD HOLDER</v>
      </c>
      <c r="F539" s="1">
        <f ca="1">IFERROR(__xludf.DUMMYFUNCTION("""COMPUTED_VALUE"""),1)</f>
        <v>1</v>
      </c>
      <c r="G539" s="1">
        <f ca="1">IFERROR(__xludf.DUMMYFUNCTION("""COMPUTED_VALUE"""),2.95)</f>
        <v>2.95</v>
      </c>
      <c r="J539" s="1" t="str">
        <f ca="1">IFERROR(__xludf.DUMMYFUNCTION("""COMPUTED_VALUE"""),"GIN + TONIC DIET METAL SIGN")</f>
        <v>GIN + TONIC DIET METAL SIGN</v>
      </c>
      <c r="K539" s="1">
        <f ca="1">IFERROR(__xludf.DUMMYFUNCTION("""COMPUTED_VALUE"""),2)</f>
        <v>2</v>
      </c>
      <c r="L539" s="1">
        <f ca="1">IFERROR(__xludf.DUMMYFUNCTION("""COMPUTED_VALUE"""),2.1)</f>
        <v>2.1</v>
      </c>
      <c r="T539" s="1">
        <f ca="1">IFERROR(__xludf.DUMMYFUNCTION("""COMPUTED_VALUE"""),489522)</f>
        <v>489522</v>
      </c>
      <c r="U539" s="1">
        <f ca="1">IFERROR(__xludf.DUMMYFUNCTION("""COMPUTED_VALUE"""),4.2)</f>
        <v>4.2</v>
      </c>
    </row>
    <row r="540" spans="1:21" ht="12.75" x14ac:dyDescent="0.2">
      <c r="A540" s="3">
        <f ca="1">IFERROR(__xludf.DUMMYFUNCTION("""COMPUTED_VALUE"""),40148.4895833333)</f>
        <v>40148.489583333299</v>
      </c>
      <c r="B540" s="1">
        <f ca="1">IFERROR(__xludf.DUMMYFUNCTION("""COMPUTED_VALUE"""),2.1)</f>
        <v>2.1</v>
      </c>
      <c r="E540" s="1" t="str">
        <f ca="1">IFERROR(__xludf.DUMMYFUNCTION("""COMPUTED_VALUE"""),"CHRISTMAS HANGING TREE WITH BELL")</f>
        <v>CHRISTMAS HANGING TREE WITH BELL</v>
      </c>
      <c r="F540" s="1">
        <f ca="1">IFERROR(__xludf.DUMMYFUNCTION("""COMPUTED_VALUE"""),1)</f>
        <v>1</v>
      </c>
      <c r="G540" s="1">
        <f ca="1">IFERROR(__xludf.DUMMYFUNCTION("""COMPUTED_VALUE"""),1.25)</f>
        <v>1.25</v>
      </c>
      <c r="J540" s="1" t="str">
        <f ca="1">IFERROR(__xludf.DUMMYFUNCTION("""COMPUTED_VALUE"""),"HAND OVER THE CHOCOLATE   SIGN")</f>
        <v>HAND OVER THE CHOCOLATE   SIGN</v>
      </c>
      <c r="K540" s="1">
        <f ca="1">IFERROR(__xludf.DUMMYFUNCTION("""COMPUTED_VALUE"""),2)</f>
        <v>2</v>
      </c>
      <c r="L540" s="1">
        <f ca="1">IFERROR(__xludf.DUMMYFUNCTION("""COMPUTED_VALUE"""),2.1)</f>
        <v>2.1</v>
      </c>
      <c r="T540" s="1">
        <f ca="1">IFERROR(__xludf.DUMMYFUNCTION("""COMPUTED_VALUE"""),489522)</f>
        <v>489522</v>
      </c>
      <c r="U540" s="1">
        <f ca="1">IFERROR(__xludf.DUMMYFUNCTION("""COMPUTED_VALUE"""),4.2)</f>
        <v>4.2</v>
      </c>
    </row>
    <row r="541" spans="1:21" ht="12.75" x14ac:dyDescent="0.2">
      <c r="A541" s="3">
        <f ca="1">IFERROR(__xludf.DUMMYFUNCTION("""COMPUTED_VALUE"""),40148.4895833333)</f>
        <v>40148.489583333299</v>
      </c>
      <c r="B541" s="1">
        <f ca="1">IFERROR(__xludf.DUMMYFUNCTION("""COMPUTED_VALUE"""),1.25)</f>
        <v>1.25</v>
      </c>
      <c r="E541" s="1" t="str">
        <f ca="1">IFERROR(__xludf.DUMMYFUNCTION("""COMPUTED_VALUE"""),"CHRISTMAS HANGING TREE WITH BELL")</f>
        <v>CHRISTMAS HANGING TREE WITH BELL</v>
      </c>
      <c r="F541" s="1">
        <f ca="1">IFERROR(__xludf.DUMMYFUNCTION("""COMPUTED_VALUE"""),1)</f>
        <v>1</v>
      </c>
      <c r="G541" s="1">
        <f ca="1">IFERROR(__xludf.DUMMYFUNCTION("""COMPUTED_VALUE"""),1.25)</f>
        <v>1.25</v>
      </c>
      <c r="J541" s="1" t="str">
        <f ca="1">IFERROR(__xludf.DUMMYFUNCTION("""COMPUTED_VALUE"""),"TRADITIONAL CHRISTMAS RIBBONS")</f>
        <v>TRADITIONAL CHRISTMAS RIBBONS</v>
      </c>
      <c r="K541" s="1">
        <f ca="1">IFERROR(__xludf.DUMMYFUNCTION("""COMPUTED_VALUE"""),2)</f>
        <v>2</v>
      </c>
      <c r="L541" s="1">
        <f ca="1">IFERROR(__xludf.DUMMYFUNCTION("""COMPUTED_VALUE"""),1.25)</f>
        <v>1.25</v>
      </c>
      <c r="T541" s="1">
        <f ca="1">IFERROR(__xludf.DUMMYFUNCTION("""COMPUTED_VALUE"""),489522)</f>
        <v>489522</v>
      </c>
      <c r="U541" s="1">
        <f ca="1">IFERROR(__xludf.DUMMYFUNCTION("""COMPUTED_VALUE"""),2.5)</f>
        <v>2.5</v>
      </c>
    </row>
    <row r="542" spans="1:21" ht="12.75" x14ac:dyDescent="0.2">
      <c r="A542" s="3">
        <f ca="1">IFERROR(__xludf.DUMMYFUNCTION("""COMPUTED_VALUE"""),40148.4895833333)</f>
        <v>40148.489583333299</v>
      </c>
      <c r="B542" s="1">
        <f ca="1">IFERROR(__xludf.DUMMYFUNCTION("""COMPUTED_VALUE"""),1.25)</f>
        <v>1.25</v>
      </c>
      <c r="E542" s="1" t="str">
        <f ca="1">IFERROR(__xludf.DUMMYFUNCTION("""COMPUTED_VALUE"""),"6 RIBBONS ELEGANT CHRISTMAS")</f>
        <v>6 RIBBONS ELEGANT CHRISTMAS</v>
      </c>
      <c r="F542" s="1">
        <f ca="1">IFERROR(__xludf.DUMMYFUNCTION("""COMPUTED_VALUE"""),1)</f>
        <v>1</v>
      </c>
      <c r="G542" s="1">
        <f ca="1">IFERROR(__xludf.DUMMYFUNCTION("""COMPUTED_VALUE"""),1.65)</f>
        <v>1.65</v>
      </c>
      <c r="J542" s="1" t="str">
        <f ca="1">IFERROR(__xludf.DUMMYFUNCTION("""COMPUTED_VALUE"""),"SCANDINAVIAN REDS RIBBONS")</f>
        <v>SCANDINAVIAN REDS RIBBONS</v>
      </c>
      <c r="K542" s="1">
        <f ca="1">IFERROR(__xludf.DUMMYFUNCTION("""COMPUTED_VALUE"""),2)</f>
        <v>2</v>
      </c>
      <c r="L542" s="1">
        <f ca="1">IFERROR(__xludf.DUMMYFUNCTION("""COMPUTED_VALUE"""),1.25)</f>
        <v>1.25</v>
      </c>
      <c r="T542" s="1">
        <f ca="1">IFERROR(__xludf.DUMMYFUNCTION("""COMPUTED_VALUE"""),489522)</f>
        <v>489522</v>
      </c>
      <c r="U542" s="1">
        <f ca="1">IFERROR(__xludf.DUMMYFUNCTION("""COMPUTED_VALUE"""),2.5)</f>
        <v>2.5</v>
      </c>
    </row>
    <row r="543" spans="1:21" ht="12.75" x14ac:dyDescent="0.2">
      <c r="A543" s="3">
        <f ca="1">IFERROR(__xludf.DUMMYFUNCTION("""COMPUTED_VALUE"""),40148.4895833333)</f>
        <v>40148.489583333299</v>
      </c>
      <c r="B543" s="1">
        <f ca="1">IFERROR(__xludf.DUMMYFUNCTION("""COMPUTED_VALUE"""),1.65)</f>
        <v>1.65</v>
      </c>
      <c r="E543" s="1" t="str">
        <f ca="1">IFERROR(__xludf.DUMMYFUNCTION("""COMPUTED_VALUE"""),"PAPER CHAIN KIT 50'S CHRISTMAS")</f>
        <v>PAPER CHAIN KIT 50'S CHRISTMAS</v>
      </c>
      <c r="F543" s="1">
        <f ca="1">IFERROR(__xludf.DUMMYFUNCTION("""COMPUTED_VALUE"""),1)</f>
        <v>1</v>
      </c>
      <c r="G543" s="1">
        <f ca="1">IFERROR(__xludf.DUMMYFUNCTION("""COMPUTED_VALUE"""),2.95)</f>
        <v>2.95</v>
      </c>
      <c r="J543" s="1" t="str">
        <f ca="1">IFERROR(__xludf.DUMMYFUNCTION("""COMPUTED_VALUE"""),"6 RIBBONS ELEGANT CHRISTMAS")</f>
        <v>6 RIBBONS ELEGANT CHRISTMAS</v>
      </c>
      <c r="K543" s="1">
        <f ca="1">IFERROR(__xludf.DUMMYFUNCTION("""COMPUTED_VALUE"""),2)</f>
        <v>2</v>
      </c>
      <c r="L543" s="1">
        <f ca="1">IFERROR(__xludf.DUMMYFUNCTION("""COMPUTED_VALUE"""),1.65)</f>
        <v>1.65</v>
      </c>
      <c r="T543" s="1">
        <f ca="1">IFERROR(__xludf.DUMMYFUNCTION("""COMPUTED_VALUE"""),489522)</f>
        <v>489522</v>
      </c>
      <c r="U543" s="1">
        <f ca="1">IFERROR(__xludf.DUMMYFUNCTION("""COMPUTED_VALUE"""),3.3)</f>
        <v>3.3</v>
      </c>
    </row>
    <row r="544" spans="1:21" ht="12.75" x14ac:dyDescent="0.2">
      <c r="A544" s="3">
        <f ca="1">IFERROR(__xludf.DUMMYFUNCTION("""COMPUTED_VALUE"""),40148.4895833333)</f>
        <v>40148.489583333299</v>
      </c>
      <c r="B544" s="1">
        <f ca="1">IFERROR(__xludf.DUMMYFUNCTION("""COMPUTED_VALUE"""),9.95)</f>
        <v>9.9499999999999993</v>
      </c>
      <c r="E544" s="1" t="str">
        <f ca="1">IFERROR(__xludf.DUMMYFUNCTION("""COMPUTED_VALUE"""),"PINK STRIPE HOT WATER BOTTLE")</f>
        <v>PINK STRIPE HOT WATER BOTTLE</v>
      </c>
      <c r="F544" s="1">
        <f ca="1">IFERROR(__xludf.DUMMYFUNCTION("""COMPUTED_VALUE"""),1)</f>
        <v>1</v>
      </c>
      <c r="G544" s="1">
        <f ca="1">IFERROR(__xludf.DUMMYFUNCTION("""COMPUTED_VALUE"""),2.95)</f>
        <v>2.95</v>
      </c>
      <c r="J544" s="1" t="str">
        <f ca="1">IFERROR(__xludf.DUMMYFUNCTION("""COMPUTED_VALUE"""),"VINTAGE CREAM 3 BASKET CAKE STAND")</f>
        <v>VINTAGE CREAM 3 BASKET CAKE STAND</v>
      </c>
      <c r="K544" s="1">
        <f ca="1">IFERROR(__xludf.DUMMYFUNCTION("""COMPUTED_VALUE"""),1)</f>
        <v>1</v>
      </c>
      <c r="L544" s="1">
        <f ca="1">IFERROR(__xludf.DUMMYFUNCTION("""COMPUTED_VALUE"""),9.95)</f>
        <v>9.9499999999999993</v>
      </c>
      <c r="T544" s="1">
        <f ca="1">IFERROR(__xludf.DUMMYFUNCTION("""COMPUTED_VALUE"""),489522)</f>
        <v>489522</v>
      </c>
      <c r="U544" s="1">
        <f ca="1">IFERROR(__xludf.DUMMYFUNCTION("""COMPUTED_VALUE"""),9.95)</f>
        <v>9.9499999999999993</v>
      </c>
    </row>
    <row r="545" spans="1:21" ht="12.75" x14ac:dyDescent="0.2">
      <c r="A545" s="3">
        <f ca="1">IFERROR(__xludf.DUMMYFUNCTION("""COMPUTED_VALUE"""),40148.4895833333)</f>
        <v>40148.489583333299</v>
      </c>
      <c r="B545" s="1">
        <f ca="1">IFERROR(__xludf.DUMMYFUNCTION("""COMPUTED_VALUE"""),4.65)</f>
        <v>4.6500000000000004</v>
      </c>
      <c r="E545" s="1" t="str">
        <f ca="1">IFERROR(__xludf.DUMMYFUNCTION("""COMPUTED_VALUE"""),"SET/6 IVORY BIRD T-LIGHT CANDLES")</f>
        <v>SET/6 IVORY BIRD T-LIGHT CANDLES</v>
      </c>
      <c r="F545" s="1">
        <f ca="1">IFERROR(__xludf.DUMMYFUNCTION("""COMPUTED_VALUE"""),1)</f>
        <v>1</v>
      </c>
      <c r="G545" s="1">
        <f ca="1">IFERROR(__xludf.DUMMYFUNCTION("""COMPUTED_VALUE"""),2.1)</f>
        <v>2.1</v>
      </c>
      <c r="J545" s="1" t="str">
        <f ca="1">IFERROR(__xludf.DUMMYFUNCTION("""COMPUTED_VALUE"""),"YELLOW RED FLOWER PIGGY BANK")</f>
        <v>YELLOW RED FLOWER PIGGY BANK</v>
      </c>
      <c r="K545" s="1">
        <f ca="1">IFERROR(__xludf.DUMMYFUNCTION("""COMPUTED_VALUE"""),1)</f>
        <v>1</v>
      </c>
      <c r="L545" s="1">
        <f ca="1">IFERROR(__xludf.DUMMYFUNCTION("""COMPUTED_VALUE"""),4.65)</f>
        <v>4.6500000000000004</v>
      </c>
      <c r="T545" s="1">
        <f ca="1">IFERROR(__xludf.DUMMYFUNCTION("""COMPUTED_VALUE"""),489522)</f>
        <v>489522</v>
      </c>
      <c r="U545" s="1">
        <f ca="1">IFERROR(__xludf.DUMMYFUNCTION("""COMPUTED_VALUE"""),4.65)</f>
        <v>4.6500000000000004</v>
      </c>
    </row>
    <row r="546" spans="1:21" ht="12.75" x14ac:dyDescent="0.2">
      <c r="A546" s="3">
        <f ca="1">IFERROR(__xludf.DUMMYFUNCTION("""COMPUTED_VALUE"""),40148.4895833333)</f>
        <v>40148.489583333299</v>
      </c>
      <c r="B546" s="1">
        <f ca="1">IFERROR(__xludf.DUMMYFUNCTION("""COMPUTED_VALUE"""),5.49)</f>
        <v>5.49</v>
      </c>
      <c r="E546" s="1" t="str">
        <f ca="1">IFERROR(__xludf.DUMMYFUNCTION("""COMPUTED_VALUE"""),"SET/6 SILVER REINDEER T-LIGHTS")</f>
        <v>SET/6 SILVER REINDEER T-LIGHTS</v>
      </c>
      <c r="F546" s="1">
        <f ca="1">IFERROR(__xludf.DUMMYFUNCTION("""COMPUTED_VALUE"""),1)</f>
        <v>1</v>
      </c>
      <c r="G546" s="1">
        <f ca="1">IFERROR(__xludf.DUMMYFUNCTION("""COMPUTED_VALUE"""),1.95)</f>
        <v>1.95</v>
      </c>
      <c r="J546" s="1" t="str">
        <f ca="1">IFERROR(__xludf.DUMMYFUNCTION("""COMPUTED_VALUE"""),"CAMOUFLAGE EAR MUFF HEADPHONES")</f>
        <v>CAMOUFLAGE EAR MUFF HEADPHONES</v>
      </c>
      <c r="K546" s="1">
        <f ca="1">IFERROR(__xludf.DUMMYFUNCTION("""COMPUTED_VALUE"""),1)</f>
        <v>1</v>
      </c>
      <c r="L546" s="1">
        <f ca="1">IFERROR(__xludf.DUMMYFUNCTION("""COMPUTED_VALUE"""),5.49)</f>
        <v>5.49</v>
      </c>
      <c r="T546" s="1">
        <f ca="1">IFERROR(__xludf.DUMMYFUNCTION("""COMPUTED_VALUE"""),489522)</f>
        <v>489522</v>
      </c>
      <c r="U546" s="1">
        <f ca="1">IFERROR(__xludf.DUMMYFUNCTION("""COMPUTED_VALUE"""),5.49)</f>
        <v>5.49</v>
      </c>
    </row>
    <row r="547" spans="1:21" ht="12.75" x14ac:dyDescent="0.2">
      <c r="A547" s="3">
        <f ca="1">IFERROR(__xludf.DUMMYFUNCTION("""COMPUTED_VALUE"""),40148.4895833333)</f>
        <v>40148.489583333299</v>
      </c>
      <c r="B547" s="1">
        <f ca="1">IFERROR(__xludf.DUMMYFUNCTION("""COMPUTED_VALUE"""),2.1)</f>
        <v>2.1</v>
      </c>
      <c r="E547" s="1" t="str">
        <f ca="1">IFERROR(__xludf.DUMMYFUNCTION("""COMPUTED_VALUE"""),"SET/6 BLACK SNOWFLAKE T-LIGHTS")</f>
        <v>SET/6 BLACK SNOWFLAKE T-LIGHTS</v>
      </c>
      <c r="F547" s="1">
        <f ca="1">IFERROR(__xludf.DUMMYFUNCTION("""COMPUTED_VALUE"""),1)</f>
        <v>1</v>
      </c>
      <c r="G547" s="1">
        <f ca="1">IFERROR(__xludf.DUMMYFUNCTION("""COMPUTED_VALUE"""),1.69)</f>
        <v>1.69</v>
      </c>
      <c r="J547" s="1" t="str">
        <f ca="1">IFERROR(__xludf.DUMMYFUNCTION("""COMPUTED_VALUE"""),"LOCAL CAFE MUG")</f>
        <v>LOCAL CAFE MUG</v>
      </c>
      <c r="K547" s="1">
        <f ca="1">IFERROR(__xludf.DUMMYFUNCTION("""COMPUTED_VALUE"""),1)</f>
        <v>1</v>
      </c>
      <c r="L547" s="1">
        <f ca="1">IFERROR(__xludf.DUMMYFUNCTION("""COMPUTED_VALUE"""),2.1)</f>
        <v>2.1</v>
      </c>
      <c r="T547" s="1">
        <f ca="1">IFERROR(__xludf.DUMMYFUNCTION("""COMPUTED_VALUE"""),489522)</f>
        <v>489522</v>
      </c>
      <c r="U547" s="1">
        <f ca="1">IFERROR(__xludf.DUMMYFUNCTION("""COMPUTED_VALUE"""),2.1)</f>
        <v>2.1</v>
      </c>
    </row>
    <row r="548" spans="1:21" ht="12.75" x14ac:dyDescent="0.2">
      <c r="A548" s="3">
        <f ca="1">IFERROR(__xludf.DUMMYFUNCTION("""COMPUTED_VALUE"""),40148.4895833333)</f>
        <v>40148.489583333299</v>
      </c>
      <c r="B548" s="1">
        <f ca="1">IFERROR(__xludf.DUMMYFUNCTION("""COMPUTED_VALUE"""),3.75)</f>
        <v>3.75</v>
      </c>
      <c r="E548" s="1" t="str">
        <f ca="1">IFERROR(__xludf.DUMMYFUNCTION("""COMPUTED_VALUE"""),"RETRO BLUE SPOTTY WASHING UP GLOVES")</f>
        <v>RETRO BLUE SPOTTY WASHING UP GLOVES</v>
      </c>
      <c r="F548" s="1">
        <f ca="1">IFERROR(__xludf.DUMMYFUNCTION("""COMPUTED_VALUE"""),1)</f>
        <v>1</v>
      </c>
      <c r="G548" s="1">
        <f ca="1">IFERROR(__xludf.DUMMYFUNCTION("""COMPUTED_VALUE"""),2.1)</f>
        <v>2.1</v>
      </c>
      <c r="J548" s="1" t="str">
        <f ca="1">IFERROR(__xludf.DUMMYFUNCTION("""COMPUTED_VALUE"""),"KNITTED UNION FLAG HOT WATER BOTTLE")</f>
        <v>KNITTED UNION FLAG HOT WATER BOTTLE</v>
      </c>
      <c r="K548" s="1">
        <f ca="1">IFERROR(__xludf.DUMMYFUNCTION("""COMPUTED_VALUE"""),1)</f>
        <v>1</v>
      </c>
      <c r="L548" s="1">
        <f ca="1">IFERROR(__xludf.DUMMYFUNCTION("""COMPUTED_VALUE"""),3.75)</f>
        <v>3.75</v>
      </c>
      <c r="T548" s="1">
        <f ca="1">IFERROR(__xludf.DUMMYFUNCTION("""COMPUTED_VALUE"""),489522)</f>
        <v>489522</v>
      </c>
      <c r="U548" s="1">
        <f ca="1">IFERROR(__xludf.DUMMYFUNCTION("""COMPUTED_VALUE"""),3.75)</f>
        <v>3.75</v>
      </c>
    </row>
    <row r="549" spans="1:21" ht="12.75" x14ac:dyDescent="0.2">
      <c r="A549" s="3">
        <f ca="1">IFERROR(__xludf.DUMMYFUNCTION("""COMPUTED_VALUE"""),40148.4895833333)</f>
        <v>40148.489583333299</v>
      </c>
      <c r="B549" s="1">
        <f ca="1">IFERROR(__xludf.DUMMYFUNCTION("""COMPUTED_VALUE"""),3.95)</f>
        <v>3.95</v>
      </c>
      <c r="E549" s="1" t="str">
        <f ca="1">IFERROR(__xludf.DUMMYFUNCTION("""COMPUTED_VALUE"""),"RETRO RED SPOTTY WASHING UP GLOVES")</f>
        <v>RETRO RED SPOTTY WASHING UP GLOVES</v>
      </c>
      <c r="F549" s="1">
        <f ca="1">IFERROR(__xludf.DUMMYFUNCTION("""COMPUTED_VALUE"""),1)</f>
        <v>1</v>
      </c>
      <c r="G549" s="1">
        <f ca="1">IFERROR(__xludf.DUMMYFUNCTION("""COMPUTED_VALUE"""),2.1)</f>
        <v>2.1</v>
      </c>
      <c r="J549" s="1" t="str">
        <f ca="1">IFERROR(__xludf.DUMMYFUNCTION("""COMPUTED_VALUE"""),"HOT WATER BOTTLE TEA AND SYMPATHY")</f>
        <v>HOT WATER BOTTLE TEA AND SYMPATHY</v>
      </c>
      <c r="K549" s="1">
        <f ca="1">IFERROR(__xludf.DUMMYFUNCTION("""COMPUTED_VALUE"""),1)</f>
        <v>1</v>
      </c>
      <c r="L549" s="1">
        <f ca="1">IFERROR(__xludf.DUMMYFUNCTION("""COMPUTED_VALUE"""),3.95)</f>
        <v>3.95</v>
      </c>
      <c r="T549" s="1">
        <f ca="1">IFERROR(__xludf.DUMMYFUNCTION("""COMPUTED_VALUE"""),489522)</f>
        <v>489522</v>
      </c>
      <c r="U549" s="1">
        <f ca="1">IFERROR(__xludf.DUMMYFUNCTION("""COMPUTED_VALUE"""),3.95)</f>
        <v>3.95</v>
      </c>
    </row>
    <row r="550" spans="1:21" ht="12.75" x14ac:dyDescent="0.2">
      <c r="A550" s="3">
        <f ca="1">IFERROR(__xludf.DUMMYFUNCTION("""COMPUTED_VALUE"""),40148.4895833333)</f>
        <v>40148.489583333299</v>
      </c>
      <c r="B550" s="1">
        <f ca="1">IFERROR(__xludf.DUMMYFUNCTION("""COMPUTED_VALUE"""),3.95)</f>
        <v>3.95</v>
      </c>
      <c r="E550" s="1" t="str">
        <f ca="1">IFERROR(__xludf.DUMMYFUNCTION("""COMPUTED_VALUE"""),"WISE MAN STAR SHAPE EGG PAN")</f>
        <v>WISE MAN STAR SHAPE EGG PAN</v>
      </c>
      <c r="F550" s="1">
        <f ca="1">IFERROR(__xludf.DUMMYFUNCTION("""COMPUTED_VALUE"""),1)</f>
        <v>1</v>
      </c>
      <c r="G550" s="1">
        <f ca="1">IFERROR(__xludf.DUMMYFUNCTION("""COMPUTED_VALUE"""),1.65)</f>
        <v>1.65</v>
      </c>
      <c r="J550" s="1" t="str">
        <f ca="1">IFERROR(__xludf.DUMMYFUNCTION("""COMPUTED_VALUE"""),"BLUE WHITE SCARF HOT WATER BOTTLE")</f>
        <v>BLUE WHITE SCARF HOT WATER BOTTLE</v>
      </c>
      <c r="K550" s="1">
        <f ca="1">IFERROR(__xludf.DUMMYFUNCTION("""COMPUTED_VALUE"""),1)</f>
        <v>1</v>
      </c>
      <c r="L550" s="1">
        <f ca="1">IFERROR(__xludf.DUMMYFUNCTION("""COMPUTED_VALUE"""),3.95)</f>
        <v>3.95</v>
      </c>
      <c r="T550" s="1">
        <f ca="1">IFERROR(__xludf.DUMMYFUNCTION("""COMPUTED_VALUE"""),489522)</f>
        <v>489522</v>
      </c>
      <c r="U550" s="1">
        <f ca="1">IFERROR(__xludf.DUMMYFUNCTION("""COMPUTED_VALUE"""),3.95)</f>
        <v>3.95</v>
      </c>
    </row>
    <row r="551" spans="1:21" ht="12.75" x14ac:dyDescent="0.2">
      <c r="A551" s="3">
        <f ca="1">IFERROR(__xludf.DUMMYFUNCTION("""COMPUTED_VALUE"""),40148.4895833333)</f>
        <v>40148.489583333299</v>
      </c>
      <c r="B551" s="1">
        <f ca="1">IFERROR(__xludf.DUMMYFUNCTION("""COMPUTED_VALUE"""),1.25)</f>
        <v>1.25</v>
      </c>
      <c r="E551" s="1" t="str">
        <f ca="1">IFERROR(__xludf.DUMMYFUNCTION("""COMPUTED_VALUE"""),"PINK UNION JACK  PASSPORT COVER")</f>
        <v>PINK UNION JACK  PASSPORT COVER</v>
      </c>
      <c r="F551" s="1">
        <f ca="1">IFERROR(__xludf.DUMMYFUNCTION("""COMPUTED_VALUE"""),1)</f>
        <v>1</v>
      </c>
      <c r="G551" s="1">
        <f ca="1">IFERROR(__xludf.DUMMYFUNCTION("""COMPUTED_VALUE"""),2.1)</f>
        <v>2.1</v>
      </c>
      <c r="J551" s="1" t="str">
        <f ca="1">IFERROR(__xludf.DUMMYFUNCTION("""COMPUTED_VALUE"""),"POTTING SHED TEA MUG")</f>
        <v>POTTING SHED TEA MUG</v>
      </c>
      <c r="K551" s="1">
        <f ca="1">IFERROR(__xludf.DUMMYFUNCTION("""COMPUTED_VALUE"""),1)</f>
        <v>1</v>
      </c>
      <c r="L551" s="1">
        <f ca="1">IFERROR(__xludf.DUMMYFUNCTION("""COMPUTED_VALUE"""),1.25)</f>
        <v>1.25</v>
      </c>
      <c r="T551" s="1">
        <f ca="1">IFERROR(__xludf.DUMMYFUNCTION("""COMPUTED_VALUE"""),489522)</f>
        <v>489522</v>
      </c>
      <c r="U551" s="1">
        <f ca="1">IFERROR(__xludf.DUMMYFUNCTION("""COMPUTED_VALUE"""),1.25)</f>
        <v>1.25</v>
      </c>
    </row>
    <row r="552" spans="1:21" ht="12.75" x14ac:dyDescent="0.2">
      <c r="A552" s="3">
        <f ca="1">IFERROR(__xludf.DUMMYFUNCTION("""COMPUTED_VALUE"""),40148.4895833333)</f>
        <v>40148.489583333299</v>
      </c>
      <c r="B552" s="1">
        <f ca="1">IFERROR(__xludf.DUMMYFUNCTION("""COMPUTED_VALUE"""),1.25)</f>
        <v>1.25</v>
      </c>
      <c r="E552" s="1" t="str">
        <f ca="1">IFERROR(__xludf.DUMMYFUNCTION("""COMPUTED_VALUE"""),"CHOCOLATE CALCULATOR")</f>
        <v>CHOCOLATE CALCULATOR</v>
      </c>
      <c r="F552" s="1">
        <f ca="1">IFERROR(__xludf.DUMMYFUNCTION("""COMPUTED_VALUE"""),1)</f>
        <v>1</v>
      </c>
      <c r="G552" s="1">
        <f ca="1">IFERROR(__xludf.DUMMYFUNCTION("""COMPUTED_VALUE"""),1.65)</f>
        <v>1.65</v>
      </c>
      <c r="J552" s="1" t="str">
        <f ca="1">IFERROR(__xludf.DUMMYFUNCTION("""COMPUTED_VALUE"""),"KINGS CHOICE MUG")</f>
        <v>KINGS CHOICE MUG</v>
      </c>
      <c r="K552" s="1">
        <f ca="1">IFERROR(__xludf.DUMMYFUNCTION("""COMPUTED_VALUE"""),1)</f>
        <v>1</v>
      </c>
      <c r="L552" s="1">
        <f ca="1">IFERROR(__xludf.DUMMYFUNCTION("""COMPUTED_VALUE"""),1.25)</f>
        <v>1.25</v>
      </c>
      <c r="T552" s="1">
        <f ca="1">IFERROR(__xludf.DUMMYFUNCTION("""COMPUTED_VALUE"""),489522)</f>
        <v>489522</v>
      </c>
      <c r="U552" s="1">
        <f ca="1">IFERROR(__xludf.DUMMYFUNCTION("""COMPUTED_VALUE"""),1.25)</f>
        <v>1.25</v>
      </c>
    </row>
    <row r="553" spans="1:21" ht="12.75" x14ac:dyDescent="0.2">
      <c r="A553" s="3">
        <f ca="1">IFERROR(__xludf.DUMMYFUNCTION("""COMPUTED_VALUE"""),40148.4895833333)</f>
        <v>40148.489583333299</v>
      </c>
      <c r="B553" s="1">
        <f ca="1">IFERROR(__xludf.DUMMYFUNCTION("""COMPUTED_VALUE"""),1.25)</f>
        <v>1.25</v>
      </c>
      <c r="E553" s="1" t="str">
        <f ca="1">IFERROR(__xludf.DUMMYFUNCTION("""COMPUTED_VALUE"""),"BLUE CHARLIE+LOLA PERSONAL DOORSIGN")</f>
        <v>BLUE CHARLIE+LOLA PERSONAL DOORSIGN</v>
      </c>
      <c r="F553" s="1">
        <f ca="1">IFERROR(__xludf.DUMMYFUNCTION("""COMPUTED_VALUE"""),1)</f>
        <v>1</v>
      </c>
      <c r="G553" s="1">
        <f ca="1">IFERROR(__xludf.DUMMYFUNCTION("""COMPUTED_VALUE"""),2.95)</f>
        <v>2.95</v>
      </c>
      <c r="J553" s="1" t="str">
        <f ca="1">IFERROR(__xludf.DUMMYFUNCTION("""COMPUTED_VALUE"""),"POTTING SHED COFFEE MUG")</f>
        <v>POTTING SHED COFFEE MUG</v>
      </c>
      <c r="K553" s="1">
        <f ca="1">IFERROR(__xludf.DUMMYFUNCTION("""COMPUTED_VALUE"""),1)</f>
        <v>1</v>
      </c>
      <c r="L553" s="1">
        <f ca="1">IFERROR(__xludf.DUMMYFUNCTION("""COMPUTED_VALUE"""),1.25)</f>
        <v>1.25</v>
      </c>
      <c r="T553" s="1">
        <f ca="1">IFERROR(__xludf.DUMMYFUNCTION("""COMPUTED_VALUE"""),489522)</f>
        <v>489522</v>
      </c>
      <c r="U553" s="1">
        <f ca="1">IFERROR(__xludf.DUMMYFUNCTION("""COMPUTED_VALUE"""),1.25)</f>
        <v>1.25</v>
      </c>
    </row>
    <row r="554" spans="1:21" ht="12.75" x14ac:dyDescent="0.2">
      <c r="A554" s="3">
        <f ca="1">IFERROR(__xludf.DUMMYFUNCTION("""COMPUTED_VALUE"""),40148.4895833333)</f>
        <v>40148.489583333299</v>
      </c>
      <c r="B554" s="1">
        <f ca="1">IFERROR(__xludf.DUMMYFUNCTION("""COMPUTED_VALUE"""),4.25)</f>
        <v>4.25</v>
      </c>
      <c r="E554" s="1" t="str">
        <f ca="1">IFERROR(__xludf.DUMMYFUNCTION("""COMPUTED_VALUE"""),"RED CHARLIE+LOLA PERSONAL DOORSIGN")</f>
        <v>RED CHARLIE+LOLA PERSONAL DOORSIGN</v>
      </c>
      <c r="F554" s="1">
        <f ca="1">IFERROR(__xludf.DUMMYFUNCTION("""COMPUTED_VALUE"""),1)</f>
        <v>1</v>
      </c>
      <c r="G554" s="1">
        <f ca="1">IFERROR(__xludf.DUMMYFUNCTION("""COMPUTED_VALUE"""),2.95)</f>
        <v>2.95</v>
      </c>
      <c r="J554" s="1" t="str">
        <f ca="1">IFERROR(__xludf.DUMMYFUNCTION("""COMPUTED_VALUE"""),"CAKE STAND LACE WHITE")</f>
        <v>CAKE STAND LACE WHITE</v>
      </c>
      <c r="K554" s="1">
        <f ca="1">IFERROR(__xludf.DUMMYFUNCTION("""COMPUTED_VALUE"""),1)</f>
        <v>1</v>
      </c>
      <c r="L554" s="1">
        <f ca="1">IFERROR(__xludf.DUMMYFUNCTION("""COMPUTED_VALUE"""),4.25)</f>
        <v>4.25</v>
      </c>
      <c r="T554" s="1">
        <f ca="1">IFERROR(__xludf.DUMMYFUNCTION("""COMPUTED_VALUE"""),489522)</f>
        <v>489522</v>
      </c>
      <c r="U554" s="1">
        <f ca="1">IFERROR(__xludf.DUMMYFUNCTION("""COMPUTED_VALUE"""),4.25)</f>
        <v>4.25</v>
      </c>
    </row>
    <row r="555" spans="1:21" ht="12.75" x14ac:dyDescent="0.2">
      <c r="A555" s="3">
        <f ca="1">IFERROR(__xludf.DUMMYFUNCTION("""COMPUTED_VALUE"""),40148.4895833333)</f>
        <v>40148.489583333299</v>
      </c>
      <c r="B555" s="1">
        <f ca="1">IFERROR(__xludf.DUMMYFUNCTION("""COMPUTED_VALUE"""),4.95)</f>
        <v>4.95</v>
      </c>
      <c r="E555" s="1" t="str">
        <f ca="1">IFERROR(__xludf.DUMMYFUNCTION("""COMPUTED_VALUE"""),"SET OF 6 CAKE CHOPSTICKS")</f>
        <v>SET OF 6 CAKE CHOPSTICKS</v>
      </c>
      <c r="F555" s="1">
        <f ca="1">IFERROR(__xludf.DUMMYFUNCTION("""COMPUTED_VALUE"""),1)</f>
        <v>1</v>
      </c>
      <c r="G555" s="1">
        <f ca="1">IFERROR(__xludf.DUMMYFUNCTION("""COMPUTED_VALUE"""),1.25)</f>
        <v>1.25</v>
      </c>
      <c r="J555" s="1" t="str">
        <f ca="1">IFERROR(__xludf.DUMMYFUNCTION("""COMPUTED_VALUE"""),"CAKE PLATE LOVEBIRD WHITE")</f>
        <v>CAKE PLATE LOVEBIRD WHITE</v>
      </c>
      <c r="K555" s="1">
        <f ca="1">IFERROR(__xludf.DUMMYFUNCTION("""COMPUTED_VALUE"""),1)</f>
        <v>1</v>
      </c>
      <c r="L555" s="1">
        <f ca="1">IFERROR(__xludf.DUMMYFUNCTION("""COMPUTED_VALUE"""),4.95)</f>
        <v>4.95</v>
      </c>
      <c r="T555" s="1">
        <f ca="1">IFERROR(__xludf.DUMMYFUNCTION("""COMPUTED_VALUE"""),489522)</f>
        <v>489522</v>
      </c>
      <c r="U555" s="1">
        <f ca="1">IFERROR(__xludf.DUMMYFUNCTION("""COMPUTED_VALUE"""),4.95)</f>
        <v>4.95</v>
      </c>
    </row>
    <row r="556" spans="1:21" ht="12.75" x14ac:dyDescent="0.2">
      <c r="A556" s="3">
        <f ca="1">IFERROR(__xludf.DUMMYFUNCTION("""COMPUTED_VALUE"""),40148.4895833333)</f>
        <v>40148.489583333299</v>
      </c>
      <c r="B556" s="1">
        <f ca="1">IFERROR(__xludf.DUMMYFUNCTION("""COMPUTED_VALUE"""),6.75)</f>
        <v>6.75</v>
      </c>
      <c r="E556" s="1" t="str">
        <f ca="1">IFERROR(__xludf.DUMMYFUNCTION("""COMPUTED_VALUE"""),"FEATHER DUSTER, COAL BLACK")</f>
        <v>FEATHER DUSTER, COAL BLACK</v>
      </c>
      <c r="F556" s="1">
        <f ca="1">IFERROR(__xludf.DUMMYFUNCTION("""COMPUTED_VALUE"""),1)</f>
        <v>1</v>
      </c>
      <c r="G556" s="1">
        <f ca="1">IFERROR(__xludf.DUMMYFUNCTION("""COMPUTED_VALUE"""),1.25)</f>
        <v>1.25</v>
      </c>
      <c r="J556" s="1" t="str">
        <f ca="1">IFERROR(__xludf.DUMMYFUNCTION("""COMPUTED_VALUE"""),"DOOR MAT 3 SMILEY CATS")</f>
        <v>DOOR MAT 3 SMILEY CATS</v>
      </c>
      <c r="K556" s="1">
        <f ca="1">IFERROR(__xludf.DUMMYFUNCTION("""COMPUTED_VALUE"""),1)</f>
        <v>1</v>
      </c>
      <c r="L556" s="1">
        <f ca="1">IFERROR(__xludf.DUMMYFUNCTION("""COMPUTED_VALUE"""),6.75)</f>
        <v>6.75</v>
      </c>
      <c r="T556" s="1">
        <f ca="1">IFERROR(__xludf.DUMMYFUNCTION("""COMPUTED_VALUE"""),489522)</f>
        <v>489522</v>
      </c>
      <c r="U556" s="1">
        <f ca="1">IFERROR(__xludf.DUMMYFUNCTION("""COMPUTED_VALUE"""),6.75)</f>
        <v>6.75</v>
      </c>
    </row>
    <row r="557" spans="1:21" ht="12.75" x14ac:dyDescent="0.2">
      <c r="A557" s="3">
        <f ca="1">IFERROR(__xludf.DUMMYFUNCTION("""COMPUTED_VALUE"""),40148.4895833333)</f>
        <v>40148.489583333299</v>
      </c>
      <c r="B557" s="1">
        <f ca="1">IFERROR(__xludf.DUMMYFUNCTION("""COMPUTED_VALUE"""),6.75)</f>
        <v>6.75</v>
      </c>
      <c r="E557" s="1" t="str">
        <f ca="1">IFERROR(__xludf.DUMMYFUNCTION("""COMPUTED_VALUE"""),"CROCHET BEAR WITH BLUE STRIPES")</f>
        <v>CROCHET BEAR WITH BLUE STRIPES</v>
      </c>
      <c r="F557" s="1">
        <f ca="1">IFERROR(__xludf.DUMMYFUNCTION("""COMPUTED_VALUE"""),1)</f>
        <v>1</v>
      </c>
      <c r="G557" s="1">
        <f ca="1">IFERROR(__xludf.DUMMYFUNCTION("""COMPUTED_VALUE"""),2.55)</f>
        <v>2.5499999999999998</v>
      </c>
      <c r="J557" s="1" t="str">
        <f ca="1">IFERROR(__xludf.DUMMYFUNCTION("""COMPUTED_VALUE"""),"RED SPOTTY COIR DOORMAT")</f>
        <v>RED SPOTTY COIR DOORMAT</v>
      </c>
      <c r="K557" s="1">
        <f ca="1">IFERROR(__xludf.DUMMYFUNCTION("""COMPUTED_VALUE"""),1)</f>
        <v>1</v>
      </c>
      <c r="L557" s="1">
        <f ca="1">IFERROR(__xludf.DUMMYFUNCTION("""COMPUTED_VALUE"""),6.75)</f>
        <v>6.75</v>
      </c>
      <c r="T557" s="1">
        <f ca="1">IFERROR(__xludf.DUMMYFUNCTION("""COMPUTED_VALUE"""),489522)</f>
        <v>489522</v>
      </c>
      <c r="U557" s="1">
        <f ca="1">IFERROR(__xludf.DUMMYFUNCTION("""COMPUTED_VALUE"""),6.75)</f>
        <v>6.75</v>
      </c>
    </row>
    <row r="558" spans="1:21" ht="12.75" x14ac:dyDescent="0.2">
      <c r="A558" s="3">
        <f ca="1">IFERROR(__xludf.DUMMYFUNCTION("""COMPUTED_VALUE"""),40148.4895833333)</f>
        <v>40148.489583333299</v>
      </c>
      <c r="B558" s="1">
        <f ca="1">IFERROR(__xludf.DUMMYFUNCTION("""COMPUTED_VALUE"""),6.75)</f>
        <v>6.75</v>
      </c>
      <c r="E558" s="1" t="str">
        <f ca="1">IFERROR(__xludf.DUMMYFUNCTION("""COMPUTED_VALUE"""),"SMALL SKULL WINDMILL")</f>
        <v>SMALL SKULL WINDMILL</v>
      </c>
      <c r="F558" s="1">
        <f ca="1">IFERROR(__xludf.DUMMYFUNCTION("""COMPUTED_VALUE"""),1)</f>
        <v>1</v>
      </c>
      <c r="G558" s="1">
        <f ca="1">IFERROR(__xludf.DUMMYFUNCTION("""COMPUTED_VALUE"""),1.25)</f>
        <v>1.25</v>
      </c>
      <c r="J558" s="1" t="str">
        <f ca="1">IFERROR(__xludf.DUMMYFUNCTION("""COMPUTED_VALUE"""),"DOORMAT HEARTS")</f>
        <v>DOORMAT HEARTS</v>
      </c>
      <c r="K558" s="1">
        <f ca="1">IFERROR(__xludf.DUMMYFUNCTION("""COMPUTED_VALUE"""),1)</f>
        <v>1</v>
      </c>
      <c r="L558" s="1">
        <f ca="1">IFERROR(__xludf.DUMMYFUNCTION("""COMPUTED_VALUE"""),6.75)</f>
        <v>6.75</v>
      </c>
      <c r="T558" s="1">
        <f ca="1">IFERROR(__xludf.DUMMYFUNCTION("""COMPUTED_VALUE"""),489522)</f>
        <v>489522</v>
      </c>
      <c r="U558" s="1">
        <f ca="1">IFERROR(__xludf.DUMMYFUNCTION("""COMPUTED_VALUE"""),6.75)</f>
        <v>6.75</v>
      </c>
    </row>
    <row r="559" spans="1:21" ht="12.75" x14ac:dyDescent="0.2">
      <c r="A559" s="3">
        <f ca="1">IFERROR(__xludf.DUMMYFUNCTION("""COMPUTED_VALUE"""),40148.4895833333)</f>
        <v>40148.489583333299</v>
      </c>
      <c r="B559" s="1">
        <f ca="1">IFERROR(__xludf.DUMMYFUNCTION("""COMPUTED_VALUE"""),4.65)</f>
        <v>4.6500000000000004</v>
      </c>
      <c r="E559" s="1" t="str">
        <f ca="1">IFERROR(__xludf.DUMMYFUNCTION("""COMPUTED_VALUE"""),"PIZZA PLATE IN BOX")</f>
        <v>PIZZA PLATE IN BOX</v>
      </c>
      <c r="F559" s="1">
        <f ca="1">IFERROR(__xludf.DUMMYFUNCTION("""COMPUTED_VALUE"""),1)</f>
        <v>1</v>
      </c>
      <c r="G559" s="1">
        <f ca="1">IFERROR(__xludf.DUMMYFUNCTION("""COMPUTED_VALUE"""),3.75)</f>
        <v>3.75</v>
      </c>
      <c r="J559" s="1" t="str">
        <f ca="1">IFERROR(__xludf.DUMMYFUNCTION("""COMPUTED_VALUE"""),"GREEN BLUE FLOWER PIGGY BANK")</f>
        <v>GREEN BLUE FLOWER PIGGY BANK</v>
      </c>
      <c r="K559" s="1">
        <f ca="1">IFERROR(__xludf.DUMMYFUNCTION("""COMPUTED_VALUE"""),1)</f>
        <v>1</v>
      </c>
      <c r="L559" s="1">
        <f ca="1">IFERROR(__xludf.DUMMYFUNCTION("""COMPUTED_VALUE"""),4.65)</f>
        <v>4.6500000000000004</v>
      </c>
      <c r="T559" s="1">
        <f ca="1">IFERROR(__xludf.DUMMYFUNCTION("""COMPUTED_VALUE"""),489522)</f>
        <v>489522</v>
      </c>
      <c r="U559" s="1">
        <f ca="1">IFERROR(__xludf.DUMMYFUNCTION("""COMPUTED_VALUE"""),4.65)</f>
        <v>4.6500000000000004</v>
      </c>
    </row>
    <row r="560" spans="1:21" ht="12.75" x14ac:dyDescent="0.2">
      <c r="A560" s="3">
        <f ca="1">IFERROR(__xludf.DUMMYFUNCTION("""COMPUTED_VALUE"""),40148.4895833333)</f>
        <v>40148.489583333299</v>
      </c>
      <c r="B560" s="1">
        <f ca="1">IFERROR(__xludf.DUMMYFUNCTION("""COMPUTED_VALUE"""),1.25)</f>
        <v>1.25</v>
      </c>
      <c r="E560" s="1" t="str">
        <f ca="1">IFERROR(__xludf.DUMMYFUNCTION("""COMPUTED_VALUE"""),"72 ROUND PINK DOILIES")</f>
        <v>72 ROUND PINK DOILIES</v>
      </c>
      <c r="F560" s="1">
        <f ca="1">IFERROR(__xludf.DUMMYFUNCTION("""COMPUTED_VALUE"""),1)</f>
        <v>1</v>
      </c>
      <c r="G560" s="1">
        <f ca="1">IFERROR(__xludf.DUMMYFUNCTION("""COMPUTED_VALUE"""),1.45)</f>
        <v>1.45</v>
      </c>
      <c r="J560" s="1" t="str">
        <f ca="1">IFERROR(__xludf.DUMMYFUNCTION("""COMPUTED_VALUE"""),"PINK SPOTTY BOWL")</f>
        <v>PINK SPOTTY BOWL</v>
      </c>
      <c r="K560" s="1">
        <f ca="1">IFERROR(__xludf.DUMMYFUNCTION("""COMPUTED_VALUE"""),1)</f>
        <v>1</v>
      </c>
      <c r="L560" s="1">
        <f ca="1">IFERROR(__xludf.DUMMYFUNCTION("""COMPUTED_VALUE"""),1.25)</f>
        <v>1.25</v>
      </c>
      <c r="T560" s="1">
        <f ca="1">IFERROR(__xludf.DUMMYFUNCTION("""COMPUTED_VALUE"""),489522)</f>
        <v>489522</v>
      </c>
      <c r="U560" s="1">
        <f ca="1">IFERROR(__xludf.DUMMYFUNCTION("""COMPUTED_VALUE"""),1.25)</f>
        <v>1.25</v>
      </c>
    </row>
    <row r="561" spans="1:21" ht="12.75" x14ac:dyDescent="0.2">
      <c r="A561" s="3">
        <f ca="1">IFERROR(__xludf.DUMMYFUNCTION("""COMPUTED_VALUE"""),40148.4895833333)</f>
        <v>40148.489583333299</v>
      </c>
      <c r="B561" s="1">
        <f ca="1">IFERROR(__xludf.DUMMYFUNCTION("""COMPUTED_VALUE"""),1.25)</f>
        <v>1.25</v>
      </c>
      <c r="E561" s="1" t="str">
        <f ca="1">IFERROR(__xludf.DUMMYFUNCTION("""COMPUTED_VALUE"""),"RETRO SPOT TEA SET CERAMIC 11 PC")</f>
        <v>RETRO SPOT TEA SET CERAMIC 11 PC</v>
      </c>
      <c r="F561" s="1">
        <f ca="1">IFERROR(__xludf.DUMMYFUNCTION("""COMPUTED_VALUE"""),1)</f>
        <v>1</v>
      </c>
      <c r="G561" s="1">
        <f ca="1">IFERROR(__xludf.DUMMYFUNCTION("""COMPUTED_VALUE"""),4.95)</f>
        <v>4.95</v>
      </c>
      <c r="J561" s="1" t="str">
        <f ca="1">IFERROR(__xludf.DUMMYFUNCTION("""COMPUTED_VALUE"""),"RED SPOTTY BOWL")</f>
        <v>RED SPOTTY BOWL</v>
      </c>
      <c r="K561" s="1">
        <f ca="1">IFERROR(__xludf.DUMMYFUNCTION("""COMPUTED_VALUE"""),1)</f>
        <v>1</v>
      </c>
      <c r="L561" s="1">
        <f ca="1">IFERROR(__xludf.DUMMYFUNCTION("""COMPUTED_VALUE"""),1.25)</f>
        <v>1.25</v>
      </c>
      <c r="T561" s="1">
        <f ca="1">IFERROR(__xludf.DUMMYFUNCTION("""COMPUTED_VALUE"""),489522)</f>
        <v>489522</v>
      </c>
      <c r="U561" s="1">
        <f ca="1">IFERROR(__xludf.DUMMYFUNCTION("""COMPUTED_VALUE"""),1.25)</f>
        <v>1.25</v>
      </c>
    </row>
    <row r="562" spans="1:21" ht="12.75" x14ac:dyDescent="0.2">
      <c r="A562" s="3">
        <f ca="1">IFERROR(__xludf.DUMMYFUNCTION("""COMPUTED_VALUE"""),40148.4895833333)</f>
        <v>40148.489583333299</v>
      </c>
      <c r="B562" s="1">
        <f ca="1">IFERROR(__xludf.DUMMYFUNCTION("""COMPUTED_VALUE"""),1.25)</f>
        <v>1.25</v>
      </c>
      <c r="E562" s="1" t="str">
        <f ca="1">IFERROR(__xludf.DUMMYFUNCTION("""COMPUTED_VALUE"""),"SET OF 20 KIDS COOKIE CUTTERS")</f>
        <v>SET OF 20 KIDS COOKIE CUTTERS</v>
      </c>
      <c r="F562" s="1">
        <f ca="1">IFERROR(__xludf.DUMMYFUNCTION("""COMPUTED_VALUE"""),1)</f>
        <v>1</v>
      </c>
      <c r="G562" s="1">
        <f ca="1">IFERROR(__xludf.DUMMYFUNCTION("""COMPUTED_VALUE"""),1.95)</f>
        <v>1.95</v>
      </c>
      <c r="J562" s="1" t="str">
        <f ca="1">IFERROR(__xludf.DUMMYFUNCTION("""COMPUTED_VALUE"""),"BLUE SPOTTY BOWL")</f>
        <v>BLUE SPOTTY BOWL</v>
      </c>
      <c r="K562" s="1">
        <f ca="1">IFERROR(__xludf.DUMMYFUNCTION("""COMPUTED_VALUE"""),1)</f>
        <v>1</v>
      </c>
      <c r="L562" s="1">
        <f ca="1">IFERROR(__xludf.DUMMYFUNCTION("""COMPUTED_VALUE"""),1.25)</f>
        <v>1.25</v>
      </c>
      <c r="T562" s="1">
        <f ca="1">IFERROR(__xludf.DUMMYFUNCTION("""COMPUTED_VALUE"""),489522)</f>
        <v>489522</v>
      </c>
      <c r="U562" s="1">
        <f ca="1">IFERROR(__xludf.DUMMYFUNCTION("""COMPUTED_VALUE"""),1.25)</f>
        <v>1.25</v>
      </c>
    </row>
    <row r="563" spans="1:21" ht="12.75" x14ac:dyDescent="0.2">
      <c r="A563" s="3">
        <f ca="1">IFERROR(__xludf.DUMMYFUNCTION("""COMPUTED_VALUE"""),40148.4895833333)</f>
        <v>40148.489583333299</v>
      </c>
      <c r="B563" s="1">
        <f ca="1">IFERROR(__xludf.DUMMYFUNCTION("""COMPUTED_VALUE"""),1.25)</f>
        <v>1.25</v>
      </c>
      <c r="E563" s="1" t="str">
        <f ca="1">IFERROR(__xludf.DUMMYFUNCTION("""COMPUTED_VALUE"""),"STRAWBERRY BATH SPONGE")</f>
        <v>STRAWBERRY BATH SPONGE</v>
      </c>
      <c r="F563" s="1">
        <f ca="1">IFERROR(__xludf.DUMMYFUNCTION("""COMPUTED_VALUE"""),1)</f>
        <v>1</v>
      </c>
      <c r="G563" s="1">
        <f ca="1">IFERROR(__xludf.DUMMYFUNCTION("""COMPUTED_VALUE"""),1.25)</f>
        <v>1.25</v>
      </c>
      <c r="J563" s="1" t="str">
        <f ca="1">IFERROR(__xludf.DUMMYFUNCTION("""COMPUTED_VALUE"""),"200 RED + WHITE BENDY STRAWS")</f>
        <v>200 RED + WHITE BENDY STRAWS</v>
      </c>
      <c r="K563" s="1">
        <f ca="1">IFERROR(__xludf.DUMMYFUNCTION("""COMPUTED_VALUE"""),1)</f>
        <v>1</v>
      </c>
      <c r="L563" s="1">
        <f ca="1">IFERROR(__xludf.DUMMYFUNCTION("""COMPUTED_VALUE"""),1.25)</f>
        <v>1.25</v>
      </c>
      <c r="T563" s="1">
        <f ca="1">IFERROR(__xludf.DUMMYFUNCTION("""COMPUTED_VALUE"""),489522)</f>
        <v>489522</v>
      </c>
      <c r="U563" s="1">
        <f ca="1">IFERROR(__xludf.DUMMYFUNCTION("""COMPUTED_VALUE"""),1.25)</f>
        <v>1.25</v>
      </c>
    </row>
    <row r="564" spans="1:21" ht="12.75" x14ac:dyDescent="0.2">
      <c r="A564" s="3">
        <f ca="1">IFERROR(__xludf.DUMMYFUNCTION("""COMPUTED_VALUE"""),40148.4895833333)</f>
        <v>40148.489583333299</v>
      </c>
      <c r="B564" s="1">
        <f ca="1">IFERROR(__xludf.DUMMYFUNCTION("""COMPUTED_VALUE"""),1.25)</f>
        <v>1.25</v>
      </c>
      <c r="E564" s="1" t="str">
        <f ca="1">IFERROR(__xludf.DUMMYFUNCTION("""COMPUTED_VALUE"""),"WATERMELON BATH SPONGE")</f>
        <v>WATERMELON BATH SPONGE</v>
      </c>
      <c r="F564" s="1">
        <f ca="1">IFERROR(__xludf.DUMMYFUNCTION("""COMPUTED_VALUE"""),1)</f>
        <v>1</v>
      </c>
      <c r="G564" s="1">
        <f ca="1">IFERROR(__xludf.DUMMYFUNCTION("""COMPUTED_VALUE"""),1.25)</f>
        <v>1.25</v>
      </c>
      <c r="J564" s="1" t="str">
        <f ca="1">IFERROR(__xludf.DUMMYFUNCTION("""COMPUTED_VALUE"""),"I CAN ONLY PLEASE ONE PERSON MUG")</f>
        <v>I CAN ONLY PLEASE ONE PERSON MUG</v>
      </c>
      <c r="K564" s="1">
        <f ca="1">IFERROR(__xludf.DUMMYFUNCTION("""COMPUTED_VALUE"""),1)</f>
        <v>1</v>
      </c>
      <c r="L564" s="1">
        <f ca="1">IFERROR(__xludf.DUMMYFUNCTION("""COMPUTED_VALUE"""),1.25)</f>
        <v>1.25</v>
      </c>
      <c r="T564" s="1">
        <f ca="1">IFERROR(__xludf.DUMMYFUNCTION("""COMPUTED_VALUE"""),489522)</f>
        <v>489522</v>
      </c>
      <c r="U564" s="1">
        <f ca="1">IFERROR(__xludf.DUMMYFUNCTION("""COMPUTED_VALUE"""),1.25)</f>
        <v>1.25</v>
      </c>
    </row>
    <row r="565" spans="1:21" ht="12.75" x14ac:dyDescent="0.2">
      <c r="A565" s="3">
        <f ca="1">IFERROR(__xludf.DUMMYFUNCTION("""COMPUTED_VALUE"""),40148.4895833333)</f>
        <v>40148.489583333299</v>
      </c>
      <c r="B565" s="1">
        <f ca="1">IFERROR(__xludf.DUMMYFUNCTION("""COMPUTED_VALUE"""),2.1)</f>
        <v>2.1</v>
      </c>
      <c r="E565" s="1" t="str">
        <f ca="1">IFERROR(__xludf.DUMMYFUNCTION("""COMPUTED_VALUE"""),"SANDWICH BATH SPONGE")</f>
        <v>SANDWICH BATH SPONGE</v>
      </c>
      <c r="F565" s="1">
        <f ca="1">IFERROR(__xludf.DUMMYFUNCTION("""COMPUTED_VALUE"""),1)</f>
        <v>1</v>
      </c>
      <c r="G565" s="1">
        <f ca="1">IFERROR(__xludf.DUMMYFUNCTION("""COMPUTED_VALUE"""),1.25)</f>
        <v>1.25</v>
      </c>
      <c r="J565" s="1" t="str">
        <f ca="1">IFERROR(__xludf.DUMMYFUNCTION("""COMPUTED_VALUE"""),"NO SINGING METAL SIGN")</f>
        <v>NO SINGING METAL SIGN</v>
      </c>
      <c r="K565" s="1">
        <f ca="1">IFERROR(__xludf.DUMMYFUNCTION("""COMPUTED_VALUE"""),1)</f>
        <v>1</v>
      </c>
      <c r="L565" s="1">
        <f ca="1">IFERROR(__xludf.DUMMYFUNCTION("""COMPUTED_VALUE"""),2.1)</f>
        <v>2.1</v>
      </c>
      <c r="T565" s="1">
        <f ca="1">IFERROR(__xludf.DUMMYFUNCTION("""COMPUTED_VALUE"""),489522)</f>
        <v>489522</v>
      </c>
      <c r="U565" s="1">
        <f ca="1">IFERROR(__xludf.DUMMYFUNCTION("""COMPUTED_VALUE"""),2.1)</f>
        <v>2.1</v>
      </c>
    </row>
    <row r="566" spans="1:21" ht="12.75" x14ac:dyDescent="0.2">
      <c r="A566" s="3">
        <f ca="1">IFERROR(__xludf.DUMMYFUNCTION("""COMPUTED_VALUE"""),40148.4895833333)</f>
        <v>40148.489583333299</v>
      </c>
      <c r="B566" s="1">
        <f ca="1">IFERROR(__xludf.DUMMYFUNCTION("""COMPUTED_VALUE"""),2.95)</f>
        <v>2.95</v>
      </c>
      <c r="E566" s="1" t="str">
        <f ca="1">IFERROR(__xludf.DUMMYFUNCTION("""COMPUTED_VALUE"""),"S/6 WOODEN SKITTLES IN COTTON BAG")</f>
        <v>S/6 WOODEN SKITTLES IN COTTON BAG</v>
      </c>
      <c r="F566" s="1">
        <f ca="1">IFERROR(__xludf.DUMMYFUNCTION("""COMPUTED_VALUE"""),1)</f>
        <v>1</v>
      </c>
      <c r="G566" s="1">
        <f ca="1">IFERROR(__xludf.DUMMYFUNCTION("""COMPUTED_VALUE"""),2.95)</f>
        <v>2.95</v>
      </c>
      <c r="J566" s="1" t="str">
        <f ca="1">IFERROR(__xludf.DUMMYFUNCTION("""COMPUTED_VALUE"""),"METAL SIGN EMPIRE TEA")</f>
        <v>METAL SIGN EMPIRE TEA</v>
      </c>
      <c r="K566" s="1">
        <f ca="1">IFERROR(__xludf.DUMMYFUNCTION("""COMPUTED_VALUE"""),1)</f>
        <v>1</v>
      </c>
      <c r="L566" s="1">
        <f ca="1">IFERROR(__xludf.DUMMYFUNCTION("""COMPUTED_VALUE"""),2.95)</f>
        <v>2.95</v>
      </c>
      <c r="T566" s="1">
        <f ca="1">IFERROR(__xludf.DUMMYFUNCTION("""COMPUTED_VALUE"""),489522)</f>
        <v>489522</v>
      </c>
      <c r="U566" s="1">
        <f ca="1">IFERROR(__xludf.DUMMYFUNCTION("""COMPUTED_VALUE"""),2.95)</f>
        <v>2.95</v>
      </c>
    </row>
    <row r="567" spans="1:21" ht="12.75" x14ac:dyDescent="0.2">
      <c r="A567" s="3">
        <f ca="1">IFERROR(__xludf.DUMMYFUNCTION("""COMPUTED_VALUE"""),40148.4895833333)</f>
        <v>40148.489583333299</v>
      </c>
      <c r="B567" s="1">
        <f ca="1">IFERROR(__xludf.DUMMYFUNCTION("""COMPUTED_VALUE"""),1.95)</f>
        <v>1.95</v>
      </c>
      <c r="E567" s="1" t="str">
        <f ca="1">IFERROR(__xludf.DUMMYFUNCTION("""COMPUTED_VALUE"""),"LUNCHBOX WITH CUTLERY FAIRY CAKES")</f>
        <v>LUNCHBOX WITH CUTLERY FAIRY CAKES</v>
      </c>
      <c r="F567" s="1">
        <f ca="1">IFERROR(__xludf.DUMMYFUNCTION("""COMPUTED_VALUE"""),1)</f>
        <v>1</v>
      </c>
      <c r="G567" s="1">
        <f ca="1">IFERROR(__xludf.DUMMYFUNCTION("""COMPUTED_VALUE"""),2.55)</f>
        <v>2.5499999999999998</v>
      </c>
      <c r="J567" s="1" t="str">
        <f ca="1">IFERROR(__xludf.DUMMYFUNCTION("""COMPUTED_VALUE"""),"POTTERING IN THE SHED METAL SIGN")</f>
        <v>POTTERING IN THE SHED METAL SIGN</v>
      </c>
      <c r="K567" s="1">
        <f ca="1">IFERROR(__xludf.DUMMYFUNCTION("""COMPUTED_VALUE"""),1)</f>
        <v>1</v>
      </c>
      <c r="L567" s="1">
        <f ca="1">IFERROR(__xludf.DUMMYFUNCTION("""COMPUTED_VALUE"""),1.95)</f>
        <v>1.95</v>
      </c>
      <c r="T567" s="1">
        <f ca="1">IFERROR(__xludf.DUMMYFUNCTION("""COMPUTED_VALUE"""),489522)</f>
        <v>489522</v>
      </c>
      <c r="U567" s="1">
        <f ca="1">IFERROR(__xludf.DUMMYFUNCTION("""COMPUTED_VALUE"""),1.95)</f>
        <v>1.95</v>
      </c>
    </row>
    <row r="568" spans="1:21" ht="12.75" x14ac:dyDescent="0.2">
      <c r="A568" s="3">
        <f ca="1">IFERROR(__xludf.DUMMYFUNCTION("""COMPUTED_VALUE"""),40148.4895833333)</f>
        <v>40148.489583333299</v>
      </c>
      <c r="B568" s="1">
        <f ca="1">IFERROR(__xludf.DUMMYFUNCTION("""COMPUTED_VALUE"""),2.1)</f>
        <v>2.1</v>
      </c>
      <c r="E568" s="1" t="str">
        <f ca="1">IFERROR(__xludf.DUMMYFUNCTION("""COMPUTED_VALUE"""),"SET/6 PINK BIRD T-LIGHT CANDLES")</f>
        <v>SET/6 PINK BIRD T-LIGHT CANDLES</v>
      </c>
      <c r="F568" s="1">
        <f ca="1">IFERROR(__xludf.DUMMYFUNCTION("""COMPUTED_VALUE"""),1)</f>
        <v>1</v>
      </c>
      <c r="G568" s="1">
        <f ca="1">IFERROR(__xludf.DUMMYFUNCTION("""COMPUTED_VALUE"""),2.1)</f>
        <v>2.1</v>
      </c>
      <c r="J568" s="1" t="str">
        <f ca="1">IFERROR(__xludf.DUMMYFUNCTION("""COMPUTED_VALUE"""),"AREA PATROLLED METAL SIGN")</f>
        <v>AREA PATROLLED METAL SIGN</v>
      </c>
      <c r="K568" s="1">
        <f ca="1">IFERROR(__xludf.DUMMYFUNCTION("""COMPUTED_VALUE"""),1)</f>
        <v>1</v>
      </c>
      <c r="L568" s="1">
        <f ca="1">IFERROR(__xludf.DUMMYFUNCTION("""COMPUTED_VALUE"""),2.1)</f>
        <v>2.1</v>
      </c>
      <c r="T568" s="1">
        <f ca="1">IFERROR(__xludf.DUMMYFUNCTION("""COMPUTED_VALUE"""),489522)</f>
        <v>489522</v>
      </c>
      <c r="U568" s="1">
        <f ca="1">IFERROR(__xludf.DUMMYFUNCTION("""COMPUTED_VALUE"""),2.1)</f>
        <v>2.1</v>
      </c>
    </row>
    <row r="569" spans="1:21" ht="12.75" x14ac:dyDescent="0.2">
      <c r="A569" s="3">
        <f ca="1">IFERROR(__xludf.DUMMYFUNCTION("""COMPUTED_VALUE"""),40148.4895833333)</f>
        <v>40148.489583333299</v>
      </c>
      <c r="B569" s="1">
        <f ca="1">IFERROR(__xludf.DUMMYFUNCTION("""COMPUTED_VALUE"""),2.55)</f>
        <v>2.5499999999999998</v>
      </c>
      <c r="E569" s="1" t="str">
        <f ca="1">IFERROR(__xludf.DUMMYFUNCTION("""COMPUTED_VALUE"""),"VANILLA INCENSE IN TIN")</f>
        <v>VANILLA INCENSE IN TIN</v>
      </c>
      <c r="F569" s="1">
        <f ca="1">IFERROR(__xludf.DUMMYFUNCTION("""COMPUTED_VALUE"""),1)</f>
        <v>1</v>
      </c>
      <c r="G569" s="1">
        <f ca="1">IFERROR(__xludf.DUMMYFUNCTION("""COMPUTED_VALUE"""),1.25)</f>
        <v>1.25</v>
      </c>
      <c r="J569" s="1" t="str">
        <f ca="1">IFERROR(__xludf.DUMMYFUNCTION("""COMPUTED_VALUE"""),"LADIES &amp; GENTLEMEN METAL SIGN")</f>
        <v>LADIES &amp; GENTLEMEN METAL SIGN</v>
      </c>
      <c r="K569" s="1">
        <f ca="1">IFERROR(__xludf.DUMMYFUNCTION("""COMPUTED_VALUE"""),1)</f>
        <v>1</v>
      </c>
      <c r="L569" s="1">
        <f ca="1">IFERROR(__xludf.DUMMYFUNCTION("""COMPUTED_VALUE"""),2.55)</f>
        <v>2.5499999999999998</v>
      </c>
      <c r="T569" s="1">
        <f ca="1">IFERROR(__xludf.DUMMYFUNCTION("""COMPUTED_VALUE"""),489522)</f>
        <v>489522</v>
      </c>
      <c r="U569" s="1">
        <f ca="1">IFERROR(__xludf.DUMMYFUNCTION("""COMPUTED_VALUE"""),2.55)</f>
        <v>2.5499999999999998</v>
      </c>
    </row>
    <row r="570" spans="1:21" ht="12.75" x14ac:dyDescent="0.2">
      <c r="A570" s="3">
        <f ca="1">IFERROR(__xludf.DUMMYFUNCTION("""COMPUTED_VALUE"""),40148.4895833333)</f>
        <v>40148.489583333299</v>
      </c>
      <c r="B570" s="1">
        <f ca="1">IFERROR(__xludf.DUMMYFUNCTION("""COMPUTED_VALUE"""),5.95)</f>
        <v>5.95</v>
      </c>
      <c r="E570" s="1" t="str">
        <f ca="1">IFERROR(__xludf.DUMMYFUNCTION("""COMPUTED_VALUE"""),"CORONA MEXICAN TRAY")</f>
        <v>CORONA MEXICAN TRAY</v>
      </c>
      <c r="F570" s="1">
        <f ca="1">IFERROR(__xludf.DUMMYFUNCTION("""COMPUTED_VALUE"""),1)</f>
        <v>1</v>
      </c>
      <c r="G570" s="1">
        <f ca="1">IFERROR(__xludf.DUMMYFUNCTION("""COMPUTED_VALUE"""),3.75)</f>
        <v>3.75</v>
      </c>
      <c r="J570" s="1" t="str">
        <f ca="1">IFERROR(__xludf.DUMMYFUNCTION("""COMPUTED_VALUE"""),"LOVE BUILDING BLOCK WORD")</f>
        <v>LOVE BUILDING BLOCK WORD</v>
      </c>
      <c r="K570" s="1">
        <f ca="1">IFERROR(__xludf.DUMMYFUNCTION("""COMPUTED_VALUE"""),1)</f>
        <v>1</v>
      </c>
      <c r="L570" s="1">
        <f ca="1">IFERROR(__xludf.DUMMYFUNCTION("""COMPUTED_VALUE"""),5.95)</f>
        <v>5.95</v>
      </c>
      <c r="T570" s="1">
        <f ca="1">IFERROR(__xludf.DUMMYFUNCTION("""COMPUTED_VALUE"""),489522)</f>
        <v>489522</v>
      </c>
      <c r="U570" s="1">
        <f ca="1">IFERROR(__xludf.DUMMYFUNCTION("""COMPUTED_VALUE"""),5.95)</f>
        <v>5.95</v>
      </c>
    </row>
    <row r="571" spans="1:21" ht="12.75" x14ac:dyDescent="0.2">
      <c r="A571" s="3">
        <f ca="1">IFERROR(__xludf.DUMMYFUNCTION("""COMPUTED_VALUE"""),40148.4895833333)</f>
        <v>40148.489583333299</v>
      </c>
      <c r="B571" s="1">
        <f ca="1">IFERROR(__xludf.DUMMYFUNCTION("""COMPUTED_VALUE"""),3.75)</f>
        <v>3.75</v>
      </c>
      <c r="E571" s="1" t="str">
        <f ca="1">IFERROR(__xludf.DUMMYFUNCTION("""COMPUTED_VALUE"""),"PINK SPOTTY BOWL")</f>
        <v>PINK SPOTTY BOWL</v>
      </c>
      <c r="F571" s="1">
        <f ca="1">IFERROR(__xludf.DUMMYFUNCTION("""COMPUTED_VALUE"""),1)</f>
        <v>1</v>
      </c>
      <c r="G571" s="1">
        <f ca="1">IFERROR(__xludf.DUMMYFUNCTION("""COMPUTED_VALUE"""),1.25)</f>
        <v>1.25</v>
      </c>
      <c r="J571" s="1" t="str">
        <f ca="1">IFERROR(__xludf.DUMMYFUNCTION("""COMPUTED_VALUE"""),"RED 3 PIECE MINI DOTS CUTLERY SET")</f>
        <v>RED 3 PIECE MINI DOTS CUTLERY SET</v>
      </c>
      <c r="K571" s="1">
        <f ca="1">IFERROR(__xludf.DUMMYFUNCTION("""COMPUTED_VALUE"""),1)</f>
        <v>1</v>
      </c>
      <c r="L571" s="1">
        <f ca="1">IFERROR(__xludf.DUMMYFUNCTION("""COMPUTED_VALUE"""),3.75)</f>
        <v>3.75</v>
      </c>
      <c r="T571" s="1">
        <f ca="1">IFERROR(__xludf.DUMMYFUNCTION("""COMPUTED_VALUE"""),489522)</f>
        <v>489522</v>
      </c>
      <c r="U571" s="1">
        <f ca="1">IFERROR(__xludf.DUMMYFUNCTION("""COMPUTED_VALUE"""),3.75)</f>
        <v>3.75</v>
      </c>
    </row>
    <row r="572" spans="1:21" ht="12.75" x14ac:dyDescent="0.2">
      <c r="A572" s="3">
        <f ca="1">IFERROR(__xludf.DUMMYFUNCTION("""COMPUTED_VALUE"""),40148.4895833333)</f>
        <v>40148.489583333299</v>
      </c>
      <c r="B572" s="1">
        <f ca="1">IFERROR(__xludf.DUMMYFUNCTION("""COMPUTED_VALUE"""),3.75)</f>
        <v>3.75</v>
      </c>
      <c r="E572" s="1" t="str">
        <f ca="1">IFERROR(__xludf.DUMMYFUNCTION("""COMPUTED_VALUE"""),"BLUE SPOTTY BOWL")</f>
        <v>BLUE SPOTTY BOWL</v>
      </c>
      <c r="F572" s="1">
        <f ca="1">IFERROR(__xludf.DUMMYFUNCTION("""COMPUTED_VALUE"""),1)</f>
        <v>1</v>
      </c>
      <c r="G572" s="1">
        <f ca="1">IFERROR(__xludf.DUMMYFUNCTION("""COMPUTED_VALUE"""),1.25)</f>
        <v>1.25</v>
      </c>
      <c r="J572" s="1" t="str">
        <f ca="1">IFERROR(__xludf.DUMMYFUNCTION("""COMPUTED_VALUE"""),"PINK 3 PIECE MINI DOTS CUTLERY SET")</f>
        <v>PINK 3 PIECE MINI DOTS CUTLERY SET</v>
      </c>
      <c r="K572" s="1">
        <f ca="1">IFERROR(__xludf.DUMMYFUNCTION("""COMPUTED_VALUE"""),1)</f>
        <v>1</v>
      </c>
      <c r="L572" s="1">
        <f ca="1">IFERROR(__xludf.DUMMYFUNCTION("""COMPUTED_VALUE"""),3.75)</f>
        <v>3.75</v>
      </c>
      <c r="T572" s="1">
        <f ca="1">IFERROR(__xludf.DUMMYFUNCTION("""COMPUTED_VALUE"""),489522)</f>
        <v>489522</v>
      </c>
      <c r="U572" s="1">
        <f ca="1">IFERROR(__xludf.DUMMYFUNCTION("""COMPUTED_VALUE"""),3.75)</f>
        <v>3.75</v>
      </c>
    </row>
    <row r="573" spans="1:21" ht="12.75" x14ac:dyDescent="0.2">
      <c r="A573" s="3">
        <f ca="1">IFERROR(__xludf.DUMMYFUNCTION("""COMPUTED_VALUE"""),40148.4895833333)</f>
        <v>40148.489583333299</v>
      </c>
      <c r="B573" s="1">
        <f ca="1">IFERROR(__xludf.DUMMYFUNCTION("""COMPUTED_VALUE"""),3.75)</f>
        <v>3.75</v>
      </c>
      <c r="E573" s="1" t="str">
        <f ca="1">IFERROR(__xludf.DUMMYFUNCTION("""COMPUTED_VALUE"""),"12 MINI TOADSTOOL PEGS")</f>
        <v>12 MINI TOADSTOOL PEGS</v>
      </c>
      <c r="F573" s="1">
        <f ca="1">IFERROR(__xludf.DUMMYFUNCTION("""COMPUTED_VALUE"""),1)</f>
        <v>1</v>
      </c>
      <c r="G573" s="1">
        <f ca="1">IFERROR(__xludf.DUMMYFUNCTION("""COMPUTED_VALUE"""),1.25)</f>
        <v>1.25</v>
      </c>
      <c r="J573" s="1" t="str">
        <f ca="1">IFERROR(__xludf.DUMMYFUNCTION("""COMPUTED_VALUE"""),"BLUE 3 PIECE MINI DOTS CUTLERY SET")</f>
        <v>BLUE 3 PIECE MINI DOTS CUTLERY SET</v>
      </c>
      <c r="K573" s="1">
        <f ca="1">IFERROR(__xludf.DUMMYFUNCTION("""COMPUTED_VALUE"""),1)</f>
        <v>1</v>
      </c>
      <c r="L573" s="1">
        <f ca="1">IFERROR(__xludf.DUMMYFUNCTION("""COMPUTED_VALUE"""),3.75)</f>
        <v>3.75</v>
      </c>
      <c r="T573" s="1">
        <f ca="1">IFERROR(__xludf.DUMMYFUNCTION("""COMPUTED_VALUE"""),489522)</f>
        <v>489522</v>
      </c>
      <c r="U573" s="1">
        <f ca="1">IFERROR(__xludf.DUMMYFUNCTION("""COMPUTED_VALUE"""),3.75)</f>
        <v>3.75</v>
      </c>
    </row>
    <row r="574" spans="1:21" ht="12.75" x14ac:dyDescent="0.2">
      <c r="A574" s="3">
        <f ca="1">IFERROR(__xludf.DUMMYFUNCTION("""COMPUTED_VALUE"""),40148.4895833333)</f>
        <v>40148.489583333299</v>
      </c>
      <c r="B574" s="1">
        <f ca="1">IFERROR(__xludf.DUMMYFUNCTION("""COMPUTED_VALUE"""),1.65)</f>
        <v>1.65</v>
      </c>
      <c r="E574" s="1" t="str">
        <f ca="1">IFERROR(__xludf.DUMMYFUNCTION("""COMPUTED_VALUE"""),"CHRISTMAS CRAFT WHITE FAIRY")</f>
        <v>CHRISTMAS CRAFT WHITE FAIRY</v>
      </c>
      <c r="F574" s="1">
        <f ca="1">IFERROR(__xludf.DUMMYFUNCTION("""COMPUTED_VALUE"""),1)</f>
        <v>1</v>
      </c>
      <c r="G574" s="1">
        <f ca="1">IFERROR(__xludf.DUMMYFUNCTION("""COMPUTED_VALUE"""),1.45)</f>
        <v>1.45</v>
      </c>
      <c r="J574" s="1" t="str">
        <f ca="1">IFERROR(__xludf.DUMMYFUNCTION("""COMPUTED_VALUE"""),"6 RIBBONS RUSTIC CHARM")</f>
        <v>6 RIBBONS RUSTIC CHARM</v>
      </c>
      <c r="K574" s="1">
        <f ca="1">IFERROR(__xludf.DUMMYFUNCTION("""COMPUTED_VALUE"""),1)</f>
        <v>1</v>
      </c>
      <c r="L574" s="1">
        <f ca="1">IFERROR(__xludf.DUMMYFUNCTION("""COMPUTED_VALUE"""),1.65)</f>
        <v>1.65</v>
      </c>
      <c r="T574" s="1">
        <f ca="1">IFERROR(__xludf.DUMMYFUNCTION("""COMPUTED_VALUE"""),489522)</f>
        <v>489522</v>
      </c>
      <c r="U574" s="1">
        <f ca="1">IFERROR(__xludf.DUMMYFUNCTION("""COMPUTED_VALUE"""),1.65)</f>
        <v>1.65</v>
      </c>
    </row>
    <row r="575" spans="1:21" ht="12.75" x14ac:dyDescent="0.2">
      <c r="A575" s="3">
        <f ca="1">IFERROR(__xludf.DUMMYFUNCTION("""COMPUTED_VALUE"""),40148.4895833333)</f>
        <v>40148.489583333299</v>
      </c>
      <c r="B575" s="1">
        <f ca="1">IFERROR(__xludf.DUMMYFUNCTION("""COMPUTED_VALUE"""),1.65)</f>
        <v>1.65</v>
      </c>
      <c r="E575" s="1" t="str">
        <f ca="1">IFERROR(__xludf.DUMMYFUNCTION("""COMPUTED_VALUE"""),"CHRISTMAS CRAFT WHITE FAIRY")</f>
        <v>CHRISTMAS CRAFT WHITE FAIRY</v>
      </c>
      <c r="F575" s="1">
        <f ca="1">IFERROR(__xludf.DUMMYFUNCTION("""COMPUTED_VALUE"""),1)</f>
        <v>1</v>
      </c>
      <c r="G575" s="1">
        <f ca="1">IFERROR(__xludf.DUMMYFUNCTION("""COMPUTED_VALUE"""),1.45)</f>
        <v>1.45</v>
      </c>
      <c r="J575" s="1" t="str">
        <f ca="1">IFERROR(__xludf.DUMMYFUNCTION("""COMPUTED_VALUE"""),"6 RIBBONS EMPIRE")</f>
        <v>6 RIBBONS EMPIRE</v>
      </c>
      <c r="K575" s="1">
        <f ca="1">IFERROR(__xludf.DUMMYFUNCTION("""COMPUTED_VALUE"""),1)</f>
        <v>1</v>
      </c>
      <c r="L575" s="1">
        <f ca="1">IFERROR(__xludf.DUMMYFUNCTION("""COMPUTED_VALUE"""),1.65)</f>
        <v>1.65</v>
      </c>
      <c r="T575" s="1">
        <f ca="1">IFERROR(__xludf.DUMMYFUNCTION("""COMPUTED_VALUE"""),489522)</f>
        <v>489522</v>
      </c>
      <c r="U575" s="1">
        <f ca="1">IFERROR(__xludf.DUMMYFUNCTION("""COMPUTED_VALUE"""),1.65)</f>
        <v>1.65</v>
      </c>
    </row>
    <row r="576" spans="1:21" ht="12.75" x14ac:dyDescent="0.2">
      <c r="A576" s="3">
        <f ca="1">IFERROR(__xludf.DUMMYFUNCTION("""COMPUTED_VALUE"""),40148.4895833333)</f>
        <v>40148.489583333299</v>
      </c>
      <c r="B576" s="1">
        <f ca="1">IFERROR(__xludf.DUMMYFUNCTION("""COMPUTED_VALUE"""),6.75)</f>
        <v>6.75</v>
      </c>
      <c r="E576" s="1" t="str">
        <f ca="1">IFERROR(__xludf.DUMMYFUNCTION("""COMPUTED_VALUE"""),"TOAST ITS - FAIRY FLOWER")</f>
        <v>TOAST ITS - FAIRY FLOWER</v>
      </c>
      <c r="F576" s="1">
        <f ca="1">IFERROR(__xludf.DUMMYFUNCTION("""COMPUTED_VALUE"""),1)</f>
        <v>1</v>
      </c>
      <c r="G576" s="1">
        <f ca="1">IFERROR(__xludf.DUMMYFUNCTION("""COMPUTED_VALUE"""),1.25)</f>
        <v>1.25</v>
      </c>
      <c r="J576" s="1" t="str">
        <f ca="1">IFERROR(__xludf.DUMMYFUNCTION("""COMPUTED_VALUE"""),"WHITE CHERRY LIGHTS")</f>
        <v>WHITE CHERRY LIGHTS</v>
      </c>
      <c r="K576" s="1">
        <f ca="1">IFERROR(__xludf.DUMMYFUNCTION("""COMPUTED_VALUE"""),1)</f>
        <v>1</v>
      </c>
      <c r="L576" s="1">
        <f ca="1">IFERROR(__xludf.DUMMYFUNCTION("""COMPUTED_VALUE"""),6.75)</f>
        <v>6.75</v>
      </c>
      <c r="T576" s="1">
        <f ca="1">IFERROR(__xludf.DUMMYFUNCTION("""COMPUTED_VALUE"""),489522)</f>
        <v>489522</v>
      </c>
      <c r="U576" s="1">
        <f ca="1">IFERROR(__xludf.DUMMYFUNCTION("""COMPUTED_VALUE"""),6.75)</f>
        <v>6.75</v>
      </c>
    </row>
    <row r="577" spans="1:21" ht="12.75" x14ac:dyDescent="0.2">
      <c r="A577" s="3">
        <f ca="1">IFERROR(__xludf.DUMMYFUNCTION("""COMPUTED_VALUE"""),40148.4895833333)</f>
        <v>40148.489583333299</v>
      </c>
      <c r="B577" s="1">
        <f ca="1">IFERROR(__xludf.DUMMYFUNCTION("""COMPUTED_VALUE"""),6.75)</f>
        <v>6.75</v>
      </c>
      <c r="E577" s="1" t="str">
        <f ca="1">IFERROR(__xludf.DUMMYFUNCTION("""COMPUTED_VALUE"""),"TOAST ITS - DINOSAUR")</f>
        <v>TOAST ITS - DINOSAUR</v>
      </c>
      <c r="F577" s="1">
        <f ca="1">IFERROR(__xludf.DUMMYFUNCTION("""COMPUTED_VALUE"""),1)</f>
        <v>1</v>
      </c>
      <c r="G577" s="1">
        <f ca="1">IFERROR(__xludf.DUMMYFUNCTION("""COMPUTED_VALUE"""),1.25)</f>
        <v>1.25</v>
      </c>
      <c r="J577" s="1" t="str">
        <f ca="1">IFERROR(__xludf.DUMMYFUNCTION("""COMPUTED_VALUE"""),"LIGHT PINK CHERRY LIGHTS")</f>
        <v>LIGHT PINK CHERRY LIGHTS</v>
      </c>
      <c r="K577" s="1">
        <f ca="1">IFERROR(__xludf.DUMMYFUNCTION("""COMPUTED_VALUE"""),1)</f>
        <v>1</v>
      </c>
      <c r="L577" s="1">
        <f ca="1">IFERROR(__xludf.DUMMYFUNCTION("""COMPUTED_VALUE"""),6.75)</f>
        <v>6.75</v>
      </c>
      <c r="T577" s="1">
        <f ca="1">IFERROR(__xludf.DUMMYFUNCTION("""COMPUTED_VALUE"""),489522)</f>
        <v>489522</v>
      </c>
      <c r="U577" s="1">
        <f ca="1">IFERROR(__xludf.DUMMYFUNCTION("""COMPUTED_VALUE"""),6.75)</f>
        <v>6.75</v>
      </c>
    </row>
    <row r="578" spans="1:21" ht="12.75" x14ac:dyDescent="0.2">
      <c r="A578" s="3">
        <f ca="1">IFERROR(__xludf.DUMMYFUNCTION("""COMPUTED_VALUE"""),40148.4895833333)</f>
        <v>40148.489583333299</v>
      </c>
      <c r="B578" s="1">
        <f ca="1">IFERROR(__xludf.DUMMYFUNCTION("""COMPUTED_VALUE"""),6.75)</f>
        <v>6.75</v>
      </c>
      <c r="E578" s="1" t="str">
        <f ca="1">IFERROR(__xludf.DUMMYFUNCTION("""COMPUTED_VALUE"""),"COOK WITH WINE METAL SIGN")</f>
        <v>COOK WITH WINE METAL SIGN</v>
      </c>
      <c r="F578" s="1">
        <f ca="1">IFERROR(__xludf.DUMMYFUNCTION("""COMPUTED_VALUE"""),1)</f>
        <v>1</v>
      </c>
      <c r="G578" s="1">
        <f ca="1">IFERROR(__xludf.DUMMYFUNCTION("""COMPUTED_VALUE"""),1.95)</f>
        <v>1.95</v>
      </c>
      <c r="J578" s="1" t="str">
        <f ca="1">IFERROR(__xludf.DUMMYFUNCTION("""COMPUTED_VALUE"""),"BROWN FLOWER LIGHTS")</f>
        <v>BROWN FLOWER LIGHTS</v>
      </c>
      <c r="K578" s="1">
        <f ca="1">IFERROR(__xludf.DUMMYFUNCTION("""COMPUTED_VALUE"""),1)</f>
        <v>1</v>
      </c>
      <c r="L578" s="1">
        <f ca="1">IFERROR(__xludf.DUMMYFUNCTION("""COMPUTED_VALUE"""),6.75)</f>
        <v>6.75</v>
      </c>
      <c r="T578" s="1">
        <f ca="1">IFERROR(__xludf.DUMMYFUNCTION("""COMPUTED_VALUE"""),489522)</f>
        <v>489522</v>
      </c>
      <c r="U578" s="1">
        <f ca="1">IFERROR(__xludf.DUMMYFUNCTION("""COMPUTED_VALUE"""),6.75)</f>
        <v>6.75</v>
      </c>
    </row>
    <row r="579" spans="1:21" ht="12.75" x14ac:dyDescent="0.2">
      <c r="A579" s="3">
        <f ca="1">IFERROR(__xludf.DUMMYFUNCTION("""COMPUTED_VALUE"""),40148.4902777777)</f>
        <v>40148.490277777702</v>
      </c>
      <c r="B579" s="1">
        <f ca="1">IFERROR(__xludf.DUMMYFUNCTION("""COMPUTED_VALUE"""),1.45)</f>
        <v>1.45</v>
      </c>
      <c r="E579" s="1" t="str">
        <f ca="1">IFERROR(__xludf.DUMMYFUNCTION("""COMPUTED_VALUE"""),"GLASS STAR FROSTED T-LIGHT HOLDER")</f>
        <v>GLASS STAR FROSTED T-LIGHT HOLDER</v>
      </c>
      <c r="F579" s="1">
        <f ca="1">IFERROR(__xludf.DUMMYFUNCTION("""COMPUTED_VALUE"""),1)</f>
        <v>1</v>
      </c>
      <c r="G579" s="1">
        <f ca="1">IFERROR(__xludf.DUMMYFUNCTION("""COMPUTED_VALUE"""),4.95)</f>
        <v>4.95</v>
      </c>
      <c r="J579" s="1" t="str">
        <f ca="1">IFERROR(__xludf.DUMMYFUNCTION("""COMPUTED_VALUE"""),"ASSORTED COLOUR BIRD ORNAMENT")</f>
        <v>ASSORTED COLOUR BIRD ORNAMENT</v>
      </c>
      <c r="K579" s="1">
        <f ca="1">IFERROR(__xludf.DUMMYFUNCTION("""COMPUTED_VALUE"""),800)</f>
        <v>800</v>
      </c>
      <c r="L579" s="1">
        <f ca="1">IFERROR(__xludf.DUMMYFUNCTION("""COMPUTED_VALUE"""),1.45)</f>
        <v>1.45</v>
      </c>
      <c r="T579" s="1">
        <f ca="1">IFERROR(__xludf.DUMMYFUNCTION("""COMPUTED_VALUE"""),489523)</f>
        <v>489523</v>
      </c>
      <c r="U579" s="1">
        <f ca="1">IFERROR(__xludf.DUMMYFUNCTION("""COMPUTED_VALUE"""),1160)</f>
        <v>1160</v>
      </c>
    </row>
    <row r="580" spans="1:21" ht="12.75" x14ac:dyDescent="0.2">
      <c r="A580" s="3">
        <f ca="1">IFERROR(__xludf.DUMMYFUNCTION("""COMPUTED_VALUE"""),40148.4916666666)</f>
        <v>40148.491666666603</v>
      </c>
      <c r="B580" s="1">
        <f ca="1">IFERROR(__xludf.DUMMYFUNCTION("""COMPUTED_VALUE"""),12.75)</f>
        <v>12.75</v>
      </c>
      <c r="E580" s="1" t="str">
        <f ca="1">IFERROR(__xludf.DUMMYFUNCTION("""COMPUTED_VALUE"""),"LUNCHBOX WITH CUTLERY FAIRY CAKES")</f>
        <v>LUNCHBOX WITH CUTLERY FAIRY CAKES</v>
      </c>
      <c r="F580" s="1">
        <f ca="1">IFERROR(__xludf.DUMMYFUNCTION("""COMPUTED_VALUE"""),1)</f>
        <v>1</v>
      </c>
      <c r="G580" s="1">
        <f ca="1">IFERROR(__xludf.DUMMYFUNCTION("""COMPUTED_VALUE"""),2.55)</f>
        <v>2.5499999999999998</v>
      </c>
      <c r="J580" s="1" t="str">
        <f ca="1">IFERROR(__xludf.DUMMYFUNCTION("""COMPUTED_VALUE"""),"VICTORIAN SEWING BOX LARGE")</f>
        <v>VICTORIAN SEWING BOX LARGE</v>
      </c>
      <c r="K580" s="1">
        <f ca="1">IFERROR(__xludf.DUMMYFUNCTION("""COMPUTED_VALUE"""),-1)</f>
        <v>-1</v>
      </c>
      <c r="L580" s="1">
        <f ca="1">IFERROR(__xludf.DUMMYFUNCTION("""COMPUTED_VALUE"""),12.75)</f>
        <v>12.75</v>
      </c>
      <c r="T580" s="1"/>
      <c r="U580" s="1">
        <f ca="1">IFERROR(__xludf.DUMMYFUNCTION("""COMPUTED_VALUE"""),-12.75)</f>
        <v>-12.75</v>
      </c>
    </row>
    <row r="581" spans="1:21" ht="12.75" x14ac:dyDescent="0.2">
      <c r="A581" s="3">
        <f ca="1">IFERROR(__xludf.DUMMYFUNCTION("""COMPUTED_VALUE"""),40148.4923611111)</f>
        <v>40148.492361111101</v>
      </c>
      <c r="B581" s="1">
        <f ca="1">IFERROR(__xludf.DUMMYFUNCTION("""COMPUTED_VALUE"""),0.55)</f>
        <v>0.55000000000000004</v>
      </c>
      <c r="E581" s="1" t="str">
        <f ca="1">IFERROR(__xludf.DUMMYFUNCTION("""COMPUTED_VALUE"""),"VIP LUGGAGE TAG")</f>
        <v>VIP LUGGAGE TAG</v>
      </c>
      <c r="F581" s="1">
        <f ca="1">IFERROR(__xludf.DUMMYFUNCTION("""COMPUTED_VALUE"""),1)</f>
        <v>1</v>
      </c>
      <c r="G581" s="1">
        <f ca="1">IFERROR(__xludf.DUMMYFUNCTION("""COMPUTED_VALUE"""),1.25)</f>
        <v>1.25</v>
      </c>
      <c r="J581" s="1" t="str">
        <f ca="1">IFERROR(__xludf.DUMMYFUNCTION("""COMPUTED_VALUE"""),"BLUE PULL BACK RACING CAR")</f>
        <v>BLUE PULL BACK RACING CAR</v>
      </c>
      <c r="K581" s="1">
        <f ca="1">IFERROR(__xludf.DUMMYFUNCTION("""COMPUTED_VALUE"""),1)</f>
        <v>1</v>
      </c>
      <c r="L581" s="1">
        <f ca="1">IFERROR(__xludf.DUMMYFUNCTION("""COMPUTED_VALUE"""),0.55)</f>
        <v>0.55000000000000004</v>
      </c>
      <c r="T581" s="1">
        <f ca="1">IFERROR(__xludf.DUMMYFUNCTION("""COMPUTED_VALUE"""),489525)</f>
        <v>489525</v>
      </c>
      <c r="U581" s="1">
        <f ca="1">IFERROR(__xludf.DUMMYFUNCTION("""COMPUTED_VALUE"""),0.55)</f>
        <v>0.55000000000000004</v>
      </c>
    </row>
    <row r="582" spans="1:21" ht="12.75" x14ac:dyDescent="0.2">
      <c r="A582" s="3">
        <f ca="1">IFERROR(__xludf.DUMMYFUNCTION("""COMPUTED_VALUE"""),40148.4923611111)</f>
        <v>40148.492361111101</v>
      </c>
      <c r="B582" s="1">
        <f ca="1">IFERROR(__xludf.DUMMYFUNCTION("""COMPUTED_VALUE"""),0.85)</f>
        <v>0.85</v>
      </c>
      <c r="E582" s="1" t="str">
        <f ca="1">IFERROR(__xludf.DUMMYFUNCTION("""COMPUTED_VALUE"""),"HI TEC ALPINE HAND WARMER")</f>
        <v>HI TEC ALPINE HAND WARMER</v>
      </c>
      <c r="F582" s="1">
        <f ca="1">IFERROR(__xludf.DUMMYFUNCTION("""COMPUTED_VALUE"""),1)</f>
        <v>1</v>
      </c>
      <c r="G582" s="1">
        <f ca="1">IFERROR(__xludf.DUMMYFUNCTION("""COMPUTED_VALUE"""),1.65)</f>
        <v>1.65</v>
      </c>
      <c r="J582" s="1" t="str">
        <f ca="1">IFERROR(__xludf.DUMMYFUNCTION("""COMPUTED_VALUE"""),"SET/6 3D KIT CARDS FOR KIDS")</f>
        <v>SET/6 3D KIT CARDS FOR KIDS</v>
      </c>
      <c r="K582" s="1">
        <f ca="1">IFERROR(__xludf.DUMMYFUNCTION("""COMPUTED_VALUE"""),1)</f>
        <v>1</v>
      </c>
      <c r="L582" s="1">
        <f ca="1">IFERROR(__xludf.DUMMYFUNCTION("""COMPUTED_VALUE"""),0.85)</f>
        <v>0.85</v>
      </c>
      <c r="T582" s="1">
        <f ca="1">IFERROR(__xludf.DUMMYFUNCTION("""COMPUTED_VALUE"""),489525)</f>
        <v>489525</v>
      </c>
      <c r="U582" s="1">
        <f ca="1">IFERROR(__xludf.DUMMYFUNCTION("""COMPUTED_VALUE"""),0.85)</f>
        <v>0.85</v>
      </c>
    </row>
    <row r="583" spans="1:21" ht="12.75" x14ac:dyDescent="0.2">
      <c r="A583" s="3">
        <f ca="1">IFERROR(__xludf.DUMMYFUNCTION("""COMPUTED_VALUE"""),40148.4930555555)</f>
        <v>40148.493055555497</v>
      </c>
      <c r="B583" s="1">
        <f ca="1">IFERROR(__xludf.DUMMYFUNCTION("""COMPUTED_VALUE"""),0.42)</f>
        <v>0.42</v>
      </c>
      <c r="E583" s="1" t="str">
        <f ca="1">IFERROR(__xludf.DUMMYFUNCTION("""COMPUTED_VALUE"""),"LOVE HEART POCKET WARMER")</f>
        <v>LOVE HEART POCKET WARMER</v>
      </c>
      <c r="F583" s="1">
        <f ca="1">IFERROR(__xludf.DUMMYFUNCTION("""COMPUTED_VALUE"""),1)</f>
        <v>1</v>
      </c>
      <c r="G583" s="1">
        <f ca="1">IFERROR(__xludf.DUMMYFUNCTION("""COMPUTED_VALUE"""),1.65)</f>
        <v>1.65</v>
      </c>
      <c r="J583" s="1" t="str">
        <f ca="1">IFERROR(__xludf.DUMMYFUNCTION("""COMPUTED_VALUE"""),"RED SPOTS  WRAP")</f>
        <v>RED SPOTS  WRAP</v>
      </c>
      <c r="K583" s="1">
        <f ca="1">IFERROR(__xludf.DUMMYFUNCTION("""COMPUTED_VALUE"""),25)</f>
        <v>25</v>
      </c>
      <c r="L583" s="1">
        <f ca="1">IFERROR(__xludf.DUMMYFUNCTION("""COMPUTED_VALUE"""),0.42)</f>
        <v>0.42</v>
      </c>
      <c r="T583" s="1">
        <f ca="1">IFERROR(__xludf.DUMMYFUNCTION("""COMPUTED_VALUE"""),489526)</f>
        <v>489526</v>
      </c>
      <c r="U583" s="1">
        <f ca="1">IFERROR(__xludf.DUMMYFUNCTION("""COMPUTED_VALUE"""),10.5)</f>
        <v>10.5</v>
      </c>
    </row>
    <row r="584" spans="1:21" ht="12.75" x14ac:dyDescent="0.2">
      <c r="A584" s="3">
        <f ca="1">IFERROR(__xludf.DUMMYFUNCTION("""COMPUTED_VALUE"""),40148.4930555555)</f>
        <v>40148.493055555497</v>
      </c>
      <c r="B584" s="1">
        <f ca="1">IFERROR(__xludf.DUMMYFUNCTION("""COMPUTED_VALUE"""),0.42)</f>
        <v>0.42</v>
      </c>
      <c r="E584" s="1" t="str">
        <f ca="1">IFERROR(__xludf.DUMMYFUNCTION("""COMPUTED_VALUE"""),"CHRISTMAS CRAFT WHITE FAIRY")</f>
        <v>CHRISTMAS CRAFT WHITE FAIRY</v>
      </c>
      <c r="F584" s="1">
        <f ca="1">IFERROR(__xludf.DUMMYFUNCTION("""COMPUTED_VALUE"""),1)</f>
        <v>1</v>
      </c>
      <c r="G584" s="1">
        <f ca="1">IFERROR(__xludf.DUMMYFUNCTION("""COMPUTED_VALUE"""),1.45)</f>
        <v>1.45</v>
      </c>
      <c r="J584" s="1" t="str">
        <f ca="1">IFERROR(__xludf.DUMMYFUNCTION("""COMPUTED_VALUE"""),"WRAP BLIZZARD")</f>
        <v>WRAP BLIZZARD</v>
      </c>
      <c r="K584" s="1">
        <f ca="1">IFERROR(__xludf.DUMMYFUNCTION("""COMPUTED_VALUE"""),25)</f>
        <v>25</v>
      </c>
      <c r="L584" s="1">
        <f ca="1">IFERROR(__xludf.DUMMYFUNCTION("""COMPUTED_VALUE"""),0.42)</f>
        <v>0.42</v>
      </c>
      <c r="T584" s="1">
        <f ca="1">IFERROR(__xludf.DUMMYFUNCTION("""COMPUTED_VALUE"""),489526)</f>
        <v>489526</v>
      </c>
      <c r="U584" s="1">
        <f ca="1">IFERROR(__xludf.DUMMYFUNCTION("""COMPUTED_VALUE"""),10.5)</f>
        <v>10.5</v>
      </c>
    </row>
    <row r="585" spans="1:21" ht="12.75" x14ac:dyDescent="0.2">
      <c r="A585" s="3">
        <f ca="1">IFERROR(__xludf.DUMMYFUNCTION("""COMPUTED_VALUE"""),40148.4930555555)</f>
        <v>40148.493055555497</v>
      </c>
      <c r="B585" s="1">
        <f ca="1">IFERROR(__xludf.DUMMYFUNCTION("""COMPUTED_VALUE"""),0.55)</f>
        <v>0.55000000000000004</v>
      </c>
      <c r="E585" s="1" t="str">
        <f ca="1">IFERROR(__xludf.DUMMYFUNCTION("""COMPUTED_VALUE"""),"FELTCRAFT BUTTERFLY HEARTS")</f>
        <v>FELTCRAFT BUTTERFLY HEARTS</v>
      </c>
      <c r="F585" s="1">
        <f ca="1">IFERROR(__xludf.DUMMYFUNCTION("""COMPUTED_VALUE"""),1)</f>
        <v>1</v>
      </c>
      <c r="G585" s="1">
        <f ca="1">IFERROR(__xludf.DUMMYFUNCTION("""COMPUTED_VALUE"""),1.45)</f>
        <v>1.45</v>
      </c>
      <c r="J585" s="1" t="str">
        <f ca="1">IFERROR(__xludf.DUMMYFUNCTION("""COMPUTED_VALUE"""),"PACK OF 60 MUSHROOM CAKE CASES")</f>
        <v>PACK OF 60 MUSHROOM CAKE CASES</v>
      </c>
      <c r="K585" s="1">
        <f ca="1">IFERROR(__xludf.DUMMYFUNCTION("""COMPUTED_VALUE"""),24)</f>
        <v>24</v>
      </c>
      <c r="L585" s="1">
        <f ca="1">IFERROR(__xludf.DUMMYFUNCTION("""COMPUTED_VALUE"""),0.55)</f>
        <v>0.55000000000000004</v>
      </c>
      <c r="T585" s="1">
        <f ca="1">IFERROR(__xludf.DUMMYFUNCTION("""COMPUTED_VALUE"""),489526)</f>
        <v>489526</v>
      </c>
      <c r="U585" s="1">
        <f ca="1">IFERROR(__xludf.DUMMYFUNCTION("""COMPUTED_VALUE"""),13.2)</f>
        <v>13.2</v>
      </c>
    </row>
    <row r="586" spans="1:21" ht="12.75" x14ac:dyDescent="0.2">
      <c r="A586" s="3">
        <f ca="1">IFERROR(__xludf.DUMMYFUNCTION("""COMPUTED_VALUE"""),40148.4930555555)</f>
        <v>40148.493055555497</v>
      </c>
      <c r="B586" s="1">
        <f ca="1">IFERROR(__xludf.DUMMYFUNCTION("""COMPUTED_VALUE"""),1.65)</f>
        <v>1.65</v>
      </c>
      <c r="E586" s="1" t="str">
        <f ca="1">IFERROR(__xludf.DUMMYFUNCTION("""COMPUTED_VALUE"""),"TRADITIONAL WOODEN CATCH CUP GAME")</f>
        <v>TRADITIONAL WOODEN CATCH CUP GAME</v>
      </c>
      <c r="F586" s="1">
        <f ca="1">IFERROR(__xludf.DUMMYFUNCTION("""COMPUTED_VALUE"""),1)</f>
        <v>1</v>
      </c>
      <c r="G586" s="1">
        <f ca="1">IFERROR(__xludf.DUMMYFUNCTION("""COMPUTED_VALUE"""),1.25)</f>
        <v>1.25</v>
      </c>
      <c r="J586" s="1" t="str">
        <f ca="1">IFERROR(__xludf.DUMMYFUNCTION("""COMPUTED_VALUE"""),"SILVER HANGING T-LIGHT HOLDER DOME")</f>
        <v>SILVER HANGING T-LIGHT HOLDER DOME</v>
      </c>
      <c r="K586" s="1">
        <f ca="1">IFERROR(__xludf.DUMMYFUNCTION("""COMPUTED_VALUE"""),24)</f>
        <v>24</v>
      </c>
      <c r="L586" s="1">
        <f ca="1">IFERROR(__xludf.DUMMYFUNCTION("""COMPUTED_VALUE"""),1.65)</f>
        <v>1.65</v>
      </c>
      <c r="T586" s="1">
        <f ca="1">IFERROR(__xludf.DUMMYFUNCTION("""COMPUTED_VALUE"""),489526)</f>
        <v>489526</v>
      </c>
      <c r="U586" s="1">
        <f ca="1">IFERROR(__xludf.DUMMYFUNCTION("""COMPUTED_VALUE"""),39.5999999999999)</f>
        <v>39.599999999999902</v>
      </c>
    </row>
    <row r="587" spans="1:21" ht="12.75" x14ac:dyDescent="0.2">
      <c r="A587" s="3">
        <f ca="1">IFERROR(__xludf.DUMMYFUNCTION("""COMPUTED_VALUE"""),40148.4930555555)</f>
        <v>40148.493055555497</v>
      </c>
      <c r="B587" s="1">
        <f ca="1">IFERROR(__xludf.DUMMYFUNCTION("""COMPUTED_VALUE"""),1.25)</f>
        <v>1.25</v>
      </c>
      <c r="E587" s="1" t="str">
        <f ca="1">IFERROR(__xludf.DUMMYFUNCTION("""COMPUTED_VALUE"""),"QUEEN OF SKIES LUGGAGE TAG")</f>
        <v>QUEEN OF SKIES LUGGAGE TAG</v>
      </c>
      <c r="F587" s="1">
        <f ca="1">IFERROR(__xludf.DUMMYFUNCTION("""COMPUTED_VALUE"""),1)</f>
        <v>1</v>
      </c>
      <c r="G587" s="1">
        <f ca="1">IFERROR(__xludf.DUMMYFUNCTION("""COMPUTED_VALUE"""),1.25)</f>
        <v>1.25</v>
      </c>
      <c r="J587" s="1" t="str">
        <f ca="1">IFERROR(__xludf.DUMMYFUNCTION("""COMPUTED_VALUE"""),"ZINC METAL HEART DECORATION")</f>
        <v>ZINC METAL HEART DECORATION</v>
      </c>
      <c r="K587" s="1">
        <f ca="1">IFERROR(__xludf.DUMMYFUNCTION("""COMPUTED_VALUE"""),24)</f>
        <v>24</v>
      </c>
      <c r="L587" s="1">
        <f ca="1">IFERROR(__xludf.DUMMYFUNCTION("""COMPUTED_VALUE"""),1.25)</f>
        <v>1.25</v>
      </c>
      <c r="T587" s="1">
        <f ca="1">IFERROR(__xludf.DUMMYFUNCTION("""COMPUTED_VALUE"""),489526)</f>
        <v>489526</v>
      </c>
      <c r="U587" s="1">
        <f ca="1">IFERROR(__xludf.DUMMYFUNCTION("""COMPUTED_VALUE"""),30)</f>
        <v>30</v>
      </c>
    </row>
    <row r="588" spans="1:21" ht="12.75" x14ac:dyDescent="0.2">
      <c r="A588" s="3">
        <f ca="1">IFERROR(__xludf.DUMMYFUNCTION("""COMPUTED_VALUE"""),40148.4930555555)</f>
        <v>40148.493055555497</v>
      </c>
      <c r="B588" s="1">
        <f ca="1">IFERROR(__xludf.DUMMYFUNCTION("""COMPUTED_VALUE"""),0.65)</f>
        <v>0.65</v>
      </c>
      <c r="E588" s="1" t="str">
        <f ca="1">IFERROR(__xludf.DUMMYFUNCTION("""COMPUTED_VALUE"""),"VINTAGE HEADS AND TAILS CARD GAME")</f>
        <v>VINTAGE HEADS AND TAILS CARD GAME</v>
      </c>
      <c r="F588" s="1">
        <f ca="1">IFERROR(__xludf.DUMMYFUNCTION("""COMPUTED_VALUE"""),1)</f>
        <v>1</v>
      </c>
      <c r="G588" s="1">
        <f ca="1">IFERROR(__xludf.DUMMYFUNCTION("""COMPUTED_VALUE"""),1.25)</f>
        <v>1.25</v>
      </c>
      <c r="J588" s="1" t="str">
        <f ca="1">IFERROR(__xludf.DUMMYFUNCTION("""COMPUTED_VALUE"""),"HAIRCLIPS FORTIES FABRIC ASSORTED")</f>
        <v>HAIRCLIPS FORTIES FABRIC ASSORTED</v>
      </c>
      <c r="K588" s="1">
        <f ca="1">IFERROR(__xludf.DUMMYFUNCTION("""COMPUTED_VALUE"""),24)</f>
        <v>24</v>
      </c>
      <c r="L588" s="1">
        <f ca="1">IFERROR(__xludf.DUMMYFUNCTION("""COMPUTED_VALUE"""),0.65)</f>
        <v>0.65</v>
      </c>
      <c r="T588" s="1">
        <f ca="1">IFERROR(__xludf.DUMMYFUNCTION("""COMPUTED_VALUE"""),489526)</f>
        <v>489526</v>
      </c>
      <c r="U588" s="1">
        <f ca="1">IFERROR(__xludf.DUMMYFUNCTION("""COMPUTED_VALUE"""),15.6)</f>
        <v>15.6</v>
      </c>
    </row>
    <row r="589" spans="1:21" ht="12.75" x14ac:dyDescent="0.2">
      <c r="A589" s="3">
        <f ca="1">IFERROR(__xludf.DUMMYFUNCTION("""COMPUTED_VALUE"""),40148.4930555555)</f>
        <v>40148.493055555497</v>
      </c>
      <c r="B589" s="1">
        <f ca="1">IFERROR(__xludf.DUMMYFUNCTION("""COMPUTED_VALUE"""),0.85)</f>
        <v>0.85</v>
      </c>
      <c r="E589" s="1" t="str">
        <f ca="1">IFERROR(__xludf.DUMMYFUNCTION("""COMPUTED_VALUE"""),"MODERN FLORAL STATIONERY SET")</f>
        <v>MODERN FLORAL STATIONERY SET</v>
      </c>
      <c r="F589" s="1">
        <f ca="1">IFERROR(__xludf.DUMMYFUNCTION("""COMPUTED_VALUE"""),1)</f>
        <v>1</v>
      </c>
      <c r="G589" s="1">
        <f ca="1">IFERROR(__xludf.DUMMYFUNCTION("""COMPUTED_VALUE"""),2.95)</f>
        <v>2.95</v>
      </c>
      <c r="J589" s="1" t="str">
        <f ca="1">IFERROR(__xludf.DUMMYFUNCTION("""COMPUTED_VALUE"""),"BIRD DECORATION RED SPOT")</f>
        <v>BIRD DECORATION RED SPOT</v>
      </c>
      <c r="K589" s="1">
        <f ca="1">IFERROR(__xludf.DUMMYFUNCTION("""COMPUTED_VALUE"""),24)</f>
        <v>24</v>
      </c>
      <c r="L589" s="1">
        <f ca="1">IFERROR(__xludf.DUMMYFUNCTION("""COMPUTED_VALUE"""),0.85)</f>
        <v>0.85</v>
      </c>
      <c r="T589" s="1">
        <f ca="1">IFERROR(__xludf.DUMMYFUNCTION("""COMPUTED_VALUE"""),489526)</f>
        <v>489526</v>
      </c>
      <c r="U589" s="1">
        <f ca="1">IFERROR(__xludf.DUMMYFUNCTION("""COMPUTED_VALUE"""),20.4)</f>
        <v>20.399999999999999</v>
      </c>
    </row>
    <row r="590" spans="1:21" ht="12.75" x14ac:dyDescent="0.2">
      <c r="A590" s="3">
        <f ca="1">IFERROR(__xludf.DUMMYFUNCTION("""COMPUTED_VALUE"""),40148.4930555555)</f>
        <v>40148.493055555497</v>
      </c>
      <c r="B590" s="1">
        <f ca="1">IFERROR(__xludf.DUMMYFUNCTION("""COMPUTED_VALUE"""),0.85)</f>
        <v>0.85</v>
      </c>
      <c r="E590" s="1" t="str">
        <f ca="1">IFERROR(__xludf.DUMMYFUNCTION("""COMPUTED_VALUE"""),"SWEETHEART CERAMIC TRINKET BOX")</f>
        <v>SWEETHEART CERAMIC TRINKET BOX</v>
      </c>
      <c r="F590" s="1">
        <f ca="1">IFERROR(__xludf.DUMMYFUNCTION("""COMPUTED_VALUE"""),1)</f>
        <v>1</v>
      </c>
      <c r="G590" s="1">
        <f ca="1">IFERROR(__xludf.DUMMYFUNCTION("""COMPUTED_VALUE"""),1.25)</f>
        <v>1.25</v>
      </c>
      <c r="J590" s="1" t="str">
        <f ca="1">IFERROR(__xludf.DUMMYFUNCTION("""COMPUTED_VALUE"""),"KIDS RAIN MAC BLUE")</f>
        <v>KIDS RAIN MAC BLUE</v>
      </c>
      <c r="K590" s="1">
        <f ca="1">IFERROR(__xludf.DUMMYFUNCTION("""COMPUTED_VALUE"""),24)</f>
        <v>24</v>
      </c>
      <c r="L590" s="1">
        <f ca="1">IFERROR(__xludf.DUMMYFUNCTION("""COMPUTED_VALUE"""),0.85)</f>
        <v>0.85</v>
      </c>
      <c r="T590" s="1">
        <f ca="1">IFERROR(__xludf.DUMMYFUNCTION("""COMPUTED_VALUE"""),489526)</f>
        <v>489526</v>
      </c>
      <c r="U590" s="1">
        <f ca="1">IFERROR(__xludf.DUMMYFUNCTION("""COMPUTED_VALUE"""),20.4)</f>
        <v>20.399999999999999</v>
      </c>
    </row>
    <row r="591" spans="1:21" ht="12.75" x14ac:dyDescent="0.2">
      <c r="A591" s="3">
        <f ca="1">IFERROR(__xludf.DUMMYFUNCTION("""COMPUTED_VALUE"""),40148.4930555555)</f>
        <v>40148.493055555497</v>
      </c>
      <c r="B591" s="1">
        <f ca="1">IFERROR(__xludf.DUMMYFUNCTION("""COMPUTED_VALUE"""),0.85)</f>
        <v>0.85</v>
      </c>
      <c r="E591" s="1" t="str">
        <f ca="1">IFERROR(__xludf.DUMMYFUNCTION("""COMPUTED_VALUE"""),"SKULL SHOULDER BAG")</f>
        <v>SKULL SHOULDER BAG</v>
      </c>
      <c r="F591" s="1">
        <f ca="1">IFERROR(__xludf.DUMMYFUNCTION("""COMPUTED_VALUE"""),1)</f>
        <v>1</v>
      </c>
      <c r="G591" s="1">
        <f ca="1">IFERROR(__xludf.DUMMYFUNCTION("""COMPUTED_VALUE"""),1.65)</f>
        <v>1.65</v>
      </c>
      <c r="J591" s="1" t="str">
        <f ca="1">IFERROR(__xludf.DUMMYFUNCTION("""COMPUTED_VALUE"""),"KIDS RAIN MAC PINK")</f>
        <v>KIDS RAIN MAC PINK</v>
      </c>
      <c r="K591" s="1">
        <f ca="1">IFERROR(__xludf.DUMMYFUNCTION("""COMPUTED_VALUE"""),24)</f>
        <v>24</v>
      </c>
      <c r="L591" s="1">
        <f ca="1">IFERROR(__xludf.DUMMYFUNCTION("""COMPUTED_VALUE"""),0.85)</f>
        <v>0.85</v>
      </c>
      <c r="T591" s="1">
        <f ca="1">IFERROR(__xludf.DUMMYFUNCTION("""COMPUTED_VALUE"""),489526)</f>
        <v>489526</v>
      </c>
      <c r="U591" s="1">
        <f ca="1">IFERROR(__xludf.DUMMYFUNCTION("""COMPUTED_VALUE"""),20.4)</f>
        <v>20.399999999999999</v>
      </c>
    </row>
    <row r="592" spans="1:21" ht="12.75" x14ac:dyDescent="0.2">
      <c r="A592" s="3">
        <f ca="1">IFERROR(__xludf.DUMMYFUNCTION("""COMPUTED_VALUE"""),40148.4930555555)</f>
        <v>40148.493055555497</v>
      </c>
      <c r="B592" s="1">
        <f ca="1">IFERROR(__xludf.DUMMYFUNCTION("""COMPUTED_VALUE"""),0.85)</f>
        <v>0.85</v>
      </c>
      <c r="E592" s="1" t="str">
        <f ca="1">IFERROR(__xludf.DUMMYFUNCTION("""COMPUTED_VALUE"""),"WOODLAND DESIGN  COTTON TOTE BAG")</f>
        <v>WOODLAND DESIGN  COTTON TOTE BAG</v>
      </c>
      <c r="F592" s="1">
        <f ca="1">IFERROR(__xludf.DUMMYFUNCTION("""COMPUTED_VALUE"""),1)</f>
        <v>1</v>
      </c>
      <c r="G592" s="1">
        <f ca="1">IFERROR(__xludf.DUMMYFUNCTION("""COMPUTED_VALUE"""),2.25)</f>
        <v>2.25</v>
      </c>
      <c r="J592" s="1" t="str">
        <f ca="1">IFERROR(__xludf.DUMMYFUNCTION("""COMPUTED_VALUE"""),"ZINC WILLIE WINKIE  CANDLE STICK")</f>
        <v>ZINC WILLIE WINKIE  CANDLE STICK</v>
      </c>
      <c r="K592" s="1">
        <f ca="1">IFERROR(__xludf.DUMMYFUNCTION("""COMPUTED_VALUE"""),24)</f>
        <v>24</v>
      </c>
      <c r="L592" s="1">
        <f ca="1">IFERROR(__xludf.DUMMYFUNCTION("""COMPUTED_VALUE"""),0.85)</f>
        <v>0.85</v>
      </c>
      <c r="T592" s="1">
        <f ca="1">IFERROR(__xludf.DUMMYFUNCTION("""COMPUTED_VALUE"""),489526)</f>
        <v>489526</v>
      </c>
      <c r="U592" s="1">
        <f ca="1">IFERROR(__xludf.DUMMYFUNCTION("""COMPUTED_VALUE"""),20.4)</f>
        <v>20.399999999999999</v>
      </c>
    </row>
    <row r="593" spans="1:21" ht="12.75" x14ac:dyDescent="0.2">
      <c r="A593" s="3">
        <f ca="1">IFERROR(__xludf.DUMMYFUNCTION("""COMPUTED_VALUE"""),40148.4930555555)</f>
        <v>40148.493055555497</v>
      </c>
      <c r="B593" s="1">
        <f ca="1">IFERROR(__xludf.DUMMYFUNCTION("""COMPUTED_VALUE"""),0.85)</f>
        <v>0.85</v>
      </c>
      <c r="E593" s="1" t="str">
        <f ca="1">IFERROR(__xludf.DUMMYFUNCTION("""COMPUTED_VALUE"""),"LOLITA  DESIGN  COTTON TOTE BAG")</f>
        <v>LOLITA  DESIGN  COTTON TOTE BAG</v>
      </c>
      <c r="F593" s="1">
        <f ca="1">IFERROR(__xludf.DUMMYFUNCTION("""COMPUTED_VALUE"""),1)</f>
        <v>1</v>
      </c>
      <c r="G593" s="1">
        <f ca="1">IFERROR(__xludf.DUMMYFUNCTION("""COMPUTED_VALUE"""),2.25)</f>
        <v>2.25</v>
      </c>
      <c r="J593" s="1" t="str">
        <f ca="1">IFERROR(__xludf.DUMMYFUNCTION("""COMPUTED_VALUE"""),"RED SPOTTY CUP")</f>
        <v>RED SPOTTY CUP</v>
      </c>
      <c r="K593" s="1">
        <f ca="1">IFERROR(__xludf.DUMMYFUNCTION("""COMPUTED_VALUE"""),16)</f>
        <v>16</v>
      </c>
      <c r="L593" s="1">
        <f ca="1">IFERROR(__xludf.DUMMYFUNCTION("""COMPUTED_VALUE"""),0.85)</f>
        <v>0.85</v>
      </c>
      <c r="T593" s="1">
        <f ca="1">IFERROR(__xludf.DUMMYFUNCTION("""COMPUTED_VALUE"""),489526)</f>
        <v>489526</v>
      </c>
      <c r="U593" s="1">
        <f ca="1">IFERROR(__xludf.DUMMYFUNCTION("""COMPUTED_VALUE"""),13.6)</f>
        <v>13.6</v>
      </c>
    </row>
    <row r="594" spans="1:21" ht="12.75" x14ac:dyDescent="0.2">
      <c r="A594" s="3">
        <f ca="1">IFERROR(__xludf.DUMMYFUNCTION("""COMPUTED_VALUE"""),40148.4930555555)</f>
        <v>40148.493055555497</v>
      </c>
      <c r="B594" s="1">
        <f ca="1">IFERROR(__xludf.DUMMYFUNCTION("""COMPUTED_VALUE"""),1.25)</f>
        <v>1.25</v>
      </c>
      <c r="E594" s="1" t="str">
        <f ca="1">IFERROR(__xludf.DUMMYFUNCTION("""COMPUTED_VALUE"""),"JUMBO BAG OWLS")</f>
        <v>JUMBO BAG OWLS</v>
      </c>
      <c r="F594" s="1">
        <f ca="1">IFERROR(__xludf.DUMMYFUNCTION("""COMPUTED_VALUE"""),1)</f>
        <v>1</v>
      </c>
      <c r="G594" s="1">
        <f ca="1">IFERROR(__xludf.DUMMYFUNCTION("""COMPUTED_VALUE"""),1.95)</f>
        <v>1.95</v>
      </c>
      <c r="J594" s="1" t="str">
        <f ca="1">IFERROR(__xludf.DUMMYFUNCTION("""COMPUTED_VALUE"""),"SCANDINAVIAN REDS RIBBONS")</f>
        <v>SCANDINAVIAN REDS RIBBONS</v>
      </c>
      <c r="K594" s="1">
        <f ca="1">IFERROR(__xludf.DUMMYFUNCTION("""COMPUTED_VALUE"""),12)</f>
        <v>12</v>
      </c>
      <c r="L594" s="1">
        <f ca="1">IFERROR(__xludf.DUMMYFUNCTION("""COMPUTED_VALUE"""),1.25)</f>
        <v>1.25</v>
      </c>
      <c r="T594" s="1">
        <f ca="1">IFERROR(__xludf.DUMMYFUNCTION("""COMPUTED_VALUE"""),489526)</f>
        <v>489526</v>
      </c>
      <c r="U594" s="1">
        <f ca="1">IFERROR(__xludf.DUMMYFUNCTION("""COMPUTED_VALUE"""),15)</f>
        <v>15</v>
      </c>
    </row>
    <row r="595" spans="1:21" ht="12.75" x14ac:dyDescent="0.2">
      <c r="A595" s="3">
        <f ca="1">IFERROR(__xludf.DUMMYFUNCTION("""COMPUTED_VALUE"""),40148.4930555555)</f>
        <v>40148.493055555497</v>
      </c>
      <c r="B595" s="1">
        <f ca="1">IFERROR(__xludf.DUMMYFUNCTION("""COMPUTED_VALUE"""),1.65)</f>
        <v>1.65</v>
      </c>
      <c r="E595" s="1" t="str">
        <f ca="1">IFERROR(__xludf.DUMMYFUNCTION("""COMPUTED_VALUE"""),"JUMBO BAG WOODLAND ANIMALS")</f>
        <v>JUMBO BAG WOODLAND ANIMALS</v>
      </c>
      <c r="F595" s="1">
        <f ca="1">IFERROR(__xludf.DUMMYFUNCTION("""COMPUTED_VALUE"""),1)</f>
        <v>1</v>
      </c>
      <c r="G595" s="1">
        <f ca="1">IFERROR(__xludf.DUMMYFUNCTION("""COMPUTED_VALUE"""),1.95)</f>
        <v>1.95</v>
      </c>
      <c r="J595" s="1" t="str">
        <f ca="1">IFERROR(__xludf.DUMMYFUNCTION("""COMPUTED_VALUE"""),"6 RIBBONS RUSTIC CHARM")</f>
        <v>6 RIBBONS RUSTIC CHARM</v>
      </c>
      <c r="K595" s="1">
        <f ca="1">IFERROR(__xludf.DUMMYFUNCTION("""COMPUTED_VALUE"""),12)</f>
        <v>12</v>
      </c>
      <c r="L595" s="1">
        <f ca="1">IFERROR(__xludf.DUMMYFUNCTION("""COMPUTED_VALUE"""),1.65)</f>
        <v>1.65</v>
      </c>
      <c r="T595" s="1">
        <f ca="1">IFERROR(__xludf.DUMMYFUNCTION("""COMPUTED_VALUE"""),489526)</f>
        <v>489526</v>
      </c>
      <c r="U595" s="1">
        <f ca="1">IFERROR(__xludf.DUMMYFUNCTION("""COMPUTED_VALUE"""),19.7999999999999)</f>
        <v>19.799999999999901</v>
      </c>
    </row>
    <row r="596" spans="1:21" ht="12.75" x14ac:dyDescent="0.2">
      <c r="A596" s="3">
        <f ca="1">IFERROR(__xludf.DUMMYFUNCTION("""COMPUTED_VALUE"""),40148.4930555555)</f>
        <v>40148.493055555497</v>
      </c>
      <c r="B596" s="1">
        <f ca="1">IFERROR(__xludf.DUMMYFUNCTION("""COMPUTED_VALUE"""),1.25)</f>
        <v>1.25</v>
      </c>
      <c r="E596" s="1" t="str">
        <f ca="1">IFERROR(__xludf.DUMMYFUNCTION("""COMPUTED_VALUE"""),"DINOSAUR LUNCHBOX WITH CUTLERY")</f>
        <v>DINOSAUR LUNCHBOX WITH CUTLERY</v>
      </c>
      <c r="F596" s="1">
        <f ca="1">IFERROR(__xludf.DUMMYFUNCTION("""COMPUTED_VALUE"""),1)</f>
        <v>1</v>
      </c>
      <c r="G596" s="1">
        <f ca="1">IFERROR(__xludf.DUMMYFUNCTION("""COMPUTED_VALUE"""),2.55)</f>
        <v>2.5499999999999998</v>
      </c>
      <c r="J596" s="1" t="str">
        <f ca="1">IFERROR(__xludf.DUMMYFUNCTION("""COMPUTED_VALUE"""),"ANTIQUE SILVER TEA GLASS ETCHED")</f>
        <v>ANTIQUE SILVER TEA GLASS ETCHED</v>
      </c>
      <c r="K596" s="1">
        <f ca="1">IFERROR(__xludf.DUMMYFUNCTION("""COMPUTED_VALUE"""),12)</f>
        <v>12</v>
      </c>
      <c r="L596" s="1">
        <f ca="1">IFERROR(__xludf.DUMMYFUNCTION("""COMPUTED_VALUE"""),1.25)</f>
        <v>1.25</v>
      </c>
      <c r="T596" s="1">
        <f ca="1">IFERROR(__xludf.DUMMYFUNCTION("""COMPUTED_VALUE"""),489526)</f>
        <v>489526</v>
      </c>
      <c r="U596" s="1">
        <f ca="1">IFERROR(__xludf.DUMMYFUNCTION("""COMPUTED_VALUE"""),15)</f>
        <v>15</v>
      </c>
    </row>
    <row r="597" spans="1:21" ht="12.75" x14ac:dyDescent="0.2">
      <c r="A597" s="3">
        <f ca="1">IFERROR(__xludf.DUMMYFUNCTION("""COMPUTED_VALUE"""),40148.4930555555)</f>
        <v>40148.493055555497</v>
      </c>
      <c r="B597" s="1">
        <f ca="1">IFERROR(__xludf.DUMMYFUNCTION("""COMPUTED_VALUE"""),2.95)</f>
        <v>2.95</v>
      </c>
      <c r="E597" s="1" t="str">
        <f ca="1">IFERROR(__xludf.DUMMYFUNCTION("""COMPUTED_VALUE"""),"SILVER FINCH DECORATION")</f>
        <v>SILVER FINCH DECORATION</v>
      </c>
      <c r="F597" s="1">
        <f ca="1">IFERROR(__xludf.DUMMYFUNCTION("""COMPUTED_VALUE"""),1)</f>
        <v>1</v>
      </c>
      <c r="G597" s="1">
        <f ca="1">IFERROR(__xludf.DUMMYFUNCTION("""COMPUTED_VALUE"""),1.25)</f>
        <v>1.25</v>
      </c>
      <c r="J597" s="1" t="str">
        <f ca="1">IFERROR(__xludf.DUMMYFUNCTION("""COMPUTED_VALUE"""),"SET/5 RED SPOTTY LID GLASS BOWLS")</f>
        <v>SET/5 RED SPOTTY LID GLASS BOWLS</v>
      </c>
      <c r="K597" s="1">
        <f ca="1">IFERROR(__xludf.DUMMYFUNCTION("""COMPUTED_VALUE"""),12)</f>
        <v>12</v>
      </c>
      <c r="L597" s="1">
        <f ca="1">IFERROR(__xludf.DUMMYFUNCTION("""COMPUTED_VALUE"""),2.95)</f>
        <v>2.95</v>
      </c>
      <c r="T597" s="1">
        <f ca="1">IFERROR(__xludf.DUMMYFUNCTION("""COMPUTED_VALUE"""),489526)</f>
        <v>489526</v>
      </c>
      <c r="U597" s="1">
        <f ca="1">IFERROR(__xludf.DUMMYFUNCTION("""COMPUTED_VALUE"""),35.4)</f>
        <v>35.4</v>
      </c>
    </row>
    <row r="598" spans="1:21" ht="12.75" x14ac:dyDescent="0.2">
      <c r="A598" s="3">
        <f ca="1">IFERROR(__xludf.DUMMYFUNCTION("""COMPUTED_VALUE"""),40148.4930555555)</f>
        <v>40148.493055555497</v>
      </c>
      <c r="B598" s="1">
        <f ca="1">IFERROR(__xludf.DUMMYFUNCTION("""COMPUTED_VALUE"""),1.65)</f>
        <v>1.65</v>
      </c>
      <c r="E598" s="1" t="str">
        <f ca="1">IFERROR(__xludf.DUMMYFUNCTION("""COMPUTED_VALUE"""),"SET/10 PINK SPOTTY PARTY CANDLES")</f>
        <v>SET/10 PINK SPOTTY PARTY CANDLES</v>
      </c>
      <c r="F598" s="1">
        <f ca="1">IFERROR(__xludf.DUMMYFUNCTION("""COMPUTED_VALUE"""),1)</f>
        <v>1</v>
      </c>
      <c r="G598" s="1">
        <f ca="1">IFERROR(__xludf.DUMMYFUNCTION("""COMPUTED_VALUE"""),1.25)</f>
        <v>1.25</v>
      </c>
      <c r="J598" s="1" t="str">
        <f ca="1">IFERROR(__xludf.DUMMYFUNCTION("""COMPUTED_VALUE"""),"RED TOADSTOOL LED NIGHT LIGHT")</f>
        <v>RED TOADSTOOL LED NIGHT LIGHT</v>
      </c>
      <c r="K598" s="1">
        <f ca="1">IFERROR(__xludf.DUMMYFUNCTION("""COMPUTED_VALUE"""),12)</f>
        <v>12</v>
      </c>
      <c r="L598" s="1">
        <f ca="1">IFERROR(__xludf.DUMMYFUNCTION("""COMPUTED_VALUE"""),1.65)</f>
        <v>1.65</v>
      </c>
      <c r="T598" s="1">
        <f ca="1">IFERROR(__xludf.DUMMYFUNCTION("""COMPUTED_VALUE"""),489526)</f>
        <v>489526</v>
      </c>
      <c r="U598" s="1">
        <f ca="1">IFERROR(__xludf.DUMMYFUNCTION("""COMPUTED_VALUE"""),19.7999999999999)</f>
        <v>19.799999999999901</v>
      </c>
    </row>
    <row r="599" spans="1:21" ht="12.75" x14ac:dyDescent="0.2">
      <c r="A599" s="3">
        <f ca="1">IFERROR(__xludf.DUMMYFUNCTION("""COMPUTED_VALUE"""),40148.4930555555)</f>
        <v>40148.493055555497</v>
      </c>
      <c r="B599" s="1">
        <f ca="1">IFERROR(__xludf.DUMMYFUNCTION("""COMPUTED_VALUE"""),1.25)</f>
        <v>1.25</v>
      </c>
      <c r="E599" s="1" t="str">
        <f ca="1">IFERROR(__xludf.DUMMYFUNCTION("""COMPUTED_VALUE"""),"SWEETHEART CERAMIC TRINKET BOX")</f>
        <v>SWEETHEART CERAMIC TRINKET BOX</v>
      </c>
      <c r="F599" s="1">
        <f ca="1">IFERROR(__xludf.DUMMYFUNCTION("""COMPUTED_VALUE"""),1)</f>
        <v>1</v>
      </c>
      <c r="G599" s="1">
        <f ca="1">IFERROR(__xludf.DUMMYFUNCTION("""COMPUTED_VALUE"""),1.25)</f>
        <v>1.25</v>
      </c>
      <c r="J599" s="1" t="str">
        <f ca="1">IFERROR(__xludf.DUMMYFUNCTION("""COMPUTED_VALUE"""),"FELT TOADSTOOL LARGE")</f>
        <v>FELT TOADSTOOL LARGE</v>
      </c>
      <c r="K599" s="1">
        <f ca="1">IFERROR(__xludf.DUMMYFUNCTION("""COMPUTED_VALUE"""),12)</f>
        <v>12</v>
      </c>
      <c r="L599" s="1">
        <f ca="1">IFERROR(__xludf.DUMMYFUNCTION("""COMPUTED_VALUE"""),1.25)</f>
        <v>1.25</v>
      </c>
      <c r="T599" s="1">
        <f ca="1">IFERROR(__xludf.DUMMYFUNCTION("""COMPUTED_VALUE"""),489526)</f>
        <v>489526</v>
      </c>
      <c r="U599" s="1">
        <f ca="1">IFERROR(__xludf.DUMMYFUNCTION("""COMPUTED_VALUE"""),15)</f>
        <v>15</v>
      </c>
    </row>
    <row r="600" spans="1:21" ht="12.75" x14ac:dyDescent="0.2">
      <c r="A600" s="3">
        <f ca="1">IFERROR(__xludf.DUMMYFUNCTION("""COMPUTED_VALUE"""),40148.4930555555)</f>
        <v>40148.493055555497</v>
      </c>
      <c r="B600" s="1">
        <f ca="1">IFERROR(__xludf.DUMMYFUNCTION("""COMPUTED_VALUE"""),0.85)</f>
        <v>0.85</v>
      </c>
      <c r="E600" s="1" t="str">
        <f ca="1">IFERROR(__xludf.DUMMYFUNCTION("""COMPUTED_VALUE"""),"SMALL CAMPHOR WOOD FIELD  MUSHROOM")</f>
        <v>SMALL CAMPHOR WOOD FIELD  MUSHROOM</v>
      </c>
      <c r="F600" s="1">
        <f ca="1">IFERROR(__xludf.DUMMYFUNCTION("""COMPUTED_VALUE"""),1)</f>
        <v>1</v>
      </c>
      <c r="G600" s="1">
        <f ca="1">IFERROR(__xludf.DUMMYFUNCTION("""COMPUTED_VALUE"""),1.65)</f>
        <v>1.65</v>
      </c>
      <c r="J600" s="1" t="str">
        <f ca="1">IFERROR(__xludf.DUMMYFUNCTION("""COMPUTED_VALUE"""),"FELT TOADSTOOL  SMALL")</f>
        <v>FELT TOADSTOOL  SMALL</v>
      </c>
      <c r="K600" s="1">
        <f ca="1">IFERROR(__xludf.DUMMYFUNCTION("""COMPUTED_VALUE"""),12)</f>
        <v>12</v>
      </c>
      <c r="L600" s="1">
        <f ca="1">IFERROR(__xludf.DUMMYFUNCTION("""COMPUTED_VALUE"""),0.85)</f>
        <v>0.85</v>
      </c>
      <c r="T600" s="1">
        <f ca="1">IFERROR(__xludf.DUMMYFUNCTION("""COMPUTED_VALUE"""),489526)</f>
        <v>489526</v>
      </c>
      <c r="U600" s="1">
        <f ca="1">IFERROR(__xludf.DUMMYFUNCTION("""COMPUTED_VALUE"""),10.2)</f>
        <v>10.199999999999999</v>
      </c>
    </row>
    <row r="601" spans="1:21" ht="12.75" x14ac:dyDescent="0.2">
      <c r="A601" s="3">
        <f ca="1">IFERROR(__xludf.DUMMYFUNCTION("""COMPUTED_VALUE"""),40148.4930555555)</f>
        <v>40148.493055555497</v>
      </c>
      <c r="B601" s="1">
        <f ca="1">IFERROR(__xludf.DUMMYFUNCTION("""COMPUTED_VALUE"""),1.25)</f>
        <v>1.25</v>
      </c>
      <c r="E601" s="1" t="str">
        <f ca="1">IFERROR(__xludf.DUMMYFUNCTION("""COMPUTED_VALUE"""),"CAMPHOR WOOD PORTOBELLO MUSHROOM")</f>
        <v>CAMPHOR WOOD PORTOBELLO MUSHROOM</v>
      </c>
      <c r="F601" s="1">
        <f ca="1">IFERROR(__xludf.DUMMYFUNCTION("""COMPUTED_VALUE"""),1)</f>
        <v>1</v>
      </c>
      <c r="G601" s="1">
        <f ca="1">IFERROR(__xludf.DUMMYFUNCTION("""COMPUTED_VALUE"""),1.25)</f>
        <v>1.25</v>
      </c>
      <c r="J601" s="1" t="str">
        <f ca="1">IFERROR(__xludf.DUMMYFUNCTION("""COMPUTED_VALUE"""),"RED SPOTTY SHOPPER BAG")</f>
        <v>RED SPOTTY SHOPPER BAG</v>
      </c>
      <c r="K601" s="1">
        <f ca="1">IFERROR(__xludf.DUMMYFUNCTION("""COMPUTED_VALUE"""),10)</f>
        <v>10</v>
      </c>
      <c r="L601" s="1">
        <f ca="1">IFERROR(__xludf.DUMMYFUNCTION("""COMPUTED_VALUE"""),1.25)</f>
        <v>1.25</v>
      </c>
      <c r="T601" s="1">
        <f ca="1">IFERROR(__xludf.DUMMYFUNCTION("""COMPUTED_VALUE"""),489526)</f>
        <v>489526</v>
      </c>
      <c r="U601" s="1">
        <f ca="1">IFERROR(__xludf.DUMMYFUNCTION("""COMPUTED_VALUE"""),12.5)</f>
        <v>12.5</v>
      </c>
    </row>
    <row r="602" spans="1:21" ht="12.75" x14ac:dyDescent="0.2">
      <c r="A602" s="3">
        <f ca="1">IFERROR(__xludf.DUMMYFUNCTION("""COMPUTED_VALUE"""),40148.4930555555)</f>
        <v>40148.493055555497</v>
      </c>
      <c r="B602" s="1">
        <f ca="1">IFERROR(__xludf.DUMMYFUNCTION("""COMPUTED_VALUE"""),4.95)</f>
        <v>4.95</v>
      </c>
      <c r="E602" s="1" t="str">
        <f ca="1">IFERROR(__xludf.DUMMYFUNCTION("""COMPUTED_VALUE"""),"PORCELAIN T-LIGHT HOLDERS ASSORTED")</f>
        <v>PORCELAIN T-LIGHT HOLDERS ASSORTED</v>
      </c>
      <c r="F602" s="1">
        <f ca="1">IFERROR(__xludf.DUMMYFUNCTION("""COMPUTED_VALUE"""),1)</f>
        <v>1</v>
      </c>
      <c r="G602" s="1">
        <f ca="1">IFERROR(__xludf.DUMMYFUNCTION("""COMPUTED_VALUE"""),1.25)</f>
        <v>1.25</v>
      </c>
      <c r="J602" s="1" t="str">
        <f ca="1">IFERROR(__xludf.DUMMYFUNCTION("""COMPUTED_VALUE"""),"SET/3 RUSSIAN DOLL STACKING TINS")</f>
        <v>SET/3 RUSSIAN DOLL STACKING TINS</v>
      </c>
      <c r="K602" s="1">
        <f ca="1">IFERROR(__xludf.DUMMYFUNCTION("""COMPUTED_VALUE"""),9)</f>
        <v>9</v>
      </c>
      <c r="L602" s="1">
        <f ca="1">IFERROR(__xludf.DUMMYFUNCTION("""COMPUTED_VALUE"""),4.95)</f>
        <v>4.95</v>
      </c>
      <c r="T602" s="1">
        <f ca="1">IFERROR(__xludf.DUMMYFUNCTION("""COMPUTED_VALUE"""),489526)</f>
        <v>489526</v>
      </c>
      <c r="U602" s="1">
        <f ca="1">IFERROR(__xludf.DUMMYFUNCTION("""COMPUTED_VALUE"""),44.55)</f>
        <v>44.55</v>
      </c>
    </row>
    <row r="603" spans="1:21" ht="12.75" x14ac:dyDescent="0.2">
      <c r="A603" s="3">
        <f ca="1">IFERROR(__xludf.DUMMYFUNCTION("""COMPUTED_VALUE"""),40148.4930555555)</f>
        <v>40148.493055555497</v>
      </c>
      <c r="B603" s="1">
        <f ca="1">IFERROR(__xludf.DUMMYFUNCTION("""COMPUTED_VALUE"""),1.65)</f>
        <v>1.65</v>
      </c>
      <c r="E603" s="1" t="str">
        <f ca="1">IFERROR(__xludf.DUMMYFUNCTION("""COMPUTED_VALUE"""),"SET/6 BLACK GLITTER REINDEER CANDLE")</f>
        <v>SET/6 BLACK GLITTER REINDEER CANDLE</v>
      </c>
      <c r="F603" s="1">
        <f ca="1">IFERROR(__xludf.DUMMYFUNCTION("""COMPUTED_VALUE"""),1)</f>
        <v>1</v>
      </c>
      <c r="G603" s="1">
        <f ca="1">IFERROR(__xludf.DUMMYFUNCTION("""COMPUTED_VALUE"""),2.1)</f>
        <v>2.1</v>
      </c>
      <c r="J603" s="1" t="str">
        <f ca="1">IFERROR(__xludf.DUMMYFUNCTION("""COMPUTED_VALUE"""),"RETRO SPORT PARTY BAG + STICKER SET")</f>
        <v>RETRO SPORT PARTY BAG + STICKER SET</v>
      </c>
      <c r="K603" s="1">
        <f ca="1">IFERROR(__xludf.DUMMYFUNCTION("""COMPUTED_VALUE"""),8)</f>
        <v>8</v>
      </c>
      <c r="L603" s="1">
        <f ca="1">IFERROR(__xludf.DUMMYFUNCTION("""COMPUTED_VALUE"""),1.65)</f>
        <v>1.65</v>
      </c>
      <c r="T603" s="1">
        <f ca="1">IFERROR(__xludf.DUMMYFUNCTION("""COMPUTED_VALUE"""),489526)</f>
        <v>489526</v>
      </c>
      <c r="U603" s="1">
        <f ca="1">IFERROR(__xludf.DUMMYFUNCTION("""COMPUTED_VALUE"""),13.2)</f>
        <v>13.2</v>
      </c>
    </row>
    <row r="604" spans="1:21" ht="12.75" x14ac:dyDescent="0.2">
      <c r="A604" s="3">
        <f ca="1">IFERROR(__xludf.DUMMYFUNCTION("""COMPUTED_VALUE"""),40148.4930555555)</f>
        <v>40148.493055555497</v>
      </c>
      <c r="B604" s="1">
        <f ca="1">IFERROR(__xludf.DUMMYFUNCTION("""COMPUTED_VALUE"""),1.25)</f>
        <v>1.25</v>
      </c>
      <c r="E604" s="1" t="str">
        <f ca="1">IFERROR(__xludf.DUMMYFUNCTION("""COMPUTED_VALUE"""),"SET/6 SILVER REINDEER T-LIGHTS")</f>
        <v>SET/6 SILVER REINDEER T-LIGHTS</v>
      </c>
      <c r="F604" s="1">
        <f ca="1">IFERROR(__xludf.DUMMYFUNCTION("""COMPUTED_VALUE"""),1)</f>
        <v>1</v>
      </c>
      <c r="G604" s="1">
        <f ca="1">IFERROR(__xludf.DUMMYFUNCTION("""COMPUTED_VALUE"""),1.95)</f>
        <v>1.95</v>
      </c>
      <c r="J604" s="1" t="str">
        <f ca="1">IFERROR(__xludf.DUMMYFUNCTION("""COMPUTED_VALUE"""),"RED SPOTTY BOWL")</f>
        <v>RED SPOTTY BOWL</v>
      </c>
      <c r="K604" s="1">
        <f ca="1">IFERROR(__xludf.DUMMYFUNCTION("""COMPUTED_VALUE"""),8)</f>
        <v>8</v>
      </c>
      <c r="L604" s="1">
        <f ca="1">IFERROR(__xludf.DUMMYFUNCTION("""COMPUTED_VALUE"""),1.25)</f>
        <v>1.25</v>
      </c>
      <c r="T604" s="1">
        <f ca="1">IFERROR(__xludf.DUMMYFUNCTION("""COMPUTED_VALUE"""),489526)</f>
        <v>489526</v>
      </c>
      <c r="U604" s="1">
        <f ca="1">IFERROR(__xludf.DUMMYFUNCTION("""COMPUTED_VALUE"""),10)</f>
        <v>10</v>
      </c>
    </row>
    <row r="605" spans="1:21" ht="12.75" x14ac:dyDescent="0.2">
      <c r="A605" s="3">
        <f ca="1">IFERROR(__xludf.DUMMYFUNCTION("""COMPUTED_VALUE"""),40148.4930555555)</f>
        <v>40148.493055555497</v>
      </c>
      <c r="B605" s="1">
        <f ca="1">IFERROR(__xludf.DUMMYFUNCTION("""COMPUTED_VALUE"""),1.69)</f>
        <v>1.69</v>
      </c>
      <c r="E605" s="1" t="str">
        <f ca="1">IFERROR(__xludf.DUMMYFUNCTION("""COMPUTED_VALUE"""),"LOLITA  DESIGN  COTTON TOTE BAG")</f>
        <v>LOLITA  DESIGN  COTTON TOTE BAG</v>
      </c>
      <c r="F605" s="1">
        <f ca="1">IFERROR(__xludf.DUMMYFUNCTION("""COMPUTED_VALUE"""),1)</f>
        <v>1</v>
      </c>
      <c r="G605" s="1">
        <f ca="1">IFERROR(__xludf.DUMMYFUNCTION("""COMPUTED_VALUE"""),2.25)</f>
        <v>2.25</v>
      </c>
      <c r="J605" s="1" t="str">
        <f ca="1">IFERROR(__xludf.DUMMYFUNCTION("""COMPUTED_VALUE"""),"RED SPOTTY PLATE")</f>
        <v>RED SPOTTY PLATE</v>
      </c>
      <c r="K605" s="1">
        <f ca="1">IFERROR(__xludf.DUMMYFUNCTION("""COMPUTED_VALUE"""),8)</f>
        <v>8</v>
      </c>
      <c r="L605" s="1">
        <f ca="1">IFERROR(__xludf.DUMMYFUNCTION("""COMPUTED_VALUE"""),1.69)</f>
        <v>1.69</v>
      </c>
      <c r="T605" s="1">
        <f ca="1">IFERROR(__xludf.DUMMYFUNCTION("""COMPUTED_VALUE"""),489526)</f>
        <v>489526</v>
      </c>
      <c r="U605" s="1">
        <f ca="1">IFERROR(__xludf.DUMMYFUNCTION("""COMPUTED_VALUE"""),13.52)</f>
        <v>13.52</v>
      </c>
    </row>
    <row r="606" spans="1:21" ht="12.75" x14ac:dyDescent="0.2">
      <c r="A606" s="3">
        <f ca="1">IFERROR(__xludf.DUMMYFUNCTION("""COMPUTED_VALUE"""),40148.4930555555)</f>
        <v>40148.493055555497</v>
      </c>
      <c r="B606" s="1">
        <f ca="1">IFERROR(__xludf.DUMMYFUNCTION("""COMPUTED_VALUE"""),1.65)</f>
        <v>1.65</v>
      </c>
      <c r="E606" s="1" t="str">
        <f ca="1">IFERROR(__xludf.DUMMYFUNCTION("""COMPUTED_VALUE"""),"LOLITA  DESIGN  COTTON TOTE BAG")</f>
        <v>LOLITA  DESIGN  COTTON TOTE BAG</v>
      </c>
      <c r="F606" s="1">
        <f ca="1">IFERROR(__xludf.DUMMYFUNCTION("""COMPUTED_VALUE"""),1)</f>
        <v>1</v>
      </c>
      <c r="G606" s="1">
        <f ca="1">IFERROR(__xludf.DUMMYFUNCTION("""COMPUTED_VALUE"""),2.25)</f>
        <v>2.25</v>
      </c>
      <c r="J606" s="1" t="str">
        <f ca="1">IFERROR(__xludf.DUMMYFUNCTION("""COMPUTED_VALUE"""),"JIGSAW TOADSTOOLS 3 PIECE")</f>
        <v>JIGSAW TOADSTOOLS 3 PIECE</v>
      </c>
      <c r="K606" s="1">
        <f ca="1">IFERROR(__xludf.DUMMYFUNCTION("""COMPUTED_VALUE"""),8)</f>
        <v>8</v>
      </c>
      <c r="L606" s="1">
        <f ca="1">IFERROR(__xludf.DUMMYFUNCTION("""COMPUTED_VALUE"""),1.65)</f>
        <v>1.65</v>
      </c>
      <c r="T606" s="1">
        <f ca="1">IFERROR(__xludf.DUMMYFUNCTION("""COMPUTED_VALUE"""),489526)</f>
        <v>489526</v>
      </c>
      <c r="U606" s="1">
        <f ca="1">IFERROR(__xludf.DUMMYFUNCTION("""COMPUTED_VALUE"""),13.2)</f>
        <v>13.2</v>
      </c>
    </row>
    <row r="607" spans="1:21" ht="12.75" x14ac:dyDescent="0.2">
      <c r="A607" s="3">
        <f ca="1">IFERROR(__xludf.DUMMYFUNCTION("""COMPUTED_VALUE"""),40148.4930555555)</f>
        <v>40148.493055555497</v>
      </c>
      <c r="B607" s="1">
        <f ca="1">IFERROR(__xludf.DUMMYFUNCTION("""COMPUTED_VALUE"""),2.95)</f>
        <v>2.95</v>
      </c>
      <c r="E607" s="1" t="str">
        <f ca="1">IFERROR(__xludf.DUMMYFUNCTION("""COMPUTED_VALUE"""),"VINTAGE BILLBOARD DRINK ME MUG")</f>
        <v>VINTAGE BILLBOARD DRINK ME MUG</v>
      </c>
      <c r="F607" s="1">
        <f ca="1">IFERROR(__xludf.DUMMYFUNCTION("""COMPUTED_VALUE"""),1)</f>
        <v>1</v>
      </c>
      <c r="G607" s="1">
        <f ca="1">IFERROR(__xludf.DUMMYFUNCTION("""COMPUTED_VALUE"""),1.25)</f>
        <v>1.25</v>
      </c>
      <c r="J607" s="1" t="str">
        <f ca="1">IFERROR(__xludf.DUMMYFUNCTION("""COMPUTED_VALUE"""),"RED HANGING HEART T-LIGHT HOLDER")</f>
        <v>RED HANGING HEART T-LIGHT HOLDER</v>
      </c>
      <c r="K607" s="1">
        <f ca="1">IFERROR(__xludf.DUMMYFUNCTION("""COMPUTED_VALUE"""),6)</f>
        <v>6</v>
      </c>
      <c r="L607" s="1">
        <f ca="1">IFERROR(__xludf.DUMMYFUNCTION("""COMPUTED_VALUE"""),2.95)</f>
        <v>2.95</v>
      </c>
      <c r="T607" s="1">
        <f ca="1">IFERROR(__xludf.DUMMYFUNCTION("""COMPUTED_VALUE"""),489526)</f>
        <v>489526</v>
      </c>
      <c r="U607" s="1">
        <f ca="1">IFERROR(__xludf.DUMMYFUNCTION("""COMPUTED_VALUE"""),17.7)</f>
        <v>17.7</v>
      </c>
    </row>
    <row r="608" spans="1:21" ht="12.75" x14ac:dyDescent="0.2">
      <c r="A608" s="3">
        <f ca="1">IFERROR(__xludf.DUMMYFUNCTION("""COMPUTED_VALUE"""),40148.4930555555)</f>
        <v>40148.493055555497</v>
      </c>
      <c r="B608" s="1">
        <f ca="1">IFERROR(__xludf.DUMMYFUNCTION("""COMPUTED_VALUE"""),2.95)</f>
        <v>2.95</v>
      </c>
      <c r="E608" s="1" t="str">
        <f ca="1">IFERROR(__xludf.DUMMYFUNCTION("""COMPUTED_VALUE"""),"VINTAGE BILLBOARD LOVE/HATE MUG")</f>
        <v>VINTAGE BILLBOARD LOVE/HATE MUG</v>
      </c>
      <c r="F608" s="1">
        <f ca="1">IFERROR(__xludf.DUMMYFUNCTION("""COMPUTED_VALUE"""),1)</f>
        <v>1</v>
      </c>
      <c r="G608" s="1">
        <f ca="1">IFERROR(__xludf.DUMMYFUNCTION("""COMPUTED_VALUE"""),1.25)</f>
        <v>1.25</v>
      </c>
      <c r="J608" s="1" t="str">
        <f ca="1">IFERROR(__xludf.DUMMYFUNCTION("""COMPUTED_VALUE"""),"WHITE HANGING HEART T-LIGHT HOLDER")</f>
        <v>WHITE HANGING HEART T-LIGHT HOLDER</v>
      </c>
      <c r="K608" s="1">
        <f ca="1">IFERROR(__xludf.DUMMYFUNCTION("""COMPUTED_VALUE"""),6)</f>
        <v>6</v>
      </c>
      <c r="L608" s="1">
        <f ca="1">IFERROR(__xludf.DUMMYFUNCTION("""COMPUTED_VALUE"""),2.95)</f>
        <v>2.95</v>
      </c>
      <c r="T608" s="1">
        <f ca="1">IFERROR(__xludf.DUMMYFUNCTION("""COMPUTED_VALUE"""),489526)</f>
        <v>489526</v>
      </c>
      <c r="U608" s="1">
        <f ca="1">IFERROR(__xludf.DUMMYFUNCTION("""COMPUTED_VALUE"""),17.7)</f>
        <v>17.7</v>
      </c>
    </row>
    <row r="609" spans="1:21" ht="12.75" x14ac:dyDescent="0.2">
      <c r="A609" s="3">
        <f ca="1">IFERROR(__xludf.DUMMYFUNCTION("""COMPUTED_VALUE"""),40148.4930555555)</f>
        <v>40148.493055555497</v>
      </c>
      <c r="B609" s="1">
        <f ca="1">IFERROR(__xludf.DUMMYFUNCTION("""COMPUTED_VALUE"""),4.95)</f>
        <v>4.95</v>
      </c>
      <c r="E609" s="1" t="str">
        <f ca="1">IFERROR(__xludf.DUMMYFUNCTION("""COMPUTED_VALUE"""),"PIZZA PLATE IN BOX")</f>
        <v>PIZZA PLATE IN BOX</v>
      </c>
      <c r="F609" s="1">
        <f ca="1">IFERROR(__xludf.DUMMYFUNCTION("""COMPUTED_VALUE"""),1)</f>
        <v>1</v>
      </c>
      <c r="G609" s="1">
        <f ca="1">IFERROR(__xludf.DUMMYFUNCTION("""COMPUTED_VALUE"""),3.75)</f>
        <v>3.75</v>
      </c>
      <c r="J609" s="1" t="str">
        <f ca="1">IFERROR(__xludf.DUMMYFUNCTION("""COMPUTED_VALUE"""),"RETRO SPOT LARGE MILK JUG")</f>
        <v>RETRO SPOT LARGE MILK JUG</v>
      </c>
      <c r="K609" s="1">
        <f ca="1">IFERROR(__xludf.DUMMYFUNCTION("""COMPUTED_VALUE"""),6)</f>
        <v>6</v>
      </c>
      <c r="L609" s="1">
        <f ca="1">IFERROR(__xludf.DUMMYFUNCTION("""COMPUTED_VALUE"""),4.95)</f>
        <v>4.95</v>
      </c>
      <c r="T609" s="1">
        <f ca="1">IFERROR(__xludf.DUMMYFUNCTION("""COMPUTED_VALUE"""),489526)</f>
        <v>489526</v>
      </c>
      <c r="U609" s="1">
        <f ca="1">IFERROR(__xludf.DUMMYFUNCTION("""COMPUTED_VALUE"""),29.7)</f>
        <v>29.7</v>
      </c>
    </row>
    <row r="610" spans="1:21" ht="12.75" x14ac:dyDescent="0.2">
      <c r="A610" s="3">
        <f ca="1">IFERROR(__xludf.DUMMYFUNCTION("""COMPUTED_VALUE"""),40148.4930555555)</f>
        <v>40148.493055555497</v>
      </c>
      <c r="B610" s="1">
        <f ca="1">IFERROR(__xludf.DUMMYFUNCTION("""COMPUTED_VALUE"""),2.55)</f>
        <v>2.5499999999999998</v>
      </c>
      <c r="E610" s="1" t="str">
        <f ca="1">IFERROR(__xludf.DUMMYFUNCTION("""COMPUTED_VALUE"""),"CREAM HEART CARD HOLDER")</f>
        <v>CREAM HEART CARD HOLDER</v>
      </c>
      <c r="F610" s="1">
        <f ca="1">IFERROR(__xludf.DUMMYFUNCTION("""COMPUTED_VALUE"""),1)</f>
        <v>1</v>
      </c>
      <c r="G610" s="1">
        <f ca="1">IFERROR(__xludf.DUMMYFUNCTION("""COMPUTED_VALUE"""),3.95)</f>
        <v>3.95</v>
      </c>
      <c r="J610" s="1" t="str">
        <f ca="1">IFERROR(__xludf.DUMMYFUNCTION("""COMPUTED_VALUE"""),"RETRO SPOT SUGAR JAM BOWL")</f>
        <v>RETRO SPOT SUGAR JAM BOWL</v>
      </c>
      <c r="K610" s="1">
        <f ca="1">IFERROR(__xludf.DUMMYFUNCTION("""COMPUTED_VALUE"""),6)</f>
        <v>6</v>
      </c>
      <c r="L610" s="1">
        <f ca="1">IFERROR(__xludf.DUMMYFUNCTION("""COMPUTED_VALUE"""),2.55)</f>
        <v>2.5499999999999998</v>
      </c>
      <c r="T610" s="1">
        <f ca="1">IFERROR(__xludf.DUMMYFUNCTION("""COMPUTED_VALUE"""),489526)</f>
        <v>489526</v>
      </c>
      <c r="U610" s="1">
        <f ca="1">IFERROR(__xludf.DUMMYFUNCTION("""COMPUTED_VALUE"""),15.2999999999999)</f>
        <v>15.299999999999899</v>
      </c>
    </row>
    <row r="611" spans="1:21" ht="12.75" x14ac:dyDescent="0.2">
      <c r="A611" s="3">
        <f ca="1">IFERROR(__xludf.DUMMYFUNCTION("""COMPUTED_VALUE"""),40148.4930555555)</f>
        <v>40148.493055555497</v>
      </c>
      <c r="B611" s="1">
        <f ca="1">IFERROR(__xludf.DUMMYFUNCTION("""COMPUTED_VALUE"""),2.55)</f>
        <v>2.5499999999999998</v>
      </c>
      <c r="E611" s="1" t="str">
        <f ca="1">IFERROR(__xludf.DUMMYFUNCTION("""COMPUTED_VALUE"""),"SWEETHEART CERAMIC TRINKET BOX")</f>
        <v>SWEETHEART CERAMIC TRINKET BOX</v>
      </c>
      <c r="F611" s="1">
        <f ca="1">IFERROR(__xludf.DUMMYFUNCTION("""COMPUTED_VALUE"""),20)</f>
        <v>20</v>
      </c>
      <c r="G611" s="1">
        <f ca="1">IFERROR(__xludf.DUMMYFUNCTION("""COMPUTED_VALUE"""),1.25)</f>
        <v>1.25</v>
      </c>
      <c r="J611" s="1" t="str">
        <f ca="1">IFERROR(__xludf.DUMMYFUNCTION("""COMPUTED_VALUE"""),"RETRO SPOT SMALL MILK JUG")</f>
        <v>RETRO SPOT SMALL MILK JUG</v>
      </c>
      <c r="K611" s="1">
        <f ca="1">IFERROR(__xludf.DUMMYFUNCTION("""COMPUTED_VALUE"""),6)</f>
        <v>6</v>
      </c>
      <c r="L611" s="1">
        <f ca="1">IFERROR(__xludf.DUMMYFUNCTION("""COMPUTED_VALUE"""),2.55)</f>
        <v>2.5499999999999998</v>
      </c>
      <c r="T611" s="1">
        <f ca="1">IFERROR(__xludf.DUMMYFUNCTION("""COMPUTED_VALUE"""),489526)</f>
        <v>489526</v>
      </c>
      <c r="U611" s="1">
        <f ca="1">IFERROR(__xludf.DUMMYFUNCTION("""COMPUTED_VALUE"""),15.2999999999999)</f>
        <v>15.299999999999899</v>
      </c>
    </row>
    <row r="612" spans="1:21" ht="12.75" x14ac:dyDescent="0.2">
      <c r="A612" s="3">
        <f ca="1">IFERROR(__xludf.DUMMYFUNCTION("""COMPUTED_VALUE"""),40148.4930555555)</f>
        <v>40148.493055555497</v>
      </c>
      <c r="B612" s="1">
        <f ca="1">IFERROR(__xludf.DUMMYFUNCTION("""COMPUTED_VALUE"""),2.95)</f>
        <v>2.95</v>
      </c>
      <c r="E612" s="1" t="str">
        <f ca="1">IFERROR(__xludf.DUMMYFUNCTION("""COMPUTED_VALUE"""),"STRAWBERRY CERAMIC TRINKET BOX")</f>
        <v>STRAWBERRY CERAMIC TRINKET BOX</v>
      </c>
      <c r="F612" s="1">
        <f ca="1">IFERROR(__xludf.DUMMYFUNCTION("""COMPUTED_VALUE"""),20)</f>
        <v>20</v>
      </c>
      <c r="G612" s="1">
        <f ca="1">IFERROR(__xludf.DUMMYFUNCTION("""COMPUTED_VALUE"""),1.25)</f>
        <v>1.25</v>
      </c>
      <c r="J612" s="1" t="str">
        <f ca="1">IFERROR(__xludf.DUMMYFUNCTION("""COMPUTED_VALUE"""),"RETRO SPOT MUG")</f>
        <v>RETRO SPOT MUG</v>
      </c>
      <c r="K612" s="1">
        <f ca="1">IFERROR(__xludf.DUMMYFUNCTION("""COMPUTED_VALUE"""),6)</f>
        <v>6</v>
      </c>
      <c r="L612" s="1">
        <f ca="1">IFERROR(__xludf.DUMMYFUNCTION("""COMPUTED_VALUE"""),2.95)</f>
        <v>2.95</v>
      </c>
      <c r="T612" s="1">
        <f ca="1">IFERROR(__xludf.DUMMYFUNCTION("""COMPUTED_VALUE"""),489526)</f>
        <v>489526</v>
      </c>
      <c r="U612" s="1">
        <f ca="1">IFERROR(__xludf.DUMMYFUNCTION("""COMPUTED_VALUE"""),17.7)</f>
        <v>17.7</v>
      </c>
    </row>
    <row r="613" spans="1:21" ht="12.75" x14ac:dyDescent="0.2">
      <c r="A613" s="3">
        <f ca="1">IFERROR(__xludf.DUMMYFUNCTION("""COMPUTED_VALUE"""),40148.4930555555)</f>
        <v>40148.493055555497</v>
      </c>
      <c r="B613" s="1">
        <f ca="1">IFERROR(__xludf.DUMMYFUNCTION("""COMPUTED_VALUE"""),5.95)</f>
        <v>5.95</v>
      </c>
      <c r="E613" s="1" t="str">
        <f ca="1">IFERROR(__xludf.DUMMYFUNCTION("""COMPUTED_VALUE"""),"RED HANGING HEART T-LIGHT HOLDER")</f>
        <v>RED HANGING HEART T-LIGHT HOLDER</v>
      </c>
      <c r="F613" s="1">
        <f ca="1">IFERROR(__xludf.DUMMYFUNCTION("""COMPUTED_VALUE"""),10)</f>
        <v>10</v>
      </c>
      <c r="G613" s="1">
        <f ca="1">IFERROR(__xludf.DUMMYFUNCTION("""COMPUTED_VALUE"""),2.95)</f>
        <v>2.95</v>
      </c>
      <c r="J613" s="1" t="str">
        <f ca="1">IFERROR(__xludf.DUMMYFUNCTION("""COMPUTED_VALUE"""),"EDWARDIAN PARASOL BLACK")</f>
        <v>EDWARDIAN PARASOL BLACK</v>
      </c>
      <c r="K613" s="1">
        <f ca="1">IFERROR(__xludf.DUMMYFUNCTION("""COMPUTED_VALUE"""),6)</f>
        <v>6</v>
      </c>
      <c r="L613" s="1">
        <f ca="1">IFERROR(__xludf.DUMMYFUNCTION("""COMPUTED_VALUE"""),5.95)</f>
        <v>5.95</v>
      </c>
      <c r="T613" s="1">
        <f ca="1">IFERROR(__xludf.DUMMYFUNCTION("""COMPUTED_VALUE"""),489526)</f>
        <v>489526</v>
      </c>
      <c r="U613" s="1">
        <f ca="1">IFERROR(__xludf.DUMMYFUNCTION("""COMPUTED_VALUE"""),35.7)</f>
        <v>35.700000000000003</v>
      </c>
    </row>
    <row r="614" spans="1:21" ht="12.75" x14ac:dyDescent="0.2">
      <c r="A614" s="3">
        <f ca="1">IFERROR(__xludf.DUMMYFUNCTION("""COMPUTED_VALUE"""),40148.4930555555)</f>
        <v>40148.493055555497</v>
      </c>
      <c r="B614" s="1">
        <f ca="1">IFERROR(__xludf.DUMMYFUNCTION("""COMPUTED_VALUE"""),5.95)</f>
        <v>5.95</v>
      </c>
      <c r="E614" s="1" t="str">
        <f ca="1">IFERROR(__xludf.DUMMYFUNCTION("""COMPUTED_VALUE"""),"GLITTER BUTTERFLY CLIPS")</f>
        <v>GLITTER BUTTERFLY CLIPS</v>
      </c>
      <c r="F614" s="1">
        <f ca="1">IFERROR(__xludf.DUMMYFUNCTION("""COMPUTED_VALUE"""),6)</f>
        <v>6</v>
      </c>
      <c r="G614" s="1">
        <f ca="1">IFERROR(__xludf.DUMMYFUNCTION("""COMPUTED_VALUE"""),2.55)</f>
        <v>2.5499999999999998</v>
      </c>
      <c r="J614" s="1" t="str">
        <f ca="1">IFERROR(__xludf.DUMMYFUNCTION("""COMPUTED_VALUE"""),"EDWARDIAN PARASOL NATURAL")</f>
        <v>EDWARDIAN PARASOL NATURAL</v>
      </c>
      <c r="K614" s="1">
        <f ca="1">IFERROR(__xludf.DUMMYFUNCTION("""COMPUTED_VALUE"""),6)</f>
        <v>6</v>
      </c>
      <c r="L614" s="1">
        <f ca="1">IFERROR(__xludf.DUMMYFUNCTION("""COMPUTED_VALUE"""),5.95)</f>
        <v>5.95</v>
      </c>
      <c r="T614" s="1">
        <f ca="1">IFERROR(__xludf.DUMMYFUNCTION("""COMPUTED_VALUE"""),489526)</f>
        <v>489526</v>
      </c>
      <c r="U614" s="1">
        <f ca="1">IFERROR(__xludf.DUMMYFUNCTION("""COMPUTED_VALUE"""),35.7)</f>
        <v>35.700000000000003</v>
      </c>
    </row>
    <row r="615" spans="1:21" ht="12.75" x14ac:dyDescent="0.2">
      <c r="A615" s="3">
        <f ca="1">IFERROR(__xludf.DUMMYFUNCTION("""COMPUTED_VALUE"""),40148.4930555555)</f>
        <v>40148.493055555497</v>
      </c>
      <c r="B615" s="1">
        <f ca="1">IFERROR(__xludf.DUMMYFUNCTION("""COMPUTED_VALUE"""),3.25)</f>
        <v>3.25</v>
      </c>
      <c r="E615" s="1" t="str">
        <f ca="1">IFERROR(__xludf.DUMMYFUNCTION("""COMPUTED_VALUE"""),"GLITTER HANGING BUTTERFLY STRING")</f>
        <v>GLITTER HANGING BUTTERFLY STRING</v>
      </c>
      <c r="F615" s="1">
        <f ca="1">IFERROR(__xludf.DUMMYFUNCTION("""COMPUTED_VALUE"""),6)</f>
        <v>6</v>
      </c>
      <c r="G615" s="1">
        <f ca="1">IFERROR(__xludf.DUMMYFUNCTION("""COMPUTED_VALUE"""),2.1)</f>
        <v>2.1</v>
      </c>
      <c r="J615" s="1" t="str">
        <f ca="1">IFERROR(__xludf.DUMMYFUNCTION("""COMPUTED_VALUE"""),"RED SPOTTY CHILDS UMBRELLA")</f>
        <v>RED SPOTTY CHILDS UMBRELLA</v>
      </c>
      <c r="K615" s="1">
        <f ca="1">IFERROR(__xludf.DUMMYFUNCTION("""COMPUTED_VALUE"""),6)</f>
        <v>6</v>
      </c>
      <c r="L615" s="1">
        <f ca="1">IFERROR(__xludf.DUMMYFUNCTION("""COMPUTED_VALUE"""),3.25)</f>
        <v>3.25</v>
      </c>
      <c r="T615" s="1">
        <f ca="1">IFERROR(__xludf.DUMMYFUNCTION("""COMPUTED_VALUE"""),489526)</f>
        <v>489526</v>
      </c>
      <c r="U615" s="1">
        <f ca="1">IFERROR(__xludf.DUMMYFUNCTION("""COMPUTED_VALUE"""),19.5)</f>
        <v>19.5</v>
      </c>
    </row>
    <row r="616" spans="1:21" ht="12.75" x14ac:dyDescent="0.2">
      <c r="A616" s="3">
        <f ca="1">IFERROR(__xludf.DUMMYFUNCTION("""COMPUTED_VALUE"""),40148.4930555555)</f>
        <v>40148.493055555497</v>
      </c>
      <c r="B616" s="1">
        <f ca="1">IFERROR(__xludf.DUMMYFUNCTION("""COMPUTED_VALUE"""),18)</f>
        <v>18</v>
      </c>
      <c r="E616" s="1" t="str">
        <f ca="1">IFERROR(__xludf.DUMMYFUNCTION("""COMPUTED_VALUE"""),"S/4 FESTIVE RED DINNER CANDLES")</f>
        <v>S/4 FESTIVE RED DINNER CANDLES</v>
      </c>
      <c r="F616" s="1">
        <f ca="1">IFERROR(__xludf.DUMMYFUNCTION("""COMPUTED_VALUE"""),6)</f>
        <v>6</v>
      </c>
      <c r="G616" s="1">
        <f ca="1">IFERROR(__xludf.DUMMYFUNCTION("""COMPUTED_VALUE"""),1.25)</f>
        <v>1.25</v>
      </c>
      <c r="J616" s="1" t="str">
        <f ca="1">IFERROR(__xludf.DUMMYFUNCTION("""COMPUTED_VALUE"""),"POSTAGE")</f>
        <v>POSTAGE</v>
      </c>
      <c r="K616" s="1">
        <f ca="1">IFERROR(__xludf.DUMMYFUNCTION("""COMPUTED_VALUE"""),6)</f>
        <v>6</v>
      </c>
      <c r="L616" s="1">
        <f ca="1">IFERROR(__xludf.DUMMYFUNCTION("""COMPUTED_VALUE"""),18)</f>
        <v>18</v>
      </c>
      <c r="T616" s="1">
        <f ca="1">IFERROR(__xludf.DUMMYFUNCTION("""COMPUTED_VALUE"""),489526)</f>
        <v>489526</v>
      </c>
      <c r="U616" s="1">
        <f ca="1">IFERROR(__xludf.DUMMYFUNCTION("""COMPUTED_VALUE"""),108)</f>
        <v>108</v>
      </c>
    </row>
    <row r="617" spans="1:21" ht="12.75" x14ac:dyDescent="0.2">
      <c r="A617" s="3">
        <f ca="1">IFERROR(__xludf.DUMMYFUNCTION("""COMPUTED_VALUE"""),40148.4930555555)</f>
        <v>40148.493055555497</v>
      </c>
      <c r="B617" s="1">
        <f ca="1">IFERROR(__xludf.DUMMYFUNCTION("""COMPUTED_VALUE"""),4.25)</f>
        <v>4.25</v>
      </c>
      <c r="E617" s="1" t="str">
        <f ca="1">IFERROR(__xludf.DUMMYFUNCTION("""COMPUTED_VALUE"""),"S/4 FESTIVE GREEN DINNER CANDLES")</f>
        <v>S/4 FESTIVE GREEN DINNER CANDLES</v>
      </c>
      <c r="F617" s="1">
        <f ca="1">IFERROR(__xludf.DUMMYFUNCTION("""COMPUTED_VALUE"""),6)</f>
        <v>6</v>
      </c>
      <c r="G617" s="1">
        <f ca="1">IFERROR(__xludf.DUMMYFUNCTION("""COMPUTED_VALUE"""),1.25)</f>
        <v>1.25</v>
      </c>
      <c r="J617" s="1" t="str">
        <f ca="1">IFERROR(__xludf.DUMMYFUNCTION("""COMPUTED_VALUE"""),"RETRO SPOTS PUDDING BOWL")</f>
        <v>RETRO SPOTS PUDDING BOWL</v>
      </c>
      <c r="K617" s="1">
        <f ca="1">IFERROR(__xludf.DUMMYFUNCTION("""COMPUTED_VALUE"""),4)</f>
        <v>4</v>
      </c>
      <c r="L617" s="1">
        <f ca="1">IFERROR(__xludf.DUMMYFUNCTION("""COMPUTED_VALUE"""),4.25)</f>
        <v>4.25</v>
      </c>
      <c r="T617" s="1">
        <f ca="1">IFERROR(__xludf.DUMMYFUNCTION("""COMPUTED_VALUE"""),489526)</f>
        <v>489526</v>
      </c>
      <c r="U617" s="1">
        <f ca="1">IFERROR(__xludf.DUMMYFUNCTION("""COMPUTED_VALUE"""),17)</f>
        <v>17</v>
      </c>
    </row>
    <row r="618" spans="1:21" ht="12.75" x14ac:dyDescent="0.2">
      <c r="A618" s="3">
        <f ca="1">IFERROR(__xludf.DUMMYFUNCTION("""COMPUTED_VALUE"""),40148.4930555555)</f>
        <v>40148.493055555497</v>
      </c>
      <c r="B618" s="1">
        <f ca="1">IFERROR(__xludf.DUMMYFUNCTION("""COMPUTED_VALUE"""),3.75)</f>
        <v>3.75</v>
      </c>
      <c r="E618" s="1" t="str">
        <f ca="1">IFERROR(__xludf.DUMMYFUNCTION("""COMPUTED_VALUE"""),"VINTAGE HEADS AND TAILS CARD GAME")</f>
        <v>VINTAGE HEADS AND TAILS CARD GAME</v>
      </c>
      <c r="F618" s="1">
        <f ca="1">IFERROR(__xludf.DUMMYFUNCTION("""COMPUTED_VALUE"""),6)</f>
        <v>6</v>
      </c>
      <c r="G618" s="1">
        <f ca="1">IFERROR(__xludf.DUMMYFUNCTION("""COMPUTED_VALUE"""),1.25)</f>
        <v>1.25</v>
      </c>
      <c r="J618" s="1" t="str">
        <f ca="1">IFERROR(__xludf.DUMMYFUNCTION("""COMPUTED_VALUE"""),"RETRO SPOT STORAGE JAR")</f>
        <v>RETRO SPOT STORAGE JAR</v>
      </c>
      <c r="K618" s="1">
        <f ca="1">IFERROR(__xludf.DUMMYFUNCTION("""COMPUTED_VALUE"""),4)</f>
        <v>4</v>
      </c>
      <c r="L618" s="1">
        <f ca="1">IFERROR(__xludf.DUMMYFUNCTION("""COMPUTED_VALUE"""),3.75)</f>
        <v>3.75</v>
      </c>
      <c r="T618" s="1">
        <f ca="1">IFERROR(__xludf.DUMMYFUNCTION("""COMPUTED_VALUE"""),489526)</f>
        <v>489526</v>
      </c>
      <c r="U618" s="1">
        <f ca="1">IFERROR(__xludf.DUMMYFUNCTION("""COMPUTED_VALUE"""),15)</f>
        <v>15</v>
      </c>
    </row>
    <row r="619" spans="1:21" ht="12.75" x14ac:dyDescent="0.2">
      <c r="A619" s="3">
        <f ca="1">IFERROR(__xludf.DUMMYFUNCTION("""COMPUTED_VALUE"""),40148.4930555555)</f>
        <v>40148.493055555497</v>
      </c>
      <c r="B619" s="1">
        <f ca="1">IFERROR(__xludf.DUMMYFUNCTION("""COMPUTED_VALUE"""),3.75)</f>
        <v>3.75</v>
      </c>
      <c r="E619" s="1" t="str">
        <f ca="1">IFERROR(__xludf.DUMMYFUNCTION("""COMPUTED_VALUE"""),"YELLOW FLOWERS FELT HANDBAG KIT")</f>
        <v>YELLOW FLOWERS FELT HANDBAG KIT</v>
      </c>
      <c r="F619" s="1">
        <f ca="1">IFERROR(__xludf.DUMMYFUNCTION("""COMPUTED_VALUE"""),5)</f>
        <v>5</v>
      </c>
      <c r="G619" s="1">
        <f ca="1">IFERROR(__xludf.DUMMYFUNCTION("""COMPUTED_VALUE"""),2.1)</f>
        <v>2.1</v>
      </c>
      <c r="J619" s="1" t="str">
        <f ca="1">IFERROR(__xludf.DUMMYFUNCTION("""COMPUTED_VALUE"""),"TEA CUP AND SAUCER RETRO SPOT")</f>
        <v>TEA CUP AND SAUCER RETRO SPOT</v>
      </c>
      <c r="K619" s="1">
        <f ca="1">IFERROR(__xludf.DUMMYFUNCTION("""COMPUTED_VALUE"""),4)</f>
        <v>4</v>
      </c>
      <c r="L619" s="1">
        <f ca="1">IFERROR(__xludf.DUMMYFUNCTION("""COMPUTED_VALUE"""),3.75)</f>
        <v>3.75</v>
      </c>
      <c r="T619" s="1">
        <f ca="1">IFERROR(__xludf.DUMMYFUNCTION("""COMPUTED_VALUE"""),489526)</f>
        <v>489526</v>
      </c>
      <c r="U619" s="1">
        <f ca="1">IFERROR(__xludf.DUMMYFUNCTION("""COMPUTED_VALUE"""),15)</f>
        <v>15</v>
      </c>
    </row>
    <row r="620" spans="1:21" ht="12.75" x14ac:dyDescent="0.2">
      <c r="A620" s="3">
        <f ca="1">IFERROR(__xludf.DUMMYFUNCTION("""COMPUTED_VALUE"""),40148.4930555555)</f>
        <v>40148.493055555497</v>
      </c>
      <c r="B620" s="1">
        <f ca="1">IFERROR(__xludf.DUMMYFUNCTION("""COMPUTED_VALUE"""),4.95)</f>
        <v>4.95</v>
      </c>
      <c r="E620" s="1" t="str">
        <f ca="1">IFERROR(__xludf.DUMMYFUNCTION("""COMPUTED_VALUE"""),"PINK BLUE FELT CRAFT TRINKET BOX")</f>
        <v>PINK BLUE FELT CRAFT TRINKET BOX</v>
      </c>
      <c r="F620" s="1">
        <f ca="1">IFERROR(__xludf.DUMMYFUNCTION("""COMPUTED_VALUE"""),5)</f>
        <v>5</v>
      </c>
      <c r="G620" s="1">
        <f ca="1">IFERROR(__xludf.DUMMYFUNCTION("""COMPUTED_VALUE"""),1.25)</f>
        <v>1.25</v>
      </c>
      <c r="J620" s="1" t="str">
        <f ca="1">IFERROR(__xludf.DUMMYFUNCTION("""COMPUTED_VALUE"""),"RETRO SPOTS BUTTER DISH")</f>
        <v>RETRO SPOTS BUTTER DISH</v>
      </c>
      <c r="K620" s="1">
        <f ca="1">IFERROR(__xludf.DUMMYFUNCTION("""COMPUTED_VALUE"""),3)</f>
        <v>3</v>
      </c>
      <c r="L620" s="1">
        <f ca="1">IFERROR(__xludf.DUMMYFUNCTION("""COMPUTED_VALUE"""),4.95)</f>
        <v>4.95</v>
      </c>
      <c r="T620" s="1">
        <f ca="1">IFERROR(__xludf.DUMMYFUNCTION("""COMPUTED_VALUE"""),489526)</f>
        <v>489526</v>
      </c>
      <c r="U620" s="1">
        <f ca="1">IFERROR(__xludf.DUMMYFUNCTION("""COMPUTED_VALUE"""),14.85)</f>
        <v>14.85</v>
      </c>
    </row>
    <row r="621" spans="1:21" ht="12.75" x14ac:dyDescent="0.2">
      <c r="A621" s="3">
        <f ca="1">IFERROR(__xludf.DUMMYFUNCTION("""COMPUTED_VALUE"""),40148.4930555555)</f>
        <v>40148.493055555497</v>
      </c>
      <c r="B621" s="1">
        <f ca="1">IFERROR(__xludf.DUMMYFUNCTION("""COMPUTED_VALUE"""),9.95)</f>
        <v>9.9499999999999993</v>
      </c>
      <c r="E621" s="1" t="str">
        <f ca="1">IFERROR(__xludf.DUMMYFUNCTION("""COMPUTED_VALUE"""),"PINK CREAM FELT CRAFT TRINKET BOX")</f>
        <v>PINK CREAM FELT CRAFT TRINKET BOX</v>
      </c>
      <c r="F621" s="1">
        <f ca="1">IFERROR(__xludf.DUMMYFUNCTION("""COMPUTED_VALUE"""),5)</f>
        <v>5</v>
      </c>
      <c r="G621" s="1">
        <f ca="1">IFERROR(__xludf.DUMMYFUNCTION("""COMPUTED_VALUE"""),1.25)</f>
        <v>1.25</v>
      </c>
      <c r="J621" s="1" t="str">
        <f ca="1">IFERROR(__xludf.DUMMYFUNCTION("""COMPUTED_VALUE"""),"RETRO SPOT LAMP")</f>
        <v>RETRO SPOT LAMP</v>
      </c>
      <c r="K621" s="1">
        <f ca="1">IFERROR(__xludf.DUMMYFUNCTION("""COMPUTED_VALUE"""),3)</f>
        <v>3</v>
      </c>
      <c r="L621" s="1">
        <f ca="1">IFERROR(__xludf.DUMMYFUNCTION("""COMPUTED_VALUE"""),9.95)</f>
        <v>9.9499999999999993</v>
      </c>
      <c r="T621" s="1">
        <f ca="1">IFERROR(__xludf.DUMMYFUNCTION("""COMPUTED_VALUE"""),489526)</f>
        <v>489526</v>
      </c>
      <c r="U621" s="1">
        <f ca="1">IFERROR(__xludf.DUMMYFUNCTION("""COMPUTED_VALUE"""),29.8499999999999)</f>
        <v>29.849999999999898</v>
      </c>
    </row>
    <row r="622" spans="1:21" ht="12.75" x14ac:dyDescent="0.2">
      <c r="A622" s="3">
        <f ca="1">IFERROR(__xludf.DUMMYFUNCTION("""COMPUTED_VALUE"""),40148.4930555555)</f>
        <v>40148.493055555497</v>
      </c>
      <c r="B622" s="1">
        <f ca="1">IFERROR(__xludf.DUMMYFUNCTION("""COMPUTED_VALUE"""),9.95)</f>
        <v>9.9499999999999993</v>
      </c>
      <c r="E622" s="1" t="str">
        <f ca="1">IFERROR(__xludf.DUMMYFUNCTION("""COMPUTED_VALUE"""),"PINK STRIPE HOT WATER BOTTLE")</f>
        <v>PINK STRIPE HOT WATER BOTTLE</v>
      </c>
      <c r="F622" s="1">
        <f ca="1">IFERROR(__xludf.DUMMYFUNCTION("""COMPUTED_VALUE"""),5)</f>
        <v>5</v>
      </c>
      <c r="G622" s="1">
        <f ca="1">IFERROR(__xludf.DUMMYFUNCTION("""COMPUTED_VALUE"""),2.95)</f>
        <v>2.95</v>
      </c>
      <c r="J622" s="1" t="str">
        <f ca="1">IFERROR(__xludf.DUMMYFUNCTION("""COMPUTED_VALUE"""),"RED SPOTTY ROUND CAKE TINS")</f>
        <v>RED SPOTTY ROUND CAKE TINS</v>
      </c>
      <c r="K622" s="1">
        <f ca="1">IFERROR(__xludf.DUMMYFUNCTION("""COMPUTED_VALUE"""),3)</f>
        <v>3</v>
      </c>
      <c r="L622" s="1">
        <f ca="1">IFERROR(__xludf.DUMMYFUNCTION("""COMPUTED_VALUE"""),9.95)</f>
        <v>9.9499999999999993</v>
      </c>
      <c r="T622" s="1">
        <f ca="1">IFERROR(__xludf.DUMMYFUNCTION("""COMPUTED_VALUE"""),489526)</f>
        <v>489526</v>
      </c>
      <c r="U622" s="1">
        <f ca="1">IFERROR(__xludf.DUMMYFUNCTION("""COMPUTED_VALUE"""),29.8499999999999)</f>
        <v>29.849999999999898</v>
      </c>
    </row>
    <row r="623" spans="1:21" ht="12.75" x14ac:dyDescent="0.2">
      <c r="A623" s="3">
        <f ca="1">IFERROR(__xludf.DUMMYFUNCTION("""COMPUTED_VALUE"""),40148.4930555555)</f>
        <v>40148.493055555497</v>
      </c>
      <c r="B623" s="1">
        <f ca="1">IFERROR(__xludf.DUMMYFUNCTION("""COMPUTED_VALUE"""),2.55)</f>
        <v>2.5499999999999998</v>
      </c>
      <c r="E623" s="1" t="str">
        <f ca="1">IFERROR(__xludf.DUMMYFUNCTION("""COMPUTED_VALUE"""),"RED FLORAL FELTCRAFT SHOULDER BAG")</f>
        <v>RED FLORAL FELTCRAFT SHOULDER BAG</v>
      </c>
      <c r="F623" s="1">
        <f ca="1">IFERROR(__xludf.DUMMYFUNCTION("""COMPUTED_VALUE"""),4)</f>
        <v>4</v>
      </c>
      <c r="G623" s="1">
        <f ca="1">IFERROR(__xludf.DUMMYFUNCTION("""COMPUTED_VALUE"""),3.75)</f>
        <v>3.75</v>
      </c>
      <c r="J623" s="1" t="str">
        <f ca="1">IFERROR(__xludf.DUMMYFUNCTION("""COMPUTED_VALUE"""),"POLYESTER FILLER PAD 60x40cm")</f>
        <v>POLYESTER FILLER PAD 60x40cm</v>
      </c>
      <c r="K623" s="1">
        <f ca="1">IFERROR(__xludf.DUMMYFUNCTION("""COMPUTED_VALUE"""),3)</f>
        <v>3</v>
      </c>
      <c r="L623" s="1">
        <f ca="1">IFERROR(__xludf.DUMMYFUNCTION("""COMPUTED_VALUE"""),2.55)</f>
        <v>2.5499999999999998</v>
      </c>
      <c r="T623" s="1">
        <f ca="1">IFERROR(__xludf.DUMMYFUNCTION("""COMPUTED_VALUE"""),489526)</f>
        <v>489526</v>
      </c>
      <c r="U623" s="1">
        <f ca="1">IFERROR(__xludf.DUMMYFUNCTION("""COMPUTED_VALUE"""),7.64999999999999)</f>
        <v>7.6499999999999897</v>
      </c>
    </row>
    <row r="624" spans="1:21" ht="12.75" x14ac:dyDescent="0.2">
      <c r="A624" s="3">
        <f ca="1">IFERROR(__xludf.DUMMYFUNCTION("""COMPUTED_VALUE"""),40148.4930555555)</f>
        <v>40148.493055555497</v>
      </c>
      <c r="B624" s="1">
        <f ca="1">IFERROR(__xludf.DUMMYFUNCTION("""COMPUTED_VALUE"""),5.95)</f>
        <v>5.95</v>
      </c>
      <c r="E624" s="1" t="str">
        <f ca="1">IFERROR(__xludf.DUMMYFUNCTION("""COMPUTED_VALUE"""),"PINK FLORAL FELTCRAFT SHOULDER BAG")</f>
        <v>PINK FLORAL FELTCRAFT SHOULDER BAG</v>
      </c>
      <c r="F624" s="1">
        <f ca="1">IFERROR(__xludf.DUMMYFUNCTION("""COMPUTED_VALUE"""),4)</f>
        <v>4</v>
      </c>
      <c r="G624" s="1">
        <f ca="1">IFERROR(__xludf.DUMMYFUNCTION("""COMPUTED_VALUE"""),3.75)</f>
        <v>3.75</v>
      </c>
      <c r="J624" s="1" t="str">
        <f ca="1">IFERROR(__xludf.DUMMYFUNCTION("""COMPUTED_VALUE"""),"BLUE/BROWN DOTS RUFFLED UMBRELLA")</f>
        <v>BLUE/BROWN DOTS RUFFLED UMBRELLA</v>
      </c>
      <c r="K624" s="1">
        <f ca="1">IFERROR(__xludf.DUMMYFUNCTION("""COMPUTED_VALUE"""),3)</f>
        <v>3</v>
      </c>
      <c r="L624" s="1">
        <f ca="1">IFERROR(__xludf.DUMMYFUNCTION("""COMPUTED_VALUE"""),5.95)</f>
        <v>5.95</v>
      </c>
      <c r="T624" s="1">
        <f ca="1">IFERROR(__xludf.DUMMYFUNCTION("""COMPUTED_VALUE"""),489526)</f>
        <v>489526</v>
      </c>
      <c r="U624" s="1">
        <f ca="1">IFERROR(__xludf.DUMMYFUNCTION("""COMPUTED_VALUE"""),17.85)</f>
        <v>17.850000000000001</v>
      </c>
    </row>
    <row r="625" spans="1:21" ht="12.75" x14ac:dyDescent="0.2">
      <c r="A625" s="3">
        <f ca="1">IFERROR(__xludf.DUMMYFUNCTION("""COMPUTED_VALUE"""),40148.4930555555)</f>
        <v>40148.493055555497</v>
      </c>
      <c r="B625" s="1">
        <f ca="1">IFERROR(__xludf.DUMMYFUNCTION("""COMPUTED_VALUE"""),7.95)</f>
        <v>7.95</v>
      </c>
      <c r="E625" s="1" t="str">
        <f ca="1">IFERROR(__xludf.DUMMYFUNCTION("""COMPUTED_VALUE"""),"GREEN FLORAL FELTCRAFT SHOULDER BAG")</f>
        <v>GREEN FLORAL FELTCRAFT SHOULDER BAG</v>
      </c>
      <c r="F625" s="1">
        <f ca="1">IFERROR(__xludf.DUMMYFUNCTION("""COMPUTED_VALUE"""),4)</f>
        <v>4</v>
      </c>
      <c r="G625" s="1">
        <f ca="1">IFERROR(__xludf.DUMMYFUNCTION("""COMPUTED_VALUE"""),3.75)</f>
        <v>3.75</v>
      </c>
      <c r="J625" s="1" t="str">
        <f ca="1">IFERROR(__xludf.DUMMYFUNCTION("""COMPUTED_VALUE"""),"RETRO SPOT TRADITIONAL TEAPOT")</f>
        <v>RETRO SPOT TRADITIONAL TEAPOT</v>
      </c>
      <c r="K625" s="1">
        <f ca="1">IFERROR(__xludf.DUMMYFUNCTION("""COMPUTED_VALUE"""),2)</f>
        <v>2</v>
      </c>
      <c r="L625" s="1">
        <f ca="1">IFERROR(__xludf.DUMMYFUNCTION("""COMPUTED_VALUE"""),7.95)</f>
        <v>7.95</v>
      </c>
      <c r="T625" s="1">
        <f ca="1">IFERROR(__xludf.DUMMYFUNCTION("""COMPUTED_VALUE"""),489526)</f>
        <v>489526</v>
      </c>
      <c r="U625" s="1">
        <f ca="1">IFERROR(__xludf.DUMMYFUNCTION("""COMPUTED_VALUE"""),15.9)</f>
        <v>15.9</v>
      </c>
    </row>
    <row r="626" spans="1:21" ht="12.75" x14ac:dyDescent="0.2">
      <c r="A626" s="3">
        <f ca="1">IFERROR(__xludf.DUMMYFUNCTION("""COMPUTED_VALUE"""),40148.4930555555)</f>
        <v>40148.493055555497</v>
      </c>
      <c r="B626" s="1">
        <f ca="1">IFERROR(__xludf.DUMMYFUNCTION("""COMPUTED_VALUE"""),1.45)</f>
        <v>1.45</v>
      </c>
      <c r="E626" s="1" t="str">
        <f ca="1">IFERROR(__xludf.DUMMYFUNCTION("""COMPUTED_VALUE"""),"GINGHAM HEART  DOORSTOP RED")</f>
        <v>GINGHAM HEART  DOORSTOP RED</v>
      </c>
      <c r="F626" s="1">
        <f ca="1">IFERROR(__xludf.DUMMYFUNCTION("""COMPUTED_VALUE"""),4)</f>
        <v>4</v>
      </c>
      <c r="G626" s="1">
        <f ca="1">IFERROR(__xludf.DUMMYFUNCTION("""COMPUTED_VALUE"""),4.25)</f>
        <v>4.25</v>
      </c>
      <c r="J626" s="1" t="str">
        <f ca="1">IFERROR(__xludf.DUMMYFUNCTION("""COMPUTED_VALUE"""),"POLYESTER FILLER PAD 40x40cm")</f>
        <v>POLYESTER FILLER PAD 40x40cm</v>
      </c>
      <c r="K626" s="1">
        <f ca="1">IFERROR(__xludf.DUMMYFUNCTION("""COMPUTED_VALUE"""),2)</f>
        <v>2</v>
      </c>
      <c r="L626" s="1">
        <f ca="1">IFERROR(__xludf.DUMMYFUNCTION("""COMPUTED_VALUE"""),1.45)</f>
        <v>1.45</v>
      </c>
      <c r="T626" s="1">
        <f ca="1">IFERROR(__xludf.DUMMYFUNCTION("""COMPUTED_VALUE"""),489526)</f>
        <v>489526</v>
      </c>
      <c r="U626" s="1">
        <f ca="1">IFERROR(__xludf.DUMMYFUNCTION("""COMPUTED_VALUE"""),2.9)</f>
        <v>2.9</v>
      </c>
    </row>
    <row r="627" spans="1:21" ht="12.75" x14ac:dyDescent="0.2">
      <c r="A627" s="3">
        <f ca="1">IFERROR(__xludf.DUMMYFUNCTION("""COMPUTED_VALUE"""),40148.4930555555)</f>
        <v>40148.493055555497</v>
      </c>
      <c r="B627" s="1">
        <f ca="1">IFERROR(__xludf.DUMMYFUNCTION("""COMPUTED_VALUE"""),2.95)</f>
        <v>2.95</v>
      </c>
      <c r="E627" s="1" t="str">
        <f ca="1">IFERROR(__xludf.DUMMYFUNCTION("""COMPUTED_VALUE"""),"CHARLIE + LOLA RED HOT WATER BOTTLE")</f>
        <v>CHARLIE + LOLA RED HOT WATER BOTTLE</v>
      </c>
      <c r="F627" s="1">
        <f ca="1">IFERROR(__xludf.DUMMYFUNCTION("""COMPUTED_VALUE"""),4)</f>
        <v>4</v>
      </c>
      <c r="G627" s="1">
        <f ca="1">IFERROR(__xludf.DUMMYFUNCTION("""COMPUTED_VALUE"""),2.95)</f>
        <v>2.95</v>
      </c>
      <c r="J627" s="1" t="str">
        <f ca="1">IFERROR(__xludf.DUMMYFUNCTION("""COMPUTED_VALUE"""),"RED SPOTTY OVEN GLOVE DOUBLE")</f>
        <v>RED SPOTTY OVEN GLOVE DOUBLE</v>
      </c>
      <c r="K627" s="1">
        <f ca="1">IFERROR(__xludf.DUMMYFUNCTION("""COMPUTED_VALUE"""),-3)</f>
        <v>-3</v>
      </c>
      <c r="L627" s="1">
        <f ca="1">IFERROR(__xludf.DUMMYFUNCTION("""COMPUTED_VALUE"""),2.95)</f>
        <v>2.95</v>
      </c>
      <c r="T627" s="1"/>
      <c r="U627" s="1">
        <f ca="1">IFERROR(__xludf.DUMMYFUNCTION("""COMPUTED_VALUE"""),-8.85)</f>
        <v>-8.85</v>
      </c>
    </row>
    <row r="628" spans="1:21" ht="12.75" x14ac:dyDescent="0.2">
      <c r="A628" s="3">
        <f ca="1">IFERROR(__xludf.DUMMYFUNCTION("""COMPUTED_VALUE"""),40148.4930555555)</f>
        <v>40148.493055555497</v>
      </c>
      <c r="B628" s="1">
        <f ca="1">IFERROR(__xludf.DUMMYFUNCTION("""COMPUTED_VALUE"""),2.55)</f>
        <v>2.5499999999999998</v>
      </c>
      <c r="E628" s="1" t="str">
        <f ca="1">IFERROR(__xludf.DUMMYFUNCTION("""COMPUTED_VALUE"""),"CHARLIE+LOLA PINK HOT WATER BOTTLE")</f>
        <v>CHARLIE+LOLA PINK HOT WATER BOTTLE</v>
      </c>
      <c r="F628" s="1">
        <f ca="1">IFERROR(__xludf.DUMMYFUNCTION("""COMPUTED_VALUE"""),4)</f>
        <v>4</v>
      </c>
      <c r="G628" s="1">
        <f ca="1">IFERROR(__xludf.DUMMYFUNCTION("""COMPUTED_VALUE"""),2.95)</f>
        <v>2.95</v>
      </c>
      <c r="J628" s="1" t="str">
        <f ca="1">IFERROR(__xludf.DUMMYFUNCTION("""COMPUTED_VALUE"""),"PINK JUICY FRUIT PHOTO FRAME")</f>
        <v>PINK JUICY FRUIT PHOTO FRAME</v>
      </c>
      <c r="K628" s="1">
        <f ca="1">IFERROR(__xludf.DUMMYFUNCTION("""COMPUTED_VALUE"""),-6)</f>
        <v>-6</v>
      </c>
      <c r="L628" s="1">
        <f ca="1">IFERROR(__xludf.DUMMYFUNCTION("""COMPUTED_VALUE"""),2.55)</f>
        <v>2.5499999999999998</v>
      </c>
      <c r="T628" s="1"/>
      <c r="U628" s="1">
        <f ca="1">IFERROR(__xludf.DUMMYFUNCTION("""COMPUTED_VALUE"""),-15.2999999999999)</f>
        <v>-15.299999999999899</v>
      </c>
    </row>
    <row r="629" spans="1:21" ht="12.75" x14ac:dyDescent="0.2">
      <c r="A629" s="3">
        <f ca="1">IFERROR(__xludf.DUMMYFUNCTION("""COMPUTED_VALUE"""),40148.4930555555)</f>
        <v>40148.493055555497</v>
      </c>
      <c r="B629" s="1">
        <f ca="1">IFERROR(__xludf.DUMMYFUNCTION("""COMPUTED_VALUE"""),1.65)</f>
        <v>1.65</v>
      </c>
      <c r="E629" s="1" t="str">
        <f ca="1">IFERROR(__xludf.DUMMYFUNCTION("""COMPUTED_VALUE"""),"GARLAND WITH HEARTS AND BELLS")</f>
        <v>GARLAND WITH HEARTS AND BELLS</v>
      </c>
      <c r="F629" s="1">
        <f ca="1">IFERROR(__xludf.DUMMYFUNCTION("""COMPUTED_VALUE"""),4)</f>
        <v>4</v>
      </c>
      <c r="G629" s="1">
        <f ca="1">IFERROR(__xludf.DUMMYFUNCTION("""COMPUTED_VALUE"""),4.95)</f>
        <v>4.95</v>
      </c>
      <c r="J629" s="1" t="str">
        <f ca="1">IFERROR(__xludf.DUMMYFUNCTION("""COMPUTED_VALUE"""),"LOO ROLL  METAL SIGN")</f>
        <v>LOO ROLL  METAL SIGN</v>
      </c>
      <c r="K629" s="1">
        <f ca="1">IFERROR(__xludf.DUMMYFUNCTION("""COMPUTED_VALUE"""),-12)</f>
        <v>-12</v>
      </c>
      <c r="L629" s="1">
        <f ca="1">IFERROR(__xludf.DUMMYFUNCTION("""COMPUTED_VALUE"""),1.65)</f>
        <v>1.65</v>
      </c>
      <c r="T629" s="1"/>
      <c r="U629" s="1">
        <f ca="1">IFERROR(__xludf.DUMMYFUNCTION("""COMPUTED_VALUE"""),-19.7999999999999)</f>
        <v>-19.799999999999901</v>
      </c>
    </row>
    <row r="630" spans="1:21" ht="12.75" x14ac:dyDescent="0.2">
      <c r="A630" s="3">
        <f ca="1">IFERROR(__xludf.DUMMYFUNCTION("""COMPUTED_VALUE"""),40148.4930555555)</f>
        <v>40148.493055555497</v>
      </c>
      <c r="B630" s="1">
        <f ca="1">IFERROR(__xludf.DUMMYFUNCTION("""COMPUTED_VALUE"""),7.95)</f>
        <v>7.95</v>
      </c>
      <c r="E630" s="1" t="str">
        <f ca="1">IFERROR(__xludf.DUMMYFUNCTION("""COMPUTED_VALUE"""),"4 IVORY DINNER CANDLES SILVER FLOCK")</f>
        <v>4 IVORY DINNER CANDLES SILVER FLOCK</v>
      </c>
      <c r="F630" s="1">
        <f ca="1">IFERROR(__xludf.DUMMYFUNCTION("""COMPUTED_VALUE"""),4)</f>
        <v>4</v>
      </c>
      <c r="G630" s="1">
        <f ca="1">IFERROR(__xludf.DUMMYFUNCTION("""COMPUTED_VALUE"""),2.55)</f>
        <v>2.5499999999999998</v>
      </c>
      <c r="J630" s="1" t="str">
        <f ca="1">IFERROR(__xludf.DUMMYFUNCTION("""COMPUTED_VALUE"""),"15CM CHRISTMAS GLASS BALL 20 LIGHTS")</f>
        <v>15CM CHRISTMAS GLASS BALL 20 LIGHTS</v>
      </c>
      <c r="K630" s="1">
        <f ca="1">IFERROR(__xludf.DUMMYFUNCTION("""COMPUTED_VALUE"""),-1)</f>
        <v>-1</v>
      </c>
      <c r="L630" s="1">
        <f ca="1">IFERROR(__xludf.DUMMYFUNCTION("""COMPUTED_VALUE"""),7.95)</f>
        <v>7.95</v>
      </c>
      <c r="T630" s="1"/>
      <c r="U630" s="1">
        <f ca="1">IFERROR(__xludf.DUMMYFUNCTION("""COMPUTED_VALUE"""),-7.95)</f>
        <v>-7.95</v>
      </c>
    </row>
    <row r="631" spans="1:21" ht="12.75" x14ac:dyDescent="0.2">
      <c r="A631" s="3">
        <f ca="1">IFERROR(__xludf.DUMMYFUNCTION("""COMPUTED_VALUE"""),40148.49375)</f>
        <v>40148.493750000001</v>
      </c>
      <c r="B631" s="1">
        <f ca="1">IFERROR(__xludf.DUMMYFUNCTION("""COMPUTED_VALUE"""),0.42)</f>
        <v>0.42</v>
      </c>
      <c r="E631" s="1" t="str">
        <f ca="1">IFERROR(__xludf.DUMMYFUNCTION("""COMPUTED_VALUE"""),"YELLOW PURPLE DAISY FELT PURSE KIT")</f>
        <v>YELLOW PURPLE DAISY FELT PURSE KIT</v>
      </c>
      <c r="F631" s="1">
        <f ca="1">IFERROR(__xludf.DUMMYFUNCTION("""COMPUTED_VALUE"""),3)</f>
        <v>3</v>
      </c>
      <c r="G631" s="1">
        <f ca="1">IFERROR(__xludf.DUMMYFUNCTION("""COMPUTED_VALUE"""),1.25)</f>
        <v>1.25</v>
      </c>
      <c r="J631" s="1" t="str">
        <f ca="1">IFERROR(__xludf.DUMMYFUNCTION("""COMPUTED_VALUE"""),"WRAP, FRIENDSHIP ON GREEN")</f>
        <v>WRAP, FRIENDSHIP ON GREEN</v>
      </c>
      <c r="K631" s="1">
        <f ca="1">IFERROR(__xludf.DUMMYFUNCTION("""COMPUTED_VALUE"""),25)</f>
        <v>25</v>
      </c>
      <c r="L631" s="1">
        <f ca="1">IFERROR(__xludf.DUMMYFUNCTION("""COMPUTED_VALUE"""),0.42)</f>
        <v>0.42</v>
      </c>
      <c r="T631" s="1">
        <f ca="1">IFERROR(__xludf.DUMMYFUNCTION("""COMPUTED_VALUE"""),489529)</f>
        <v>489529</v>
      </c>
      <c r="U631" s="1">
        <f ca="1">IFERROR(__xludf.DUMMYFUNCTION("""COMPUTED_VALUE"""),10.5)</f>
        <v>10.5</v>
      </c>
    </row>
    <row r="632" spans="1:21" ht="12.75" x14ac:dyDescent="0.2">
      <c r="A632" s="3">
        <f ca="1">IFERROR(__xludf.DUMMYFUNCTION("""COMPUTED_VALUE"""),40148.49375)</f>
        <v>40148.493750000001</v>
      </c>
      <c r="B632" s="1">
        <f ca="1">IFERROR(__xludf.DUMMYFUNCTION("""COMPUTED_VALUE"""),0.42)</f>
        <v>0.42</v>
      </c>
      <c r="E632" s="1" t="str">
        <f ca="1">IFERROR(__xludf.DUMMYFUNCTION("""COMPUTED_VALUE"""),"FLORAL FOLK STATIONERY SET")</f>
        <v>FLORAL FOLK STATIONERY SET</v>
      </c>
      <c r="F632" s="1">
        <f ca="1">IFERROR(__xludf.DUMMYFUNCTION("""COMPUTED_VALUE"""),3)</f>
        <v>3</v>
      </c>
      <c r="G632" s="1">
        <f ca="1">IFERROR(__xludf.DUMMYFUNCTION("""COMPUTED_VALUE"""),2.95)</f>
        <v>2.95</v>
      </c>
      <c r="J632" s="1" t="str">
        <f ca="1">IFERROR(__xludf.DUMMYFUNCTION("""COMPUTED_VALUE"""),"PINK SPOTS  WRAP")</f>
        <v>PINK SPOTS  WRAP</v>
      </c>
      <c r="K632" s="1">
        <f ca="1">IFERROR(__xludf.DUMMYFUNCTION("""COMPUTED_VALUE"""),25)</f>
        <v>25</v>
      </c>
      <c r="L632" s="1">
        <f ca="1">IFERROR(__xludf.DUMMYFUNCTION("""COMPUTED_VALUE"""),0.42)</f>
        <v>0.42</v>
      </c>
      <c r="T632" s="1">
        <f ca="1">IFERROR(__xludf.DUMMYFUNCTION("""COMPUTED_VALUE"""),489529)</f>
        <v>489529</v>
      </c>
      <c r="U632" s="1">
        <f ca="1">IFERROR(__xludf.DUMMYFUNCTION("""COMPUTED_VALUE"""),10.5)</f>
        <v>10.5</v>
      </c>
    </row>
    <row r="633" spans="1:21" ht="12.75" x14ac:dyDescent="0.2">
      <c r="A633" s="3">
        <f ca="1">IFERROR(__xludf.DUMMYFUNCTION("""COMPUTED_VALUE"""),40148.49375)</f>
        <v>40148.493750000001</v>
      </c>
      <c r="B633" s="1">
        <f ca="1">IFERROR(__xludf.DUMMYFUNCTION("""COMPUTED_VALUE"""),0.42)</f>
        <v>0.42</v>
      </c>
      <c r="E633" s="1" t="str">
        <f ca="1">IFERROR(__xludf.DUMMYFUNCTION("""COMPUTED_VALUE"""),"MUSHROOM BLUE HOT WATER BOTTLE")</f>
        <v>MUSHROOM BLUE HOT WATER BOTTLE</v>
      </c>
      <c r="F633" s="1">
        <f ca="1">IFERROR(__xludf.DUMMYFUNCTION("""COMPUTED_VALUE"""),3)</f>
        <v>3</v>
      </c>
      <c r="G633" s="1">
        <f ca="1">IFERROR(__xludf.DUMMYFUNCTION("""COMPUTED_VALUE"""),2.95)</f>
        <v>2.95</v>
      </c>
      <c r="J633" s="1" t="str">
        <f ca="1">IFERROR(__xludf.DUMMYFUNCTION("""COMPUTED_VALUE"""),"PENNY FARTHING BIRTHDAY CARD")</f>
        <v>PENNY FARTHING BIRTHDAY CARD</v>
      </c>
      <c r="K633" s="1">
        <f ca="1">IFERROR(__xludf.DUMMYFUNCTION("""COMPUTED_VALUE"""),12)</f>
        <v>12</v>
      </c>
      <c r="L633" s="1">
        <f ca="1">IFERROR(__xludf.DUMMYFUNCTION("""COMPUTED_VALUE"""),0.42)</f>
        <v>0.42</v>
      </c>
      <c r="T633" s="1">
        <f ca="1">IFERROR(__xludf.DUMMYFUNCTION("""COMPUTED_VALUE"""),489529)</f>
        <v>489529</v>
      </c>
      <c r="U633" s="1">
        <f ca="1">IFERROR(__xludf.DUMMYFUNCTION("""COMPUTED_VALUE"""),5.04)</f>
        <v>5.04</v>
      </c>
    </row>
    <row r="634" spans="1:21" ht="12.75" x14ac:dyDescent="0.2">
      <c r="A634" s="3">
        <f ca="1">IFERROR(__xludf.DUMMYFUNCTION("""COMPUTED_VALUE"""),40148.49375)</f>
        <v>40148.493750000001</v>
      </c>
      <c r="B634" s="1">
        <f ca="1">IFERROR(__xludf.DUMMYFUNCTION("""COMPUTED_VALUE"""),0.42)</f>
        <v>0.42</v>
      </c>
      <c r="E634" s="1" t="str">
        <f ca="1">IFERROR(__xludf.DUMMYFUNCTION("""COMPUTED_VALUE"""),"FAWN BLUE HOT WATER BOTTLE")</f>
        <v>FAWN BLUE HOT WATER BOTTLE</v>
      </c>
      <c r="F634" s="1">
        <f ca="1">IFERROR(__xludf.DUMMYFUNCTION("""COMPUTED_VALUE"""),3)</f>
        <v>3</v>
      </c>
      <c r="G634" s="1">
        <f ca="1">IFERROR(__xludf.DUMMYFUNCTION("""COMPUTED_VALUE"""),2.95)</f>
        <v>2.95</v>
      </c>
      <c r="J634" s="1" t="str">
        <f ca="1">IFERROR(__xludf.DUMMYFUNCTION("""COMPUTED_VALUE"""),"SPACE BOY BIRTHDAY CARD")</f>
        <v>SPACE BOY BIRTHDAY CARD</v>
      </c>
      <c r="K634" s="1">
        <f ca="1">IFERROR(__xludf.DUMMYFUNCTION("""COMPUTED_VALUE"""),12)</f>
        <v>12</v>
      </c>
      <c r="L634" s="1">
        <f ca="1">IFERROR(__xludf.DUMMYFUNCTION("""COMPUTED_VALUE"""),0.42)</f>
        <v>0.42</v>
      </c>
      <c r="T634" s="1">
        <f ca="1">IFERROR(__xludf.DUMMYFUNCTION("""COMPUTED_VALUE"""),489529)</f>
        <v>489529</v>
      </c>
      <c r="U634" s="1">
        <f ca="1">IFERROR(__xludf.DUMMYFUNCTION("""COMPUTED_VALUE"""),5.04)</f>
        <v>5.04</v>
      </c>
    </row>
    <row r="635" spans="1:21" ht="12.75" x14ac:dyDescent="0.2">
      <c r="A635" s="3">
        <f ca="1">IFERROR(__xludf.DUMMYFUNCTION("""COMPUTED_VALUE"""),40148.49375)</f>
        <v>40148.493750000001</v>
      </c>
      <c r="B635" s="1">
        <f ca="1">IFERROR(__xludf.DUMMYFUNCTION("""COMPUTED_VALUE"""),0.42)</f>
        <v>0.42</v>
      </c>
      <c r="E635" s="1" t="str">
        <f ca="1">IFERROR(__xludf.DUMMYFUNCTION("""COMPUTED_VALUE"""),"BLUE WHITE SCARF HOT WATER BOTTLE")</f>
        <v>BLUE WHITE SCARF HOT WATER BOTTLE</v>
      </c>
      <c r="F635" s="1">
        <f ca="1">IFERROR(__xludf.DUMMYFUNCTION("""COMPUTED_VALUE"""),3)</f>
        <v>3</v>
      </c>
      <c r="G635" s="1">
        <f ca="1">IFERROR(__xludf.DUMMYFUNCTION("""COMPUTED_VALUE"""),3.95)</f>
        <v>3.95</v>
      </c>
      <c r="J635" s="1" t="str">
        <f ca="1">IFERROR(__xludf.DUMMYFUNCTION("""COMPUTED_VALUE"""),"SWALLOWS GREETING CARD")</f>
        <v>SWALLOWS GREETING CARD</v>
      </c>
      <c r="K635" s="1">
        <f ca="1">IFERROR(__xludf.DUMMYFUNCTION("""COMPUTED_VALUE"""),12)</f>
        <v>12</v>
      </c>
      <c r="L635" s="1">
        <f ca="1">IFERROR(__xludf.DUMMYFUNCTION("""COMPUTED_VALUE"""),0.42)</f>
        <v>0.42</v>
      </c>
      <c r="T635" s="1">
        <f ca="1">IFERROR(__xludf.DUMMYFUNCTION("""COMPUTED_VALUE"""),489529)</f>
        <v>489529</v>
      </c>
      <c r="U635" s="1">
        <f ca="1">IFERROR(__xludf.DUMMYFUNCTION("""COMPUTED_VALUE"""),5.04)</f>
        <v>5.04</v>
      </c>
    </row>
    <row r="636" spans="1:21" ht="12.75" x14ac:dyDescent="0.2">
      <c r="A636" s="3">
        <f ca="1">IFERROR(__xludf.DUMMYFUNCTION("""COMPUTED_VALUE"""),40148.49375)</f>
        <v>40148.493750000001</v>
      </c>
      <c r="B636" s="1">
        <f ca="1">IFERROR(__xludf.DUMMYFUNCTION("""COMPUTED_VALUE"""),0.42)</f>
        <v>0.42</v>
      </c>
      <c r="E636" s="1" t="str">
        <f ca="1">IFERROR(__xludf.DUMMYFUNCTION("""COMPUTED_VALUE"""),"RED WHITE SCARF  HOT WATER BOTTLE")</f>
        <v>RED WHITE SCARF  HOT WATER BOTTLE</v>
      </c>
      <c r="F636" s="1">
        <f ca="1">IFERROR(__xludf.DUMMYFUNCTION("""COMPUTED_VALUE"""),3)</f>
        <v>3</v>
      </c>
      <c r="G636" s="1">
        <f ca="1">IFERROR(__xludf.DUMMYFUNCTION("""COMPUTED_VALUE"""),3.95)</f>
        <v>3.95</v>
      </c>
      <c r="J636" s="1" t="str">
        <f ca="1">IFERROR(__xludf.DUMMYFUNCTION("""COMPUTED_VALUE"""),"RAINY LADIES BIRTHDAY CARD")</f>
        <v>RAINY LADIES BIRTHDAY CARD</v>
      </c>
      <c r="K636" s="1">
        <f ca="1">IFERROR(__xludf.DUMMYFUNCTION("""COMPUTED_VALUE"""),12)</f>
        <v>12</v>
      </c>
      <c r="L636" s="1">
        <f ca="1">IFERROR(__xludf.DUMMYFUNCTION("""COMPUTED_VALUE"""),0.42)</f>
        <v>0.42</v>
      </c>
      <c r="T636" s="1">
        <f ca="1">IFERROR(__xludf.DUMMYFUNCTION("""COMPUTED_VALUE"""),489529)</f>
        <v>489529</v>
      </c>
      <c r="U636" s="1">
        <f ca="1">IFERROR(__xludf.DUMMYFUNCTION("""COMPUTED_VALUE"""),5.04)</f>
        <v>5.04</v>
      </c>
    </row>
    <row r="637" spans="1:21" ht="12.75" x14ac:dyDescent="0.2">
      <c r="A637" s="3">
        <f ca="1">IFERROR(__xludf.DUMMYFUNCTION("""COMPUTED_VALUE"""),40148.49375)</f>
        <v>40148.493750000001</v>
      </c>
      <c r="B637" s="1">
        <f ca="1">IFERROR(__xludf.DUMMYFUNCTION("""COMPUTED_VALUE"""),0.42)</f>
        <v>0.42</v>
      </c>
      <c r="E637" s="1" t="str">
        <f ca="1">IFERROR(__xludf.DUMMYFUNCTION("""COMPUTED_VALUE"""),"STRING OF 8 BUTTERFLIES,PINK")</f>
        <v>STRING OF 8 BUTTERFLIES,PINK</v>
      </c>
      <c r="F637" s="1">
        <f ca="1">IFERROR(__xludf.DUMMYFUNCTION("""COMPUTED_VALUE"""),3)</f>
        <v>3</v>
      </c>
      <c r="G637" s="1">
        <f ca="1">IFERROR(__xludf.DUMMYFUNCTION("""COMPUTED_VALUE"""),1.65)</f>
        <v>1.65</v>
      </c>
      <c r="J637" s="1" t="str">
        <f ca="1">IFERROR(__xludf.DUMMYFUNCTION("""COMPUTED_VALUE"""),"ROBOT BIRTHDAY CARD")</f>
        <v>ROBOT BIRTHDAY CARD</v>
      </c>
      <c r="K637" s="1">
        <f ca="1">IFERROR(__xludf.DUMMYFUNCTION("""COMPUTED_VALUE"""),12)</f>
        <v>12</v>
      </c>
      <c r="L637" s="1">
        <f ca="1">IFERROR(__xludf.DUMMYFUNCTION("""COMPUTED_VALUE"""),0.42)</f>
        <v>0.42</v>
      </c>
      <c r="T637" s="1">
        <f ca="1">IFERROR(__xludf.DUMMYFUNCTION("""COMPUTED_VALUE"""),489529)</f>
        <v>489529</v>
      </c>
      <c r="U637" s="1">
        <f ca="1">IFERROR(__xludf.DUMMYFUNCTION("""COMPUTED_VALUE"""),5.04)</f>
        <v>5.04</v>
      </c>
    </row>
    <row r="638" spans="1:21" ht="12.75" x14ac:dyDescent="0.2">
      <c r="A638" s="3">
        <f ca="1">IFERROR(__xludf.DUMMYFUNCTION("""COMPUTED_VALUE"""),40148.49375)</f>
        <v>40148.493750000001</v>
      </c>
      <c r="B638" s="1">
        <f ca="1">IFERROR(__xludf.DUMMYFUNCTION("""COMPUTED_VALUE"""),0.42)</f>
        <v>0.42</v>
      </c>
      <c r="E638" s="1" t="str">
        <f ca="1">IFERROR(__xludf.DUMMYFUNCTION("""COMPUTED_VALUE"""),"4 IVORY DINNER CANDLES GOLD FLOCK")</f>
        <v>4 IVORY DINNER CANDLES GOLD FLOCK</v>
      </c>
      <c r="F638" s="1">
        <f ca="1">IFERROR(__xludf.DUMMYFUNCTION("""COMPUTED_VALUE"""),3)</f>
        <v>3</v>
      </c>
      <c r="G638" s="1">
        <f ca="1">IFERROR(__xludf.DUMMYFUNCTION("""COMPUTED_VALUE"""),2.55)</f>
        <v>2.5499999999999998</v>
      </c>
      <c r="J638" s="1" t="str">
        <f ca="1">IFERROR(__xludf.DUMMYFUNCTION("""COMPUTED_VALUE"""),"DINOSAUR BIRTHDAY CARD")</f>
        <v>DINOSAUR BIRTHDAY CARD</v>
      </c>
      <c r="K638" s="1">
        <f ca="1">IFERROR(__xludf.DUMMYFUNCTION("""COMPUTED_VALUE"""),12)</f>
        <v>12</v>
      </c>
      <c r="L638" s="1">
        <f ca="1">IFERROR(__xludf.DUMMYFUNCTION("""COMPUTED_VALUE"""),0.42)</f>
        <v>0.42</v>
      </c>
      <c r="T638" s="1">
        <f ca="1">IFERROR(__xludf.DUMMYFUNCTION("""COMPUTED_VALUE"""),489529)</f>
        <v>489529</v>
      </c>
      <c r="U638" s="1">
        <f ca="1">IFERROR(__xludf.DUMMYFUNCTION("""COMPUTED_VALUE"""),5.04)</f>
        <v>5.04</v>
      </c>
    </row>
    <row r="639" spans="1:21" ht="12.75" x14ac:dyDescent="0.2">
      <c r="A639" s="3">
        <f ca="1">IFERROR(__xludf.DUMMYFUNCTION("""COMPUTED_VALUE"""),40148.49375)</f>
        <v>40148.493750000001</v>
      </c>
      <c r="B639" s="1">
        <f ca="1">IFERROR(__xludf.DUMMYFUNCTION("""COMPUTED_VALUE"""),0.42)</f>
        <v>0.42</v>
      </c>
      <c r="E639" s="1" t="str">
        <f ca="1">IFERROR(__xludf.DUMMYFUNCTION("""COMPUTED_VALUE"""),"S/4 BURGUNDY WINE DINNER CANDLES")</f>
        <v>S/4 BURGUNDY WINE DINNER CANDLES</v>
      </c>
      <c r="F639" s="1">
        <f ca="1">IFERROR(__xludf.DUMMYFUNCTION("""COMPUTED_VALUE"""),3)</f>
        <v>3</v>
      </c>
      <c r="G639" s="1">
        <f ca="1">IFERROR(__xludf.DUMMYFUNCTION("""COMPUTED_VALUE"""),1.25)</f>
        <v>1.25</v>
      </c>
      <c r="J639" s="1" t="str">
        <f ca="1">IFERROR(__xludf.DUMMYFUNCTION("""COMPUTED_VALUE"""),"PENNY FARTHING BIRTHDAY CARD")</f>
        <v>PENNY FARTHING BIRTHDAY CARD</v>
      </c>
      <c r="K639" s="1">
        <f ca="1">IFERROR(__xludf.DUMMYFUNCTION("""COMPUTED_VALUE"""),12)</f>
        <v>12</v>
      </c>
      <c r="L639" s="1">
        <f ca="1">IFERROR(__xludf.DUMMYFUNCTION("""COMPUTED_VALUE"""),0.42)</f>
        <v>0.42</v>
      </c>
      <c r="T639" s="1">
        <f ca="1">IFERROR(__xludf.DUMMYFUNCTION("""COMPUTED_VALUE"""),489529)</f>
        <v>489529</v>
      </c>
      <c r="U639" s="1">
        <f ca="1">IFERROR(__xludf.DUMMYFUNCTION("""COMPUTED_VALUE"""),5.04)</f>
        <v>5.04</v>
      </c>
    </row>
    <row r="640" spans="1:21" ht="12.75" x14ac:dyDescent="0.2">
      <c r="A640" s="3">
        <f ca="1">IFERROR(__xludf.DUMMYFUNCTION("""COMPUTED_VALUE"""),40148.49375)</f>
        <v>40148.493750000001</v>
      </c>
      <c r="B640" s="1">
        <f ca="1">IFERROR(__xludf.DUMMYFUNCTION("""COMPUTED_VALUE"""),0.42)</f>
        <v>0.42</v>
      </c>
      <c r="E640" s="1" t="str">
        <f ca="1">IFERROR(__xludf.DUMMYFUNCTION("""COMPUTED_VALUE"""),"BINGO SET")</f>
        <v>BINGO SET</v>
      </c>
      <c r="F640" s="1">
        <f ca="1">IFERROR(__xludf.DUMMYFUNCTION("""COMPUTED_VALUE"""),3)</f>
        <v>3</v>
      </c>
      <c r="G640" s="1">
        <f ca="1">IFERROR(__xludf.DUMMYFUNCTION("""COMPUTED_VALUE"""),3.75)</f>
        <v>3.75</v>
      </c>
      <c r="J640" s="1" t="str">
        <f ca="1">IFERROR(__xludf.DUMMYFUNCTION("""COMPUTED_VALUE"""),"DINOSAUR BIRTHDAY CARD")</f>
        <v>DINOSAUR BIRTHDAY CARD</v>
      </c>
      <c r="K640" s="1">
        <f ca="1">IFERROR(__xludf.DUMMYFUNCTION("""COMPUTED_VALUE"""),12)</f>
        <v>12</v>
      </c>
      <c r="L640" s="1">
        <f ca="1">IFERROR(__xludf.DUMMYFUNCTION("""COMPUTED_VALUE"""),0.42)</f>
        <v>0.42</v>
      </c>
      <c r="T640" s="1">
        <f ca="1">IFERROR(__xludf.DUMMYFUNCTION("""COMPUTED_VALUE"""),489529)</f>
        <v>489529</v>
      </c>
      <c r="U640" s="1">
        <f ca="1">IFERROR(__xludf.DUMMYFUNCTION("""COMPUTED_VALUE"""),5.04)</f>
        <v>5.04</v>
      </c>
    </row>
    <row r="641" spans="1:21" ht="12.75" x14ac:dyDescent="0.2">
      <c r="A641" s="3">
        <f ca="1">IFERROR(__xludf.DUMMYFUNCTION("""COMPUTED_VALUE"""),40148.49375)</f>
        <v>40148.493750000001</v>
      </c>
      <c r="B641" s="1">
        <f ca="1">IFERROR(__xludf.DUMMYFUNCTION("""COMPUTED_VALUE"""),2.55)</f>
        <v>2.5499999999999998</v>
      </c>
      <c r="E641" s="1" t="str">
        <f ca="1">IFERROR(__xludf.DUMMYFUNCTION("""COMPUTED_VALUE"""),"GREY FLORAL FELTCRAFT SHOULDER BAG")</f>
        <v>GREY FLORAL FELTCRAFT SHOULDER BAG</v>
      </c>
      <c r="F641" s="1">
        <f ca="1">IFERROR(__xludf.DUMMYFUNCTION("""COMPUTED_VALUE"""),2)</f>
        <v>2</v>
      </c>
      <c r="G641" s="1">
        <f ca="1">IFERROR(__xludf.DUMMYFUNCTION("""COMPUTED_VALUE"""),3.75)</f>
        <v>3.75</v>
      </c>
      <c r="J641" s="1" t="str">
        <f ca="1">IFERROR(__xludf.DUMMYFUNCTION("""COMPUTED_VALUE"""),"COFFEE MUG DOG + BALL DESIGN")</f>
        <v>COFFEE MUG DOG + BALL DESIGN</v>
      </c>
      <c r="K641" s="1">
        <f ca="1">IFERROR(__xludf.DUMMYFUNCTION("""COMPUTED_VALUE"""),6)</f>
        <v>6</v>
      </c>
      <c r="L641" s="1">
        <f ca="1">IFERROR(__xludf.DUMMYFUNCTION("""COMPUTED_VALUE"""),2.55)</f>
        <v>2.5499999999999998</v>
      </c>
      <c r="T641" s="1">
        <f ca="1">IFERROR(__xludf.DUMMYFUNCTION("""COMPUTED_VALUE"""),489529)</f>
        <v>489529</v>
      </c>
      <c r="U641" s="1">
        <f ca="1">IFERROR(__xludf.DUMMYFUNCTION("""COMPUTED_VALUE"""),15.2999999999999)</f>
        <v>15.299999999999899</v>
      </c>
    </row>
    <row r="642" spans="1:21" ht="12.75" x14ac:dyDescent="0.2">
      <c r="A642" s="3">
        <f ca="1">IFERROR(__xludf.DUMMYFUNCTION("""COMPUTED_VALUE"""),40148.49375)</f>
        <v>40148.493750000001</v>
      </c>
      <c r="B642" s="1">
        <f ca="1">IFERROR(__xludf.DUMMYFUNCTION("""COMPUTED_VALUE"""),1.25)</f>
        <v>1.25</v>
      </c>
      <c r="E642" s="1" t="str">
        <f ca="1">IFERROR(__xludf.DUMMYFUNCTION("""COMPUTED_VALUE"""),"YELLOW + BROWN BEAR FELT PURSE KIT")</f>
        <v>YELLOW + BROWN BEAR FELT PURSE KIT</v>
      </c>
      <c r="F642" s="1">
        <f ca="1">IFERROR(__xludf.DUMMYFUNCTION("""COMPUTED_VALUE"""),2)</f>
        <v>2</v>
      </c>
      <c r="G642" s="1">
        <f ca="1">IFERROR(__xludf.DUMMYFUNCTION("""COMPUTED_VALUE"""),1.25)</f>
        <v>1.25</v>
      </c>
      <c r="J642" s="1" t="str">
        <f ca="1">IFERROR(__xludf.DUMMYFUNCTION("""COMPUTED_VALUE"""),"STRAWBERRIES PRINT BOWL")</f>
        <v>STRAWBERRIES PRINT BOWL</v>
      </c>
      <c r="K642" s="1">
        <f ca="1">IFERROR(__xludf.DUMMYFUNCTION("""COMPUTED_VALUE"""),4)</f>
        <v>4</v>
      </c>
      <c r="L642" s="1">
        <f ca="1">IFERROR(__xludf.DUMMYFUNCTION("""COMPUTED_VALUE"""),1.25)</f>
        <v>1.25</v>
      </c>
      <c r="T642" s="1">
        <f ca="1">IFERROR(__xludf.DUMMYFUNCTION("""COMPUTED_VALUE"""),489529)</f>
        <v>489529</v>
      </c>
      <c r="U642" s="1">
        <f ca="1">IFERROR(__xludf.DUMMYFUNCTION("""COMPUTED_VALUE"""),5)</f>
        <v>5</v>
      </c>
    </row>
    <row r="643" spans="1:21" ht="12.75" x14ac:dyDescent="0.2">
      <c r="A643" s="3">
        <f ca="1">IFERROR(__xludf.DUMMYFUNCTION("""COMPUTED_VALUE"""),40148.49375)</f>
        <v>40148.493750000001</v>
      </c>
      <c r="B643" s="1">
        <f ca="1">IFERROR(__xludf.DUMMYFUNCTION("""COMPUTED_VALUE"""),1.65)</f>
        <v>1.65</v>
      </c>
      <c r="E643" s="1" t="str">
        <f ca="1">IFERROR(__xludf.DUMMYFUNCTION("""COMPUTED_VALUE"""),"FELTCRAFT DOLL MOLLY")</f>
        <v>FELTCRAFT DOLL MOLLY</v>
      </c>
      <c r="F643" s="1">
        <f ca="1">IFERROR(__xludf.DUMMYFUNCTION("""COMPUTED_VALUE"""),2)</f>
        <v>2</v>
      </c>
      <c r="G643" s="1">
        <f ca="1">IFERROR(__xludf.DUMMYFUNCTION("""COMPUTED_VALUE"""),2.95)</f>
        <v>2.95</v>
      </c>
      <c r="J643" s="1" t="str">
        <f ca="1">IFERROR(__xludf.DUMMYFUNCTION("""COMPUTED_VALUE"""),"RED GINGHAM ROSE JEWELLERY BOX")</f>
        <v>RED GINGHAM ROSE JEWELLERY BOX</v>
      </c>
      <c r="K643" s="1">
        <f ca="1">IFERROR(__xludf.DUMMYFUNCTION("""COMPUTED_VALUE"""),4)</f>
        <v>4</v>
      </c>
      <c r="L643" s="1">
        <f ca="1">IFERROR(__xludf.DUMMYFUNCTION("""COMPUTED_VALUE"""),1.65)</f>
        <v>1.65</v>
      </c>
      <c r="T643" s="1">
        <f ca="1">IFERROR(__xludf.DUMMYFUNCTION("""COMPUTED_VALUE"""),489529)</f>
        <v>489529</v>
      </c>
      <c r="U643" s="1">
        <f ca="1">IFERROR(__xludf.DUMMYFUNCTION("""COMPUTED_VALUE"""),6.6)</f>
        <v>6.6</v>
      </c>
    </row>
    <row r="644" spans="1:21" ht="12.75" x14ac:dyDescent="0.2">
      <c r="A644" s="3">
        <f ca="1">IFERROR(__xludf.DUMMYFUNCTION("""COMPUTED_VALUE"""),40148.49375)</f>
        <v>40148.493750000001</v>
      </c>
      <c r="B644" s="1">
        <f ca="1">IFERROR(__xludf.DUMMYFUNCTION("""COMPUTED_VALUE"""),1.65)</f>
        <v>1.65</v>
      </c>
      <c r="E644" s="1" t="str">
        <f ca="1">IFERROR(__xludf.DUMMYFUNCTION("""COMPUTED_VALUE"""),"COUNTRY COTTAGE  DOORSTOP GREEN")</f>
        <v>COUNTRY COTTAGE  DOORSTOP GREEN</v>
      </c>
      <c r="F644" s="1">
        <f ca="1">IFERROR(__xludf.DUMMYFUNCTION("""COMPUTED_VALUE"""),2)</f>
        <v>2</v>
      </c>
      <c r="G644" s="1">
        <f ca="1">IFERROR(__xludf.DUMMYFUNCTION("""COMPUTED_VALUE"""),4.25)</f>
        <v>4.25</v>
      </c>
      <c r="J644" s="1" t="str">
        <f ca="1">IFERROR(__xludf.DUMMYFUNCTION("""COMPUTED_VALUE"""),"GREEN GINGHAM FLOWER JEWELLERY BOX")</f>
        <v>GREEN GINGHAM FLOWER JEWELLERY BOX</v>
      </c>
      <c r="K644" s="1">
        <f ca="1">IFERROR(__xludf.DUMMYFUNCTION("""COMPUTED_VALUE"""),4)</f>
        <v>4</v>
      </c>
      <c r="L644" s="1">
        <f ca="1">IFERROR(__xludf.DUMMYFUNCTION("""COMPUTED_VALUE"""),1.65)</f>
        <v>1.65</v>
      </c>
      <c r="T644" s="1">
        <f ca="1">IFERROR(__xludf.DUMMYFUNCTION("""COMPUTED_VALUE"""),489529)</f>
        <v>489529</v>
      </c>
      <c r="U644" s="1">
        <f ca="1">IFERROR(__xludf.DUMMYFUNCTION("""COMPUTED_VALUE"""),6.6)</f>
        <v>6.6</v>
      </c>
    </row>
    <row r="645" spans="1:21" ht="12.75" x14ac:dyDescent="0.2">
      <c r="A645" s="3">
        <f ca="1">IFERROR(__xludf.DUMMYFUNCTION("""COMPUTED_VALUE"""),40148.49375)</f>
        <v>40148.493750000001</v>
      </c>
      <c r="B645" s="1">
        <f ca="1">IFERROR(__xludf.DUMMYFUNCTION("""COMPUTED_VALUE"""),0.85)</f>
        <v>0.85</v>
      </c>
      <c r="E645" s="1" t="str">
        <f ca="1">IFERROR(__xludf.DUMMYFUNCTION("""COMPUTED_VALUE"""),"WHITE SKULL HOT WATER BOTTLE")</f>
        <v>WHITE SKULL HOT WATER BOTTLE</v>
      </c>
      <c r="F645" s="1">
        <f ca="1">IFERROR(__xludf.DUMMYFUNCTION("""COMPUTED_VALUE"""),2)</f>
        <v>2</v>
      </c>
      <c r="G645" s="1">
        <f ca="1">IFERROR(__xludf.DUMMYFUNCTION("""COMPUTED_VALUE"""),3.75)</f>
        <v>3.75</v>
      </c>
      <c r="J645" s="1" t="str">
        <f ca="1">IFERROR(__xludf.DUMMYFUNCTION("""COMPUTED_VALUE"""),"MULTI HEARTS  STICKERS")</f>
        <v>MULTI HEARTS  STICKERS</v>
      </c>
      <c r="K645" s="1">
        <f ca="1">IFERROR(__xludf.DUMMYFUNCTION("""COMPUTED_VALUE"""),3)</f>
        <v>3</v>
      </c>
      <c r="L645" s="1">
        <f ca="1">IFERROR(__xludf.DUMMYFUNCTION("""COMPUTED_VALUE"""),0.85)</f>
        <v>0.85</v>
      </c>
      <c r="T645" s="1">
        <f ca="1">IFERROR(__xludf.DUMMYFUNCTION("""COMPUTED_VALUE"""),489529)</f>
        <v>489529</v>
      </c>
      <c r="U645" s="1">
        <f ca="1">IFERROR(__xludf.DUMMYFUNCTION("""COMPUTED_VALUE"""),2.55)</f>
        <v>2.5499999999999998</v>
      </c>
    </row>
    <row r="646" spans="1:21" ht="12.75" x14ac:dyDescent="0.2">
      <c r="A646" s="3">
        <f ca="1">IFERROR(__xludf.DUMMYFUNCTION("""COMPUTED_VALUE"""),40148.49375)</f>
        <v>40148.493750000001</v>
      </c>
      <c r="B646" s="1">
        <f ca="1">IFERROR(__xludf.DUMMYFUNCTION("""COMPUTED_VALUE"""),2.95)</f>
        <v>2.95</v>
      </c>
      <c r="E646" s="1" t="str">
        <f ca="1">IFERROR(__xludf.DUMMYFUNCTION("""COMPUTED_VALUE"""),"PINK HEART DOTS HOT WATER BOTTLE")</f>
        <v>PINK HEART DOTS HOT WATER BOTTLE</v>
      </c>
      <c r="F646" s="1">
        <f ca="1">IFERROR(__xludf.DUMMYFUNCTION("""COMPUTED_VALUE"""),2)</f>
        <v>2</v>
      </c>
      <c r="G646" s="1">
        <f ca="1">IFERROR(__xludf.DUMMYFUNCTION("""COMPUTED_VALUE"""),3.75)</f>
        <v>3.75</v>
      </c>
      <c r="J646" s="1" t="str">
        <f ca="1">IFERROR(__xludf.DUMMYFUNCTION("""COMPUTED_VALUE"""),"PAPER CHAIN KIT 50'S CHRISTMAS")</f>
        <v>PAPER CHAIN KIT 50'S CHRISTMAS</v>
      </c>
      <c r="K646" s="1">
        <f ca="1">IFERROR(__xludf.DUMMYFUNCTION("""COMPUTED_VALUE"""),3)</f>
        <v>3</v>
      </c>
      <c r="L646" s="1">
        <f ca="1">IFERROR(__xludf.DUMMYFUNCTION("""COMPUTED_VALUE"""),2.95)</f>
        <v>2.95</v>
      </c>
      <c r="T646" s="1">
        <f ca="1">IFERROR(__xludf.DUMMYFUNCTION("""COMPUTED_VALUE"""),489529)</f>
        <v>489529</v>
      </c>
      <c r="U646" s="1">
        <f ca="1">IFERROR(__xludf.DUMMYFUNCTION("""COMPUTED_VALUE"""),8.85)</f>
        <v>8.85</v>
      </c>
    </row>
    <row r="647" spans="1:21" ht="12.75" x14ac:dyDescent="0.2">
      <c r="A647" s="3">
        <f ca="1">IFERROR(__xludf.DUMMYFUNCTION("""COMPUTED_VALUE"""),40148.49375)</f>
        <v>40148.493750000001</v>
      </c>
      <c r="B647" s="1">
        <f ca="1">IFERROR(__xludf.DUMMYFUNCTION("""COMPUTED_VALUE"""),4.25)</f>
        <v>4.25</v>
      </c>
      <c r="E647" s="1" t="str">
        <f ca="1">IFERROR(__xludf.DUMMYFUNCTION("""COMPUTED_VALUE"""),"FRYING PAN UNION FLAG")</f>
        <v>FRYING PAN UNION FLAG</v>
      </c>
      <c r="F647" s="1">
        <f ca="1">IFERROR(__xludf.DUMMYFUNCTION("""COMPUTED_VALUE"""),1)</f>
        <v>1</v>
      </c>
      <c r="G647" s="1">
        <f ca="1">IFERROR(__xludf.DUMMYFUNCTION("""COMPUTED_VALUE"""),4.25)</f>
        <v>4.25</v>
      </c>
      <c r="J647" s="1" t="str">
        <f ca="1">IFERROR(__xludf.DUMMYFUNCTION("""COMPUTED_VALUE"""),"OCEAN SCENT CANDLE IN JEWELLED BOX")</f>
        <v>OCEAN SCENT CANDLE IN JEWELLED BOX</v>
      </c>
      <c r="K647" s="1">
        <f ca="1">IFERROR(__xludf.DUMMYFUNCTION("""COMPUTED_VALUE"""),3)</f>
        <v>3</v>
      </c>
      <c r="L647" s="1">
        <f ca="1">IFERROR(__xludf.DUMMYFUNCTION("""COMPUTED_VALUE"""),4.25)</f>
        <v>4.25</v>
      </c>
      <c r="T647" s="1">
        <f ca="1">IFERROR(__xludf.DUMMYFUNCTION("""COMPUTED_VALUE"""),489529)</f>
        <v>489529</v>
      </c>
      <c r="U647" s="1">
        <f ca="1">IFERROR(__xludf.DUMMYFUNCTION("""COMPUTED_VALUE"""),12.75)</f>
        <v>12.75</v>
      </c>
    </row>
    <row r="648" spans="1:21" ht="12.75" x14ac:dyDescent="0.2">
      <c r="A648" s="3">
        <f ca="1">IFERROR(__xludf.DUMMYFUNCTION("""COMPUTED_VALUE"""),40148.49375)</f>
        <v>40148.493750000001</v>
      </c>
      <c r="B648" s="1">
        <f ca="1">IFERROR(__xludf.DUMMYFUNCTION("""COMPUTED_VALUE"""),1.65)</f>
        <v>1.65</v>
      </c>
      <c r="E648" s="1" t="str">
        <f ca="1">IFERROR(__xludf.DUMMYFUNCTION("""COMPUTED_VALUE"""),"METAL SIGN EMPIRE TEA")</f>
        <v>METAL SIGN EMPIRE TEA</v>
      </c>
      <c r="F648" s="1">
        <f ca="1">IFERROR(__xludf.DUMMYFUNCTION("""COMPUTED_VALUE"""),1)</f>
        <v>1</v>
      </c>
      <c r="G648" s="1">
        <f ca="1">IFERROR(__xludf.DUMMYFUNCTION("""COMPUTED_VALUE"""),2.95)</f>
        <v>2.95</v>
      </c>
      <c r="J648" s="1" t="str">
        <f ca="1">IFERROR(__xludf.DUMMYFUNCTION("""COMPUTED_VALUE"""),"GREEN FERN NOTEBOOK")</f>
        <v>GREEN FERN NOTEBOOK</v>
      </c>
      <c r="K648" s="1">
        <f ca="1">IFERROR(__xludf.DUMMYFUNCTION("""COMPUTED_VALUE"""),2)</f>
        <v>2</v>
      </c>
      <c r="L648" s="1">
        <f ca="1">IFERROR(__xludf.DUMMYFUNCTION("""COMPUTED_VALUE"""),1.65)</f>
        <v>1.65</v>
      </c>
      <c r="T648" s="1">
        <f ca="1">IFERROR(__xludf.DUMMYFUNCTION("""COMPUTED_VALUE"""),489529)</f>
        <v>489529</v>
      </c>
      <c r="U648" s="1">
        <f ca="1">IFERROR(__xludf.DUMMYFUNCTION("""COMPUTED_VALUE"""),3.3)</f>
        <v>3.3</v>
      </c>
    </row>
    <row r="649" spans="1:21" ht="12.75" x14ac:dyDescent="0.2">
      <c r="A649" s="3">
        <f ca="1">IFERROR(__xludf.DUMMYFUNCTION("""COMPUTED_VALUE"""),40148.49375)</f>
        <v>40148.493750000001</v>
      </c>
      <c r="B649" s="1">
        <f ca="1">IFERROR(__xludf.DUMMYFUNCTION("""COMPUTED_VALUE"""),1.69)</f>
        <v>1.69</v>
      </c>
      <c r="E649" s="1" t="str">
        <f ca="1">IFERROR(__xludf.DUMMYFUNCTION("""COMPUTED_VALUE"""),"BROWN CHECK CAT DOORSTOP")</f>
        <v>BROWN CHECK CAT DOORSTOP</v>
      </c>
      <c r="F649" s="1">
        <f ca="1">IFERROR(__xludf.DUMMYFUNCTION("""COMPUTED_VALUE"""),1)</f>
        <v>1</v>
      </c>
      <c r="G649" s="1">
        <f ca="1">IFERROR(__xludf.DUMMYFUNCTION("""COMPUTED_VALUE"""),4.25)</f>
        <v>4.25</v>
      </c>
      <c r="J649" s="1" t="str">
        <f ca="1">IFERROR(__xludf.DUMMYFUNCTION("""COMPUTED_VALUE"""),"CAMOUFLAGE LED TORCH")</f>
        <v>CAMOUFLAGE LED TORCH</v>
      </c>
      <c r="K649" s="1">
        <f ca="1">IFERROR(__xludf.DUMMYFUNCTION("""COMPUTED_VALUE"""),2)</f>
        <v>2</v>
      </c>
      <c r="L649" s="1">
        <f ca="1">IFERROR(__xludf.DUMMYFUNCTION("""COMPUTED_VALUE"""),1.69)</f>
        <v>1.69</v>
      </c>
      <c r="T649" s="1">
        <f ca="1">IFERROR(__xludf.DUMMYFUNCTION("""COMPUTED_VALUE"""),489529)</f>
        <v>489529</v>
      </c>
      <c r="U649" s="1">
        <f ca="1">IFERROR(__xludf.DUMMYFUNCTION("""COMPUTED_VALUE"""),3.38)</f>
        <v>3.38</v>
      </c>
    </row>
    <row r="650" spans="1:21" ht="12.75" x14ac:dyDescent="0.2">
      <c r="A650" s="3">
        <f ca="1">IFERROR(__xludf.DUMMYFUNCTION("""COMPUTED_VALUE"""),40148.49375)</f>
        <v>40148.493750000001</v>
      </c>
      <c r="B650" s="1">
        <f ca="1">IFERROR(__xludf.DUMMYFUNCTION("""COMPUTED_VALUE"""),0.85)</f>
        <v>0.85</v>
      </c>
      <c r="E650" s="1" t="str">
        <f ca="1">IFERROR(__xludf.DUMMYFUNCTION("""COMPUTED_VALUE"""),"4 IVORY DINNER CANDLES GOLD FLOCK")</f>
        <v>4 IVORY DINNER CANDLES GOLD FLOCK</v>
      </c>
      <c r="F650" s="1">
        <f ca="1">IFERROR(__xludf.DUMMYFUNCTION("""COMPUTED_VALUE"""),1)</f>
        <v>1</v>
      </c>
      <c r="G650" s="1">
        <f ca="1">IFERROR(__xludf.DUMMYFUNCTION("""COMPUTED_VALUE"""),2.55)</f>
        <v>2.5499999999999998</v>
      </c>
      <c r="J650" s="1" t="str">
        <f ca="1">IFERROR(__xludf.DUMMYFUNCTION("""COMPUTED_VALUE"""),"SKULLS  WATER TRANSFER TATTOOS")</f>
        <v>SKULLS  WATER TRANSFER TATTOOS</v>
      </c>
      <c r="K650" s="1">
        <f ca="1">IFERROR(__xludf.DUMMYFUNCTION("""COMPUTED_VALUE"""),2)</f>
        <v>2</v>
      </c>
      <c r="L650" s="1">
        <f ca="1">IFERROR(__xludf.DUMMYFUNCTION("""COMPUTED_VALUE"""),0.85)</f>
        <v>0.85</v>
      </c>
      <c r="T650" s="1">
        <f ca="1">IFERROR(__xludf.DUMMYFUNCTION("""COMPUTED_VALUE"""),489529)</f>
        <v>489529</v>
      </c>
      <c r="U650" s="1">
        <f ca="1">IFERROR(__xludf.DUMMYFUNCTION("""COMPUTED_VALUE"""),1.7)</f>
        <v>1.7</v>
      </c>
    </row>
    <row r="651" spans="1:21" ht="12.75" x14ac:dyDescent="0.2">
      <c r="A651" s="3">
        <f ca="1">IFERROR(__xludf.DUMMYFUNCTION("""COMPUTED_VALUE"""),40148.49375)</f>
        <v>40148.493750000001</v>
      </c>
      <c r="B651" s="1">
        <f ca="1">IFERROR(__xludf.DUMMYFUNCTION("""COMPUTED_VALUE"""),0.85)</f>
        <v>0.85</v>
      </c>
      <c r="E651" s="1" t="str">
        <f ca="1">IFERROR(__xludf.DUMMYFUNCTION("""COMPUTED_VALUE"""),"GARLAND WITH STARS AND BELLS")</f>
        <v>GARLAND WITH STARS AND BELLS</v>
      </c>
      <c r="F651" s="1">
        <f ca="1">IFERROR(__xludf.DUMMYFUNCTION("""COMPUTED_VALUE"""),1)</f>
        <v>1</v>
      </c>
      <c r="G651" s="1">
        <f ca="1">IFERROR(__xludf.DUMMYFUNCTION("""COMPUTED_VALUE"""),4.95)</f>
        <v>4.95</v>
      </c>
      <c r="J651" s="1" t="str">
        <f ca="1">IFERROR(__xludf.DUMMYFUNCTION("""COMPUTED_VALUE"""),"12 PENCILS TALL TUBE SKULLS")</f>
        <v>12 PENCILS TALL TUBE SKULLS</v>
      </c>
      <c r="K651" s="1">
        <f ca="1">IFERROR(__xludf.DUMMYFUNCTION("""COMPUTED_VALUE"""),2)</f>
        <v>2</v>
      </c>
      <c r="L651" s="1">
        <f ca="1">IFERROR(__xludf.DUMMYFUNCTION("""COMPUTED_VALUE"""),0.85)</f>
        <v>0.85</v>
      </c>
      <c r="T651" s="1">
        <f ca="1">IFERROR(__xludf.DUMMYFUNCTION("""COMPUTED_VALUE"""),489529)</f>
        <v>489529</v>
      </c>
      <c r="U651" s="1">
        <f ca="1">IFERROR(__xludf.DUMMYFUNCTION("""COMPUTED_VALUE"""),1.7)</f>
        <v>1.7</v>
      </c>
    </row>
    <row r="652" spans="1:21" ht="12.75" x14ac:dyDescent="0.2">
      <c r="A652" s="3">
        <f ca="1">IFERROR(__xludf.DUMMYFUNCTION("""COMPUTED_VALUE"""),40148.49375)</f>
        <v>40148.493750000001</v>
      </c>
      <c r="B652" s="1">
        <f ca="1">IFERROR(__xludf.DUMMYFUNCTION("""COMPUTED_VALUE"""),3.75)</f>
        <v>3.75</v>
      </c>
      <c r="E652" s="1" t="str">
        <f ca="1">IFERROR(__xludf.DUMMYFUNCTION("""COMPUTED_VALUE"""),"RED WOOLLY HOTTIE WHITE HEART.")</f>
        <v>RED WOOLLY HOTTIE WHITE HEART.</v>
      </c>
      <c r="F652" s="1">
        <f ca="1">IFERROR(__xludf.DUMMYFUNCTION("""COMPUTED_VALUE"""),1)</f>
        <v>1</v>
      </c>
      <c r="G652" s="1">
        <f ca="1">IFERROR(__xludf.DUMMYFUNCTION("""COMPUTED_VALUE"""),3.75)</f>
        <v>3.75</v>
      </c>
      <c r="J652" s="1" t="str">
        <f ca="1">IFERROR(__xludf.DUMMYFUNCTION("""COMPUTED_VALUE"""),"VINTAGE SNAKES &amp; LADDERS")</f>
        <v>VINTAGE SNAKES &amp; LADDERS</v>
      </c>
      <c r="K652" s="1">
        <f ca="1">IFERROR(__xludf.DUMMYFUNCTION("""COMPUTED_VALUE"""),2)</f>
        <v>2</v>
      </c>
      <c r="L652" s="1">
        <f ca="1">IFERROR(__xludf.DUMMYFUNCTION("""COMPUTED_VALUE"""),3.75)</f>
        <v>3.75</v>
      </c>
      <c r="T652" s="1">
        <f ca="1">IFERROR(__xludf.DUMMYFUNCTION("""COMPUTED_VALUE"""),489529)</f>
        <v>489529</v>
      </c>
      <c r="U652" s="1">
        <f ca="1">IFERROR(__xludf.DUMMYFUNCTION("""COMPUTED_VALUE"""),7.5)</f>
        <v>7.5</v>
      </c>
    </row>
    <row r="653" spans="1:21" ht="12.75" x14ac:dyDescent="0.2">
      <c r="A653" s="3">
        <f ca="1">IFERROR(__xludf.DUMMYFUNCTION("""COMPUTED_VALUE"""),40148.49375)</f>
        <v>40148.493750000001</v>
      </c>
      <c r="B653" s="1">
        <f ca="1">IFERROR(__xludf.DUMMYFUNCTION("""COMPUTED_VALUE"""),1.95)</f>
        <v>1.95</v>
      </c>
      <c r="E653" s="1" t="str">
        <f ca="1">IFERROR(__xludf.DUMMYFUNCTION("""COMPUTED_VALUE"""),"SET/4 BLUE FLOWER CANDLES IN BOWL")</f>
        <v>SET/4 BLUE FLOWER CANDLES IN BOWL</v>
      </c>
      <c r="F653" s="1">
        <f ca="1">IFERROR(__xludf.DUMMYFUNCTION("""COMPUTED_VALUE"""),192)</f>
        <v>192</v>
      </c>
      <c r="G653" s="1">
        <f ca="1">IFERROR(__xludf.DUMMYFUNCTION("""COMPUTED_VALUE"""),1.45)</f>
        <v>1.45</v>
      </c>
      <c r="J653" s="1" t="str">
        <f ca="1">IFERROR(__xludf.DUMMYFUNCTION("""COMPUTED_VALUE"""),"SET OF THREE 50'S GIFT WRAPS")</f>
        <v>SET OF THREE 50'S GIFT WRAPS</v>
      </c>
      <c r="K653" s="1">
        <f ca="1">IFERROR(__xludf.DUMMYFUNCTION("""COMPUTED_VALUE"""),2)</f>
        <v>2</v>
      </c>
      <c r="L653" s="1">
        <f ca="1">IFERROR(__xludf.DUMMYFUNCTION("""COMPUTED_VALUE"""),1.95)</f>
        <v>1.95</v>
      </c>
      <c r="T653" s="1">
        <f ca="1">IFERROR(__xludf.DUMMYFUNCTION("""COMPUTED_VALUE"""),489529)</f>
        <v>489529</v>
      </c>
      <c r="U653" s="1">
        <f ca="1">IFERROR(__xludf.DUMMYFUNCTION("""COMPUTED_VALUE"""),3.9)</f>
        <v>3.9</v>
      </c>
    </row>
    <row r="654" spans="1:21" ht="12.75" x14ac:dyDescent="0.2">
      <c r="A654" s="3">
        <f ca="1">IFERROR(__xludf.DUMMYFUNCTION("""COMPUTED_VALUE"""),40148.49375)</f>
        <v>40148.493750000001</v>
      </c>
      <c r="B654" s="1">
        <f ca="1">IFERROR(__xludf.DUMMYFUNCTION("""COMPUTED_VALUE"""),16.95)</f>
        <v>16.95</v>
      </c>
      <c r="E654" s="1" t="str">
        <f ca="1">IFERROR(__xludf.DUMMYFUNCTION("""COMPUTED_VALUE"""),"PAPER CHAIN KIT 50'S CHRISTMAS")</f>
        <v>PAPER CHAIN KIT 50'S CHRISTMAS</v>
      </c>
      <c r="F654" s="1">
        <f ca="1">IFERROR(__xludf.DUMMYFUNCTION("""COMPUTED_VALUE"""),160)</f>
        <v>160</v>
      </c>
      <c r="G654" s="1">
        <f ca="1">IFERROR(__xludf.DUMMYFUNCTION("""COMPUTED_VALUE"""),2.55)</f>
        <v>2.5499999999999998</v>
      </c>
      <c r="J654" s="1" t="str">
        <f ca="1">IFERROR(__xludf.DUMMYFUNCTION("""COMPUTED_VALUE"""),"CREAM SWEETHEART MAGAZINE RACK")</f>
        <v>CREAM SWEETHEART MAGAZINE RACK</v>
      </c>
      <c r="K654" s="1">
        <f ca="1">IFERROR(__xludf.DUMMYFUNCTION("""COMPUTED_VALUE"""),1)</f>
        <v>1</v>
      </c>
      <c r="L654" s="1">
        <f ca="1">IFERROR(__xludf.DUMMYFUNCTION("""COMPUTED_VALUE"""),16.95)</f>
        <v>16.95</v>
      </c>
      <c r="T654" s="1">
        <f ca="1">IFERROR(__xludf.DUMMYFUNCTION("""COMPUTED_VALUE"""),489529)</f>
        <v>489529</v>
      </c>
      <c r="U654" s="1">
        <f ca="1">IFERROR(__xludf.DUMMYFUNCTION("""COMPUTED_VALUE"""),16.95)</f>
        <v>16.95</v>
      </c>
    </row>
    <row r="655" spans="1:21" ht="12.75" x14ac:dyDescent="0.2">
      <c r="A655" s="3">
        <f ca="1">IFERROR(__xludf.DUMMYFUNCTION("""COMPUTED_VALUE"""),40148.49375)</f>
        <v>40148.493750000001</v>
      </c>
      <c r="B655" s="1">
        <f ca="1">IFERROR(__xludf.DUMMYFUNCTION("""COMPUTED_VALUE"""),6.75)</f>
        <v>6.75</v>
      </c>
      <c r="E655" s="1" t="str">
        <f ca="1">IFERROR(__xludf.DUMMYFUNCTION("""COMPUTED_VALUE"""),"PAPER CHAIN KIT RETRO SPOT")</f>
        <v>PAPER CHAIN KIT RETRO SPOT</v>
      </c>
      <c r="F655" s="1">
        <f ca="1">IFERROR(__xludf.DUMMYFUNCTION("""COMPUTED_VALUE"""),160)</f>
        <v>160</v>
      </c>
      <c r="G655" s="1">
        <f ca="1">IFERROR(__xludf.DUMMYFUNCTION("""COMPUTED_VALUE"""),2.55)</f>
        <v>2.5499999999999998</v>
      </c>
      <c r="J655" s="1" t="str">
        <f ca="1">IFERROR(__xludf.DUMMYFUNCTION("""COMPUTED_VALUE"""),"DOOR MAT TOPIARY")</f>
        <v>DOOR MAT TOPIARY</v>
      </c>
      <c r="K655" s="1">
        <f ca="1">IFERROR(__xludf.DUMMYFUNCTION("""COMPUTED_VALUE"""),1)</f>
        <v>1</v>
      </c>
      <c r="L655" s="1">
        <f ca="1">IFERROR(__xludf.DUMMYFUNCTION("""COMPUTED_VALUE"""),6.75)</f>
        <v>6.75</v>
      </c>
      <c r="T655" s="1">
        <f ca="1">IFERROR(__xludf.DUMMYFUNCTION("""COMPUTED_VALUE"""),489529)</f>
        <v>489529</v>
      </c>
      <c r="U655" s="1">
        <f ca="1">IFERROR(__xludf.DUMMYFUNCTION("""COMPUTED_VALUE"""),6.75)</f>
        <v>6.75</v>
      </c>
    </row>
    <row r="656" spans="1:21" ht="12.75" x14ac:dyDescent="0.2">
      <c r="A656" s="3">
        <f ca="1">IFERROR(__xludf.DUMMYFUNCTION("""COMPUTED_VALUE"""),40148.49375)</f>
        <v>40148.493750000001</v>
      </c>
      <c r="B656" s="1">
        <f ca="1">IFERROR(__xludf.DUMMYFUNCTION("""COMPUTED_VALUE"""),1.95)</f>
        <v>1.95</v>
      </c>
      <c r="E656" s="1" t="str">
        <f ca="1">IFERROR(__xludf.DUMMYFUNCTION("""COMPUTED_VALUE"""),"ASSORTED COLOUR BIRD ORNAMENT")</f>
        <v>ASSORTED COLOUR BIRD ORNAMENT</v>
      </c>
      <c r="F656" s="1">
        <f ca="1">IFERROR(__xludf.DUMMYFUNCTION("""COMPUTED_VALUE"""),96)</f>
        <v>96</v>
      </c>
      <c r="G656" s="1">
        <f ca="1">IFERROR(__xludf.DUMMYFUNCTION("""COMPUTED_VALUE"""),1.69)</f>
        <v>1.69</v>
      </c>
      <c r="J656" s="1" t="str">
        <f ca="1">IFERROR(__xludf.DUMMYFUNCTION("""COMPUTED_VALUE"""),"SET OF THREE VINTAGE GIFT WRAPS")</f>
        <v>SET OF THREE VINTAGE GIFT WRAPS</v>
      </c>
      <c r="K656" s="1">
        <f ca="1">IFERROR(__xludf.DUMMYFUNCTION("""COMPUTED_VALUE"""),1)</f>
        <v>1</v>
      </c>
      <c r="L656" s="1">
        <f ca="1">IFERROR(__xludf.DUMMYFUNCTION("""COMPUTED_VALUE"""),1.95)</f>
        <v>1.95</v>
      </c>
      <c r="T656" s="1">
        <f ca="1">IFERROR(__xludf.DUMMYFUNCTION("""COMPUTED_VALUE"""),489529)</f>
        <v>489529</v>
      </c>
      <c r="U656" s="1">
        <f ca="1">IFERROR(__xludf.DUMMYFUNCTION("""COMPUTED_VALUE"""),1.95)</f>
        <v>1.95</v>
      </c>
    </row>
    <row r="657" spans="1:21" ht="12.75" x14ac:dyDescent="0.2">
      <c r="A657" s="3">
        <f ca="1">IFERROR(__xludf.DUMMYFUNCTION("""COMPUTED_VALUE"""),40148.49375)</f>
        <v>40148.493750000001</v>
      </c>
      <c r="B657" s="1">
        <f ca="1">IFERROR(__xludf.DUMMYFUNCTION("""COMPUTED_VALUE"""),0.42)</f>
        <v>0.42</v>
      </c>
      <c r="E657" s="1" t="str">
        <f ca="1">IFERROR(__xludf.DUMMYFUNCTION("""COMPUTED_VALUE"""),"FLORAL ELEPHANT SOFT TOY")</f>
        <v>FLORAL ELEPHANT SOFT TOY</v>
      </c>
      <c r="F657" s="1">
        <f ca="1">IFERROR(__xludf.DUMMYFUNCTION("""COMPUTED_VALUE"""),96)</f>
        <v>96</v>
      </c>
      <c r="G657" s="1">
        <f ca="1">IFERROR(__xludf.DUMMYFUNCTION("""COMPUTED_VALUE"""),3.75)</f>
        <v>3.75</v>
      </c>
      <c r="J657" s="1" t="str">
        <f ca="1">IFERROR(__xludf.DUMMYFUNCTION("""COMPUTED_VALUE"""),"SWALLOWS GREETING CARD")</f>
        <v>SWALLOWS GREETING CARD</v>
      </c>
      <c r="K657" s="1">
        <f ca="1">IFERROR(__xludf.DUMMYFUNCTION("""COMPUTED_VALUE"""),1)</f>
        <v>1</v>
      </c>
      <c r="L657" s="1">
        <f ca="1">IFERROR(__xludf.DUMMYFUNCTION("""COMPUTED_VALUE"""),0.42)</f>
        <v>0.42</v>
      </c>
      <c r="T657" s="1">
        <f ca="1">IFERROR(__xludf.DUMMYFUNCTION("""COMPUTED_VALUE"""),489529)</f>
        <v>489529</v>
      </c>
      <c r="U657" s="1">
        <f ca="1">IFERROR(__xludf.DUMMYFUNCTION("""COMPUTED_VALUE"""),0.42)</f>
        <v>0.42</v>
      </c>
    </row>
    <row r="658" spans="1:21" ht="12.75" x14ac:dyDescent="0.2">
      <c r="A658" s="3">
        <f ca="1">IFERROR(__xludf.DUMMYFUNCTION("""COMPUTED_VALUE"""),40148.49375)</f>
        <v>40148.493750000001</v>
      </c>
      <c r="B658" s="1">
        <f ca="1">IFERROR(__xludf.DUMMYFUNCTION("""COMPUTED_VALUE"""),0.85)</f>
        <v>0.85</v>
      </c>
      <c r="E658" s="1" t="str">
        <f ca="1">IFERROR(__xludf.DUMMYFUNCTION("""COMPUTED_VALUE"""),"RETRO SPOT TEA SET CERAMIC 11 PC")</f>
        <v>RETRO SPOT TEA SET CERAMIC 11 PC</v>
      </c>
      <c r="F658" s="1">
        <f ca="1">IFERROR(__xludf.DUMMYFUNCTION("""COMPUTED_VALUE"""),72)</f>
        <v>72</v>
      </c>
      <c r="G658" s="1">
        <f ca="1">IFERROR(__xludf.DUMMYFUNCTION("""COMPUTED_VALUE"""),4.25)</f>
        <v>4.25</v>
      </c>
      <c r="J658" s="1" t="str">
        <f ca="1">IFERROR(__xludf.DUMMYFUNCTION("""COMPUTED_VALUE"""),"SET/20 POSIES PAPER NAPKINS")</f>
        <v>SET/20 POSIES PAPER NAPKINS</v>
      </c>
      <c r="K658" s="1">
        <f ca="1">IFERROR(__xludf.DUMMYFUNCTION("""COMPUTED_VALUE"""),1)</f>
        <v>1</v>
      </c>
      <c r="L658" s="1">
        <f ca="1">IFERROR(__xludf.DUMMYFUNCTION("""COMPUTED_VALUE"""),0.85)</f>
        <v>0.85</v>
      </c>
      <c r="T658" s="1">
        <f ca="1">IFERROR(__xludf.DUMMYFUNCTION("""COMPUTED_VALUE"""),489529)</f>
        <v>489529</v>
      </c>
      <c r="U658" s="1">
        <f ca="1">IFERROR(__xludf.DUMMYFUNCTION("""COMPUTED_VALUE"""),0.85)</f>
        <v>0.85</v>
      </c>
    </row>
    <row r="659" spans="1:21" ht="12.75" x14ac:dyDescent="0.2">
      <c r="A659" s="3">
        <f ca="1">IFERROR(__xludf.DUMMYFUNCTION("""COMPUTED_VALUE"""),40148.49375)</f>
        <v>40148.493750000001</v>
      </c>
      <c r="B659" s="1">
        <f ca="1">IFERROR(__xludf.DUMMYFUNCTION("""COMPUTED_VALUE"""),1.65)</f>
        <v>1.65</v>
      </c>
      <c r="E659" s="1" t="str">
        <f ca="1">IFERROR(__xludf.DUMMYFUNCTION("""COMPUTED_VALUE"""),"WHITE SPOT BLUE CERAMIC DRAWER KNOB")</f>
        <v>WHITE SPOT BLUE CERAMIC DRAWER KNOB</v>
      </c>
      <c r="F659" s="1">
        <f ca="1">IFERROR(__xludf.DUMMYFUNCTION("""COMPUTED_VALUE"""),60)</f>
        <v>60</v>
      </c>
      <c r="G659" s="1">
        <f ca="1">IFERROR(__xludf.DUMMYFUNCTION("""COMPUTED_VALUE"""),1.06)</f>
        <v>1.06</v>
      </c>
      <c r="J659" s="1" t="str">
        <f ca="1">IFERROR(__xludf.DUMMYFUNCTION("""COMPUTED_VALUE"""),"BLUE PAISLEY NOTEBOOK")</f>
        <v>BLUE PAISLEY NOTEBOOK</v>
      </c>
      <c r="K659" s="1">
        <f ca="1">IFERROR(__xludf.DUMMYFUNCTION("""COMPUTED_VALUE"""),1)</f>
        <v>1</v>
      </c>
      <c r="L659" s="1">
        <f ca="1">IFERROR(__xludf.DUMMYFUNCTION("""COMPUTED_VALUE"""),1.65)</f>
        <v>1.65</v>
      </c>
      <c r="T659" s="1">
        <f ca="1">IFERROR(__xludf.DUMMYFUNCTION("""COMPUTED_VALUE"""),489529)</f>
        <v>489529</v>
      </c>
      <c r="U659" s="1">
        <f ca="1">IFERROR(__xludf.DUMMYFUNCTION("""COMPUTED_VALUE"""),1.65)</f>
        <v>1.65</v>
      </c>
    </row>
    <row r="660" spans="1:21" ht="12.75" x14ac:dyDescent="0.2">
      <c r="A660" s="3">
        <f ca="1">IFERROR(__xludf.DUMMYFUNCTION("""COMPUTED_VALUE"""),40148.49375)</f>
        <v>40148.493750000001</v>
      </c>
      <c r="B660" s="1">
        <f ca="1">IFERROR(__xludf.DUMMYFUNCTION("""COMPUTED_VALUE"""),2.55)</f>
        <v>2.5499999999999998</v>
      </c>
      <c r="E660" s="1" t="str">
        <f ca="1">IFERROR(__xludf.DUMMYFUNCTION("""COMPUTED_VALUE"""),"RED SPOT CERAMIC DRAWER KNOB")</f>
        <v>RED SPOT CERAMIC DRAWER KNOB</v>
      </c>
      <c r="F660" s="1">
        <f ca="1">IFERROR(__xludf.DUMMYFUNCTION("""COMPUTED_VALUE"""),60)</f>
        <v>60</v>
      </c>
      <c r="G660" s="1">
        <f ca="1">IFERROR(__xludf.DUMMYFUNCTION("""COMPUTED_VALUE"""),1.06)</f>
        <v>1.06</v>
      </c>
      <c r="J660" s="1" t="str">
        <f ca="1">IFERROR(__xludf.DUMMYFUNCTION("""COMPUTED_VALUE"""),"BLUE PAISLEY JOURNAL")</f>
        <v>BLUE PAISLEY JOURNAL</v>
      </c>
      <c r="K660" s="1">
        <f ca="1">IFERROR(__xludf.DUMMYFUNCTION("""COMPUTED_VALUE"""),1)</f>
        <v>1</v>
      </c>
      <c r="L660" s="1">
        <f ca="1">IFERROR(__xludf.DUMMYFUNCTION("""COMPUTED_VALUE"""),2.55)</f>
        <v>2.5499999999999998</v>
      </c>
      <c r="T660" s="1">
        <f ca="1">IFERROR(__xludf.DUMMYFUNCTION("""COMPUTED_VALUE"""),489529)</f>
        <v>489529</v>
      </c>
      <c r="U660" s="1">
        <f ca="1">IFERROR(__xludf.DUMMYFUNCTION("""COMPUTED_VALUE"""),2.55)</f>
        <v>2.5499999999999998</v>
      </c>
    </row>
    <row r="661" spans="1:21" ht="12.75" x14ac:dyDescent="0.2">
      <c r="A661" s="3">
        <f ca="1">IFERROR(__xludf.DUMMYFUNCTION("""COMPUTED_VALUE"""),40148.49375)</f>
        <v>40148.493750000001</v>
      </c>
      <c r="B661" s="1">
        <f ca="1">IFERROR(__xludf.DUMMYFUNCTION("""COMPUTED_VALUE"""),2.1)</f>
        <v>2.1</v>
      </c>
      <c r="E661" s="1" t="str">
        <f ca="1">IFERROR(__xludf.DUMMYFUNCTION("""COMPUTED_VALUE"""),"BLUE STRIPE CERAMIC DRAWER KNOB")</f>
        <v>BLUE STRIPE CERAMIC DRAWER KNOB</v>
      </c>
      <c r="F661" s="1">
        <f ca="1">IFERROR(__xludf.DUMMYFUNCTION("""COMPUTED_VALUE"""),60)</f>
        <v>60</v>
      </c>
      <c r="G661" s="1">
        <f ca="1">IFERROR(__xludf.DUMMYFUNCTION("""COMPUTED_VALUE"""),1.06)</f>
        <v>1.06</v>
      </c>
      <c r="J661" s="1" t="str">
        <f ca="1">IFERROR(__xludf.DUMMYFUNCTION("""COMPUTED_VALUE"""),"VIPPASSPORT COVER")</f>
        <v>VIPPASSPORT COVER</v>
      </c>
      <c r="K661" s="1">
        <f ca="1">IFERROR(__xludf.DUMMYFUNCTION("""COMPUTED_VALUE"""),1)</f>
        <v>1</v>
      </c>
      <c r="L661" s="1">
        <f ca="1">IFERROR(__xludf.DUMMYFUNCTION("""COMPUTED_VALUE"""),2.1)</f>
        <v>2.1</v>
      </c>
      <c r="T661" s="1">
        <f ca="1">IFERROR(__xludf.DUMMYFUNCTION("""COMPUTED_VALUE"""),489529)</f>
        <v>489529</v>
      </c>
      <c r="U661" s="1">
        <f ca="1">IFERROR(__xludf.DUMMYFUNCTION("""COMPUTED_VALUE"""),2.1)</f>
        <v>2.1</v>
      </c>
    </row>
    <row r="662" spans="1:21" ht="12.75" x14ac:dyDescent="0.2">
      <c r="A662" s="3">
        <f ca="1">IFERROR(__xludf.DUMMYFUNCTION("""COMPUTED_VALUE"""),40148.49375)</f>
        <v>40148.493750000001</v>
      </c>
      <c r="B662" s="1">
        <f ca="1">IFERROR(__xludf.DUMMYFUNCTION("""COMPUTED_VALUE"""),1.25)</f>
        <v>1.25</v>
      </c>
      <c r="E662" s="1" t="str">
        <f ca="1">IFERROR(__xludf.DUMMYFUNCTION("""COMPUTED_VALUE"""),"SET/4 PINK ORCHID CANDLES IN BOWL")</f>
        <v>SET/4 PINK ORCHID CANDLES IN BOWL</v>
      </c>
      <c r="F662" s="1">
        <f ca="1">IFERROR(__xludf.DUMMYFUNCTION("""COMPUTED_VALUE"""),48)</f>
        <v>48</v>
      </c>
      <c r="G662" s="1">
        <f ca="1">IFERROR(__xludf.DUMMYFUNCTION("""COMPUTED_VALUE"""),1.45)</f>
        <v>1.45</v>
      </c>
      <c r="J662" s="1" t="str">
        <f ca="1">IFERROR(__xludf.DUMMYFUNCTION("""COMPUTED_VALUE"""),"SET/10 PINK SPOTTY PARTY CANDLES")</f>
        <v>SET/10 PINK SPOTTY PARTY CANDLES</v>
      </c>
      <c r="K662" s="1">
        <f ca="1">IFERROR(__xludf.DUMMYFUNCTION("""COMPUTED_VALUE"""),1)</f>
        <v>1</v>
      </c>
      <c r="L662" s="1">
        <f ca="1">IFERROR(__xludf.DUMMYFUNCTION("""COMPUTED_VALUE"""),1.25)</f>
        <v>1.25</v>
      </c>
      <c r="T662" s="1">
        <f ca="1">IFERROR(__xludf.DUMMYFUNCTION("""COMPUTED_VALUE"""),489529)</f>
        <v>489529</v>
      </c>
      <c r="U662" s="1">
        <f ca="1">IFERROR(__xludf.DUMMYFUNCTION("""COMPUTED_VALUE"""),1.25)</f>
        <v>1.25</v>
      </c>
    </row>
    <row r="663" spans="1:21" ht="12.75" x14ac:dyDescent="0.2">
      <c r="A663" s="3">
        <f ca="1">IFERROR(__xludf.DUMMYFUNCTION("""COMPUTED_VALUE"""),40148.49375)</f>
        <v>40148.493750000001</v>
      </c>
      <c r="B663" s="1">
        <f ca="1">IFERROR(__xludf.DUMMYFUNCTION("""COMPUTED_VALUE"""),1.25)</f>
        <v>1.25</v>
      </c>
      <c r="E663" s="1" t="str">
        <f ca="1">IFERROR(__xludf.DUMMYFUNCTION("""COMPUTED_VALUE"""),"PAPER CHAIN KIT RETRO SPOT")</f>
        <v>PAPER CHAIN KIT RETRO SPOT</v>
      </c>
      <c r="F663" s="1">
        <f ca="1">IFERROR(__xludf.DUMMYFUNCTION("""COMPUTED_VALUE"""),58)</f>
        <v>58</v>
      </c>
      <c r="G663" s="1">
        <f ca="1">IFERROR(__xludf.DUMMYFUNCTION("""COMPUTED_VALUE"""),2.55)</f>
        <v>2.5499999999999998</v>
      </c>
      <c r="J663" s="1" t="str">
        <f ca="1">IFERROR(__xludf.DUMMYFUNCTION("""COMPUTED_VALUE"""),"SET/10 BLUE SPOTTY PARTY CANDLES")</f>
        <v>SET/10 BLUE SPOTTY PARTY CANDLES</v>
      </c>
      <c r="K663" s="1">
        <f ca="1">IFERROR(__xludf.DUMMYFUNCTION("""COMPUTED_VALUE"""),1)</f>
        <v>1</v>
      </c>
      <c r="L663" s="1">
        <f ca="1">IFERROR(__xludf.DUMMYFUNCTION("""COMPUTED_VALUE"""),1.25)</f>
        <v>1.25</v>
      </c>
      <c r="T663" s="1">
        <f ca="1">IFERROR(__xludf.DUMMYFUNCTION("""COMPUTED_VALUE"""),489529)</f>
        <v>489529</v>
      </c>
      <c r="U663" s="1">
        <f ca="1">IFERROR(__xludf.DUMMYFUNCTION("""COMPUTED_VALUE"""),1.25)</f>
        <v>1.25</v>
      </c>
    </row>
    <row r="664" spans="1:21" ht="12.75" x14ac:dyDescent="0.2">
      <c r="A664" s="3">
        <f ca="1">IFERROR(__xludf.DUMMYFUNCTION("""COMPUTED_VALUE"""),40148.49375)</f>
        <v>40148.493750000001</v>
      </c>
      <c r="B664" s="1">
        <f ca="1">IFERROR(__xludf.DUMMYFUNCTION("""COMPUTED_VALUE"""),1.25)</f>
        <v>1.25</v>
      </c>
      <c r="E664" s="1" t="str">
        <f ca="1">IFERROR(__xludf.DUMMYFUNCTION("""COMPUTED_VALUE"""),"PAPER CHAIN KIT 50'S CHRISTMAS")</f>
        <v>PAPER CHAIN KIT 50'S CHRISTMAS</v>
      </c>
      <c r="F664" s="1">
        <f ca="1">IFERROR(__xludf.DUMMYFUNCTION("""COMPUTED_VALUE"""),58)</f>
        <v>58</v>
      </c>
      <c r="G664" s="1">
        <f ca="1">IFERROR(__xludf.DUMMYFUNCTION("""COMPUTED_VALUE"""),2.55)</f>
        <v>2.5499999999999998</v>
      </c>
      <c r="J664" s="1" t="str">
        <f ca="1">IFERROR(__xludf.DUMMYFUNCTION("""COMPUTED_VALUE"""),"TROPICAL LUGGAGE TAG")</f>
        <v>TROPICAL LUGGAGE TAG</v>
      </c>
      <c r="K664" s="1">
        <f ca="1">IFERROR(__xludf.DUMMYFUNCTION("""COMPUTED_VALUE"""),1)</f>
        <v>1</v>
      </c>
      <c r="L664" s="1">
        <f ca="1">IFERROR(__xludf.DUMMYFUNCTION("""COMPUTED_VALUE"""),1.25)</f>
        <v>1.25</v>
      </c>
      <c r="T664" s="1">
        <f ca="1">IFERROR(__xludf.DUMMYFUNCTION("""COMPUTED_VALUE"""),489529)</f>
        <v>489529</v>
      </c>
      <c r="U664" s="1">
        <f ca="1">IFERROR(__xludf.DUMMYFUNCTION("""COMPUTED_VALUE"""),1.25)</f>
        <v>1.25</v>
      </c>
    </row>
    <row r="665" spans="1:21" ht="12.75" x14ac:dyDescent="0.2">
      <c r="A665" s="3">
        <f ca="1">IFERROR(__xludf.DUMMYFUNCTION("""COMPUTED_VALUE"""),40148.49375)</f>
        <v>40148.493750000001</v>
      </c>
      <c r="B665" s="1">
        <f ca="1">IFERROR(__xludf.DUMMYFUNCTION("""COMPUTED_VALUE"""),0.85)</f>
        <v>0.85</v>
      </c>
      <c r="E665" s="1" t="str">
        <f ca="1">IFERROR(__xludf.DUMMYFUNCTION("""COMPUTED_VALUE"""),"RED HANGING METAL STAR TLIGHT HLDR")</f>
        <v>RED HANGING METAL STAR TLIGHT HLDR</v>
      </c>
      <c r="F665" s="1">
        <f ca="1">IFERROR(__xludf.DUMMYFUNCTION("""COMPUTED_VALUE"""),24)</f>
        <v>24</v>
      </c>
      <c r="G665" s="1">
        <f ca="1">IFERROR(__xludf.DUMMYFUNCTION("""COMPUTED_VALUE"""),3.39)</f>
        <v>3.39</v>
      </c>
      <c r="J665" s="1" t="str">
        <f ca="1">IFERROR(__xludf.DUMMYFUNCTION("""COMPUTED_VALUE"""),"PACK 20 ENGLISH ROSE PAPER NAPKINS")</f>
        <v>PACK 20 ENGLISH ROSE PAPER NAPKINS</v>
      </c>
      <c r="K665" s="1">
        <f ca="1">IFERROR(__xludf.DUMMYFUNCTION("""COMPUTED_VALUE"""),1)</f>
        <v>1</v>
      </c>
      <c r="L665" s="1">
        <f ca="1">IFERROR(__xludf.DUMMYFUNCTION("""COMPUTED_VALUE"""),0.85)</f>
        <v>0.85</v>
      </c>
      <c r="T665" s="1">
        <f ca="1">IFERROR(__xludf.DUMMYFUNCTION("""COMPUTED_VALUE"""),489529)</f>
        <v>489529</v>
      </c>
      <c r="U665" s="1">
        <f ca="1">IFERROR(__xludf.DUMMYFUNCTION("""COMPUTED_VALUE"""),0.85)</f>
        <v>0.85</v>
      </c>
    </row>
    <row r="666" spans="1:21" ht="12.75" x14ac:dyDescent="0.2">
      <c r="A666" s="3">
        <f ca="1">IFERROR(__xludf.DUMMYFUNCTION("""COMPUTED_VALUE"""),40148.49375)</f>
        <v>40148.493750000001</v>
      </c>
      <c r="B666" s="1">
        <f ca="1">IFERROR(__xludf.DUMMYFUNCTION("""COMPUTED_VALUE"""),2.95)</f>
        <v>2.95</v>
      </c>
      <c r="E666" s="1" t="str">
        <f ca="1">IFERROR(__xludf.DUMMYFUNCTION("""COMPUTED_VALUE"""),"ANTIQUE SILVER TEA GLASS ETCHED")</f>
        <v>ANTIQUE SILVER TEA GLASS ETCHED</v>
      </c>
      <c r="F666" s="1">
        <f ca="1">IFERROR(__xludf.DUMMYFUNCTION("""COMPUTED_VALUE"""),24)</f>
        <v>24</v>
      </c>
      <c r="G666" s="1">
        <f ca="1">IFERROR(__xludf.DUMMYFUNCTION("""COMPUTED_VALUE"""),1.25)</f>
        <v>1.25</v>
      </c>
      <c r="J666" s="1" t="str">
        <f ca="1">IFERROR(__xludf.DUMMYFUNCTION("""COMPUTED_VALUE"""),"PAPER CHAIN KIT 50'S CHRISTMAS")</f>
        <v>PAPER CHAIN KIT 50'S CHRISTMAS</v>
      </c>
      <c r="K666" s="1">
        <f ca="1">IFERROR(__xludf.DUMMYFUNCTION("""COMPUTED_VALUE"""),1)</f>
        <v>1</v>
      </c>
      <c r="L666" s="1">
        <f ca="1">IFERROR(__xludf.DUMMYFUNCTION("""COMPUTED_VALUE"""),2.95)</f>
        <v>2.95</v>
      </c>
      <c r="T666" s="1">
        <f ca="1">IFERROR(__xludf.DUMMYFUNCTION("""COMPUTED_VALUE"""),489529)</f>
        <v>489529</v>
      </c>
      <c r="U666" s="1">
        <f ca="1">IFERROR(__xludf.DUMMYFUNCTION("""COMPUTED_VALUE"""),2.95)</f>
        <v>2.95</v>
      </c>
    </row>
    <row r="667" spans="1:21" ht="12.75" x14ac:dyDescent="0.2">
      <c r="A667" s="3">
        <f ca="1">IFERROR(__xludf.DUMMYFUNCTION("""COMPUTED_VALUE"""),40148.49375)</f>
        <v>40148.493750000001</v>
      </c>
      <c r="B667" s="1">
        <f ca="1">IFERROR(__xludf.DUMMYFUNCTION("""COMPUTED_VALUE"""),2.1)</f>
        <v>2.1</v>
      </c>
      <c r="E667" s="1" t="str">
        <f ca="1">IFERROR(__xludf.DUMMYFUNCTION("""COMPUTED_VALUE"""),"SET OF KITCHEN WALL  STICKERS")</f>
        <v>SET OF KITCHEN WALL  STICKERS</v>
      </c>
      <c r="F667" s="1">
        <f ca="1">IFERROR(__xludf.DUMMYFUNCTION("""COMPUTED_VALUE"""),-4)</f>
        <v>-4</v>
      </c>
      <c r="G667" s="1">
        <f ca="1">IFERROR(__xludf.DUMMYFUNCTION("""COMPUTED_VALUE"""),2.95)</f>
        <v>2.95</v>
      </c>
      <c r="J667" s="1" t="str">
        <f ca="1">IFERROR(__xludf.DUMMYFUNCTION("""COMPUTED_VALUE"""),"TROPICAL PASSPORT COVER")</f>
        <v>TROPICAL PASSPORT COVER</v>
      </c>
      <c r="K667" s="1">
        <f ca="1">IFERROR(__xludf.DUMMYFUNCTION("""COMPUTED_VALUE"""),1)</f>
        <v>1</v>
      </c>
      <c r="L667" s="1">
        <f ca="1">IFERROR(__xludf.DUMMYFUNCTION("""COMPUTED_VALUE"""),2.1)</f>
        <v>2.1</v>
      </c>
      <c r="T667" s="1">
        <f ca="1">IFERROR(__xludf.DUMMYFUNCTION("""COMPUTED_VALUE"""),489529)</f>
        <v>489529</v>
      </c>
      <c r="U667" s="1">
        <f ca="1">IFERROR(__xludf.DUMMYFUNCTION("""COMPUTED_VALUE"""),2.1)</f>
        <v>2.1</v>
      </c>
    </row>
    <row r="668" spans="1:21" ht="12.75" x14ac:dyDescent="0.2">
      <c r="A668" s="3">
        <f ca="1">IFERROR(__xludf.DUMMYFUNCTION("""COMPUTED_VALUE"""),40148.49375)</f>
        <v>40148.493750000001</v>
      </c>
      <c r="B668" s="1">
        <f ca="1">IFERROR(__xludf.DUMMYFUNCTION("""COMPUTED_VALUE"""),2.1)</f>
        <v>2.1</v>
      </c>
      <c r="E668" s="1" t="str">
        <f ca="1">IFERROR(__xludf.DUMMYFUNCTION("""COMPUTED_VALUE"""),"RETRO SPOT TEA SET CERAMIC 11 PC")</f>
        <v>RETRO SPOT TEA SET CERAMIC 11 PC</v>
      </c>
      <c r="F668" s="1">
        <f ca="1">IFERROR(__xludf.DUMMYFUNCTION("""COMPUTED_VALUE"""),48)</f>
        <v>48</v>
      </c>
      <c r="G668" s="1">
        <f ca="1">IFERROR(__xludf.DUMMYFUNCTION("""COMPUTED_VALUE"""),4.25)</f>
        <v>4.25</v>
      </c>
      <c r="J668" s="1" t="str">
        <f ca="1">IFERROR(__xludf.DUMMYFUNCTION("""COMPUTED_VALUE"""),"UNION JACK FLAG PASSPORT COVER")</f>
        <v>UNION JACK FLAG PASSPORT COVER</v>
      </c>
      <c r="K668" s="1">
        <f ca="1">IFERROR(__xludf.DUMMYFUNCTION("""COMPUTED_VALUE"""),1)</f>
        <v>1</v>
      </c>
      <c r="L668" s="1">
        <f ca="1">IFERROR(__xludf.DUMMYFUNCTION("""COMPUTED_VALUE"""),2.1)</f>
        <v>2.1</v>
      </c>
      <c r="T668" s="1">
        <f ca="1">IFERROR(__xludf.DUMMYFUNCTION("""COMPUTED_VALUE"""),489529)</f>
        <v>489529</v>
      </c>
      <c r="U668" s="1">
        <f ca="1">IFERROR(__xludf.DUMMYFUNCTION("""COMPUTED_VALUE"""),2.1)</f>
        <v>2.1</v>
      </c>
    </row>
    <row r="669" spans="1:21" ht="12.75" x14ac:dyDescent="0.2">
      <c r="A669" s="3">
        <f ca="1">IFERROR(__xludf.DUMMYFUNCTION("""COMPUTED_VALUE"""),40148.49375)</f>
        <v>40148.493750000001</v>
      </c>
      <c r="B669" s="1">
        <f ca="1">IFERROR(__xludf.DUMMYFUNCTION("""COMPUTED_VALUE"""),1.25)</f>
        <v>1.25</v>
      </c>
      <c r="E669" s="1" t="str">
        <f ca="1">IFERROR(__xludf.DUMMYFUNCTION("""COMPUTED_VALUE"""),"PAPER CHAIN KIT 50'S CHRISTMAS")</f>
        <v>PAPER CHAIN KIT 50'S CHRISTMAS</v>
      </c>
      <c r="F669" s="1">
        <f ca="1">IFERROR(__xludf.DUMMYFUNCTION("""COMPUTED_VALUE"""),18)</f>
        <v>18</v>
      </c>
      <c r="G669" s="1">
        <f ca="1">IFERROR(__xludf.DUMMYFUNCTION("""COMPUTED_VALUE"""),2.95)</f>
        <v>2.95</v>
      </c>
      <c r="J669" s="1" t="str">
        <f ca="1">IFERROR(__xludf.DUMMYFUNCTION("""COMPUTED_VALUE"""),"UNION JACK FLAG LUGGAGE TAG")</f>
        <v>UNION JACK FLAG LUGGAGE TAG</v>
      </c>
      <c r="K669" s="1">
        <f ca="1">IFERROR(__xludf.DUMMYFUNCTION("""COMPUTED_VALUE"""),1)</f>
        <v>1</v>
      </c>
      <c r="L669" s="1">
        <f ca="1">IFERROR(__xludf.DUMMYFUNCTION("""COMPUTED_VALUE"""),1.25)</f>
        <v>1.25</v>
      </c>
      <c r="T669" s="1">
        <f ca="1">IFERROR(__xludf.DUMMYFUNCTION("""COMPUTED_VALUE"""),489529)</f>
        <v>489529</v>
      </c>
      <c r="U669" s="1">
        <f ca="1">IFERROR(__xludf.DUMMYFUNCTION("""COMPUTED_VALUE"""),1.25)</f>
        <v>1.25</v>
      </c>
    </row>
    <row r="670" spans="1:21" ht="12.75" x14ac:dyDescent="0.2">
      <c r="A670" s="3">
        <f ca="1">IFERROR(__xludf.DUMMYFUNCTION("""COMPUTED_VALUE"""),40148.49375)</f>
        <v>40148.493750000001</v>
      </c>
      <c r="B670" s="1">
        <f ca="1">IFERROR(__xludf.DUMMYFUNCTION("""COMPUTED_VALUE"""),1.25)</f>
        <v>1.25</v>
      </c>
      <c r="E670" s="1" t="str">
        <f ca="1">IFERROR(__xludf.DUMMYFUNCTION("""COMPUTED_VALUE"""),"ROTATING SILVER ANGELS T-LIGHT HLDR")</f>
        <v>ROTATING SILVER ANGELS T-LIGHT HLDR</v>
      </c>
      <c r="F670" s="1">
        <f ca="1">IFERROR(__xludf.DUMMYFUNCTION("""COMPUTED_VALUE"""),18)</f>
        <v>18</v>
      </c>
      <c r="G670" s="1">
        <f ca="1">IFERROR(__xludf.DUMMYFUNCTION("""COMPUTED_VALUE"""),2.55)</f>
        <v>2.5499999999999998</v>
      </c>
      <c r="J670" s="1" t="str">
        <f ca="1">IFERROR(__xludf.DUMMYFUNCTION("""COMPUTED_VALUE"""),"VIP LUGGAGE TAG")</f>
        <v>VIP LUGGAGE TAG</v>
      </c>
      <c r="K670" s="1">
        <f ca="1">IFERROR(__xludf.DUMMYFUNCTION("""COMPUTED_VALUE"""),1)</f>
        <v>1</v>
      </c>
      <c r="L670" s="1">
        <f ca="1">IFERROR(__xludf.DUMMYFUNCTION("""COMPUTED_VALUE"""),1.25)</f>
        <v>1.25</v>
      </c>
      <c r="T670" s="1">
        <f ca="1">IFERROR(__xludf.DUMMYFUNCTION("""COMPUTED_VALUE"""),489529)</f>
        <v>489529</v>
      </c>
      <c r="U670" s="1">
        <f ca="1">IFERROR(__xludf.DUMMYFUNCTION("""COMPUTED_VALUE"""),1.25)</f>
        <v>1.25</v>
      </c>
    </row>
    <row r="671" spans="1:21" ht="12.75" x14ac:dyDescent="0.2">
      <c r="A671" s="3">
        <f ca="1">IFERROR(__xludf.DUMMYFUNCTION("""COMPUTED_VALUE"""),40148.49375)</f>
        <v>40148.493750000001</v>
      </c>
      <c r="B671" s="1">
        <f ca="1">IFERROR(__xludf.DUMMYFUNCTION("""COMPUTED_VALUE"""),3.95)</f>
        <v>3.95</v>
      </c>
      <c r="E671" s="1" t="str">
        <f ca="1">IFERROR(__xludf.DUMMYFUNCTION("""COMPUTED_VALUE"""),"CHRISTMAS PUDDING TRINKET POT")</f>
        <v>CHRISTMAS PUDDING TRINKET POT</v>
      </c>
      <c r="F671" s="1">
        <f ca="1">IFERROR(__xludf.DUMMYFUNCTION("""COMPUTED_VALUE"""),12)</f>
        <v>12</v>
      </c>
      <c r="G671" s="1">
        <f ca="1">IFERROR(__xludf.DUMMYFUNCTION("""COMPUTED_VALUE"""),1.45)</f>
        <v>1.45</v>
      </c>
      <c r="J671" s="1" t="str">
        <f ca="1">IFERROR(__xludf.DUMMYFUNCTION("""COMPUTED_VALUE"""),"BLUE WHITE SCARF HOT WATER BOTTLE")</f>
        <v>BLUE WHITE SCARF HOT WATER BOTTLE</v>
      </c>
      <c r="K671" s="1">
        <f ca="1">IFERROR(__xludf.DUMMYFUNCTION("""COMPUTED_VALUE"""),1)</f>
        <v>1</v>
      </c>
      <c r="L671" s="1">
        <f ca="1">IFERROR(__xludf.DUMMYFUNCTION("""COMPUTED_VALUE"""),3.95)</f>
        <v>3.95</v>
      </c>
      <c r="T671" s="1">
        <f ca="1">IFERROR(__xludf.DUMMYFUNCTION("""COMPUTED_VALUE"""),489529)</f>
        <v>489529</v>
      </c>
      <c r="U671" s="1">
        <f ca="1">IFERROR(__xludf.DUMMYFUNCTION("""COMPUTED_VALUE"""),3.95)</f>
        <v>3.95</v>
      </c>
    </row>
    <row r="672" spans="1:21" ht="12.75" x14ac:dyDescent="0.2">
      <c r="A672" s="3">
        <f ca="1">IFERROR(__xludf.DUMMYFUNCTION("""COMPUTED_VALUE"""),40148.49375)</f>
        <v>40148.493750000001</v>
      </c>
      <c r="B672" s="1">
        <f ca="1">IFERROR(__xludf.DUMMYFUNCTION("""COMPUTED_VALUE"""),2.95)</f>
        <v>2.95</v>
      </c>
      <c r="E672" s="1" t="str">
        <f ca="1">IFERROR(__xludf.DUMMYFUNCTION("""COMPUTED_VALUE"""),"CHRISTMAS HANGING TREE WITH BELL")</f>
        <v>CHRISTMAS HANGING TREE WITH BELL</v>
      </c>
      <c r="F672" s="1">
        <f ca="1">IFERROR(__xludf.DUMMYFUNCTION("""COMPUTED_VALUE"""),12)</f>
        <v>12</v>
      </c>
      <c r="G672" s="1">
        <f ca="1">IFERROR(__xludf.DUMMYFUNCTION("""COMPUTED_VALUE"""),1.25)</f>
        <v>1.25</v>
      </c>
      <c r="J672" s="1" t="str">
        <f ca="1">IFERROR(__xludf.DUMMYFUNCTION("""COMPUTED_VALUE"""),"PINK STRAWBERRY HANDBAG")</f>
        <v>PINK STRAWBERRY HANDBAG</v>
      </c>
      <c r="K672" s="1">
        <f ca="1">IFERROR(__xludf.DUMMYFUNCTION("""COMPUTED_VALUE"""),1)</f>
        <v>1</v>
      </c>
      <c r="L672" s="1">
        <f ca="1">IFERROR(__xludf.DUMMYFUNCTION("""COMPUTED_VALUE"""),2.95)</f>
        <v>2.95</v>
      </c>
      <c r="T672" s="1">
        <f ca="1">IFERROR(__xludf.DUMMYFUNCTION("""COMPUTED_VALUE"""),489529)</f>
        <v>489529</v>
      </c>
      <c r="U672" s="1">
        <f ca="1">IFERROR(__xludf.DUMMYFUNCTION("""COMPUTED_VALUE"""),2.95)</f>
        <v>2.95</v>
      </c>
    </row>
    <row r="673" spans="1:21" ht="12.75" x14ac:dyDescent="0.2">
      <c r="A673" s="3">
        <f ca="1">IFERROR(__xludf.DUMMYFUNCTION("""COMPUTED_VALUE"""),40148.49375)</f>
        <v>40148.493750000001</v>
      </c>
      <c r="B673" s="1">
        <f ca="1">IFERROR(__xludf.DUMMYFUNCTION("""COMPUTED_VALUE"""),1.65)</f>
        <v>1.65</v>
      </c>
      <c r="E673" s="1" t="str">
        <f ca="1">IFERROR(__xludf.DUMMYFUNCTION("""COMPUTED_VALUE"""),"GARLAND WITH STARS AND BELLS")</f>
        <v>GARLAND WITH STARS AND BELLS</v>
      </c>
      <c r="F673" s="1">
        <f ca="1">IFERROR(__xludf.DUMMYFUNCTION("""COMPUTED_VALUE"""),6)</f>
        <v>6</v>
      </c>
      <c r="G673" s="1">
        <f ca="1">IFERROR(__xludf.DUMMYFUNCTION("""COMPUTED_VALUE"""),4.95)</f>
        <v>4.95</v>
      </c>
      <c r="J673" s="1" t="str">
        <f ca="1">IFERROR(__xludf.DUMMYFUNCTION("""COMPUTED_VALUE"""),"CHRYSANTHEMUM NOTEBOOK")</f>
        <v>CHRYSANTHEMUM NOTEBOOK</v>
      </c>
      <c r="K673" s="1">
        <f ca="1">IFERROR(__xludf.DUMMYFUNCTION("""COMPUTED_VALUE"""),1)</f>
        <v>1</v>
      </c>
      <c r="L673" s="1">
        <f ca="1">IFERROR(__xludf.DUMMYFUNCTION("""COMPUTED_VALUE"""),1.65)</f>
        <v>1.65</v>
      </c>
      <c r="T673" s="1">
        <f ca="1">IFERROR(__xludf.DUMMYFUNCTION("""COMPUTED_VALUE"""),489529)</f>
        <v>489529</v>
      </c>
      <c r="U673" s="1">
        <f ca="1">IFERROR(__xludf.DUMMYFUNCTION("""COMPUTED_VALUE"""),1.65)</f>
        <v>1.65</v>
      </c>
    </row>
    <row r="674" spans="1:21" ht="12.75" x14ac:dyDescent="0.2">
      <c r="A674" s="3">
        <f ca="1">IFERROR(__xludf.DUMMYFUNCTION("""COMPUTED_VALUE"""),40148.49375)</f>
        <v>40148.493750000001</v>
      </c>
      <c r="B674" s="1">
        <f ca="1">IFERROR(__xludf.DUMMYFUNCTION("""COMPUTED_VALUE"""),4.25)</f>
        <v>4.25</v>
      </c>
      <c r="E674" s="1" t="str">
        <f ca="1">IFERROR(__xludf.DUMMYFUNCTION("""COMPUTED_VALUE"""),"RETRO SPOT MUG")</f>
        <v>RETRO SPOT MUG</v>
      </c>
      <c r="F674" s="1">
        <f ca="1">IFERROR(__xludf.DUMMYFUNCTION("""COMPUTED_VALUE"""),6)</f>
        <v>6</v>
      </c>
      <c r="G674" s="1">
        <f ca="1">IFERROR(__xludf.DUMMYFUNCTION("""COMPUTED_VALUE"""),2.95)</f>
        <v>2.95</v>
      </c>
      <c r="J674" s="1" t="str">
        <f ca="1">IFERROR(__xludf.DUMMYFUNCTION("""COMPUTED_VALUE"""),"ROSE DU SUD CHILDS APRON")</f>
        <v>ROSE DU SUD CHILDS APRON</v>
      </c>
      <c r="K674" s="1">
        <f ca="1">IFERROR(__xludf.DUMMYFUNCTION("""COMPUTED_VALUE"""),1)</f>
        <v>1</v>
      </c>
      <c r="L674" s="1">
        <f ca="1">IFERROR(__xludf.DUMMYFUNCTION("""COMPUTED_VALUE"""),4.25)</f>
        <v>4.25</v>
      </c>
      <c r="T674" s="1">
        <f ca="1">IFERROR(__xludf.DUMMYFUNCTION("""COMPUTED_VALUE"""),489529)</f>
        <v>489529</v>
      </c>
      <c r="U674" s="1">
        <f ca="1">IFERROR(__xludf.DUMMYFUNCTION("""COMPUTED_VALUE"""),4.25)</f>
        <v>4.25</v>
      </c>
    </row>
    <row r="675" spans="1:21" ht="12.75" x14ac:dyDescent="0.2">
      <c r="A675" s="3">
        <f ca="1">IFERROR(__xludf.DUMMYFUNCTION("""COMPUTED_VALUE"""),40148.49375)</f>
        <v>40148.493750000001</v>
      </c>
      <c r="B675" s="1">
        <f ca="1">IFERROR(__xludf.DUMMYFUNCTION("""COMPUTED_VALUE"""),0.85)</f>
        <v>0.85</v>
      </c>
      <c r="E675" s="1" t="str">
        <f ca="1">IFERROR(__xludf.DUMMYFUNCTION("""COMPUTED_VALUE"""),"SMALL RETRO SPOT MUG IN BOX  RED")</f>
        <v>SMALL RETRO SPOT MUG IN BOX  RED</v>
      </c>
      <c r="F675" s="1">
        <f ca="1">IFERROR(__xludf.DUMMYFUNCTION("""COMPUTED_VALUE"""),6)</f>
        <v>6</v>
      </c>
      <c r="G675" s="1">
        <f ca="1">IFERROR(__xludf.DUMMYFUNCTION("""COMPUTED_VALUE"""),3.75)</f>
        <v>3.75</v>
      </c>
      <c r="J675" s="1" t="str">
        <f ca="1">IFERROR(__xludf.DUMMYFUNCTION("""COMPUTED_VALUE"""),"12 PENCILS TALL TUBE POSY")</f>
        <v>12 PENCILS TALL TUBE POSY</v>
      </c>
      <c r="K675" s="1">
        <f ca="1">IFERROR(__xludf.DUMMYFUNCTION("""COMPUTED_VALUE"""),1)</f>
        <v>1</v>
      </c>
      <c r="L675" s="1">
        <f ca="1">IFERROR(__xludf.DUMMYFUNCTION("""COMPUTED_VALUE"""),0.85)</f>
        <v>0.85</v>
      </c>
      <c r="T675" s="1">
        <f ca="1">IFERROR(__xludf.DUMMYFUNCTION("""COMPUTED_VALUE"""),489529)</f>
        <v>489529</v>
      </c>
      <c r="U675" s="1">
        <f ca="1">IFERROR(__xludf.DUMMYFUNCTION("""COMPUTED_VALUE"""),0.85)</f>
        <v>0.85</v>
      </c>
    </row>
    <row r="676" spans="1:21" ht="12.75" x14ac:dyDescent="0.2">
      <c r="A676" s="3">
        <f ca="1">IFERROR(__xludf.DUMMYFUNCTION("""COMPUTED_VALUE"""),40148.49375)</f>
        <v>40148.493750000001</v>
      </c>
      <c r="B676" s="1">
        <f ca="1">IFERROR(__xludf.DUMMYFUNCTION("""COMPUTED_VALUE"""),2.95)</f>
        <v>2.95</v>
      </c>
      <c r="E676" s="1" t="str">
        <f ca="1">IFERROR(__xludf.DUMMYFUNCTION("""COMPUTED_VALUE"""),"WIRE FLOWER T-LIGHT HOLDER")</f>
        <v>WIRE FLOWER T-LIGHT HOLDER</v>
      </c>
      <c r="F676" s="1">
        <f ca="1">IFERROR(__xludf.DUMMYFUNCTION("""COMPUTED_VALUE"""),6)</f>
        <v>6</v>
      </c>
      <c r="G676" s="1">
        <f ca="1">IFERROR(__xludf.DUMMYFUNCTION("""COMPUTED_VALUE"""),1.25)</f>
        <v>1.25</v>
      </c>
      <c r="J676" s="1" t="str">
        <f ca="1">IFERROR(__xludf.DUMMYFUNCTION("""COMPUTED_VALUE"""),"PINK DRESS JEWELLERY STAND")</f>
        <v>PINK DRESS JEWELLERY STAND</v>
      </c>
      <c r="K676" s="1">
        <f ca="1">IFERROR(__xludf.DUMMYFUNCTION("""COMPUTED_VALUE"""),1)</f>
        <v>1</v>
      </c>
      <c r="L676" s="1">
        <f ca="1">IFERROR(__xludf.DUMMYFUNCTION("""COMPUTED_VALUE"""),2.95)</f>
        <v>2.95</v>
      </c>
      <c r="T676" s="1">
        <f ca="1">IFERROR(__xludf.DUMMYFUNCTION("""COMPUTED_VALUE"""),489529)</f>
        <v>489529</v>
      </c>
      <c r="U676" s="1">
        <f ca="1">IFERROR(__xludf.DUMMYFUNCTION("""COMPUTED_VALUE"""),2.95)</f>
        <v>2.95</v>
      </c>
    </row>
    <row r="677" spans="1:21" ht="12.75" x14ac:dyDescent="0.2">
      <c r="A677" s="3">
        <f ca="1">IFERROR(__xludf.DUMMYFUNCTION("""COMPUTED_VALUE"""),40148.49375)</f>
        <v>40148.493750000001</v>
      </c>
      <c r="B677" s="1">
        <f ca="1">IFERROR(__xludf.DUMMYFUNCTION("""COMPUTED_VALUE"""),3.75)</f>
        <v>3.75</v>
      </c>
      <c r="E677" s="1" t="str">
        <f ca="1">IFERROR(__xludf.DUMMYFUNCTION("""COMPUTED_VALUE"""),"RETRO SPOT TEA SET CERAMIC 11 PC")</f>
        <v>RETRO SPOT TEA SET CERAMIC 11 PC</v>
      </c>
      <c r="F677" s="1">
        <f ca="1">IFERROR(__xludf.DUMMYFUNCTION("""COMPUTED_VALUE"""),4)</f>
        <v>4</v>
      </c>
      <c r="G677" s="1">
        <f ca="1">IFERROR(__xludf.DUMMYFUNCTION("""COMPUTED_VALUE"""),4.95)</f>
        <v>4.95</v>
      </c>
      <c r="J677" s="1" t="str">
        <f ca="1">IFERROR(__xludf.DUMMYFUNCTION("""COMPUTED_VALUE"""),"BLACK STITCHED WALL CLOCK")</f>
        <v>BLACK STITCHED WALL CLOCK</v>
      </c>
      <c r="K677" s="1">
        <f ca="1">IFERROR(__xludf.DUMMYFUNCTION("""COMPUTED_VALUE"""),1)</f>
        <v>1</v>
      </c>
      <c r="L677" s="1">
        <f ca="1">IFERROR(__xludf.DUMMYFUNCTION("""COMPUTED_VALUE"""),3.75)</f>
        <v>3.75</v>
      </c>
      <c r="T677" s="1">
        <f ca="1">IFERROR(__xludf.DUMMYFUNCTION("""COMPUTED_VALUE"""),489529)</f>
        <v>489529</v>
      </c>
      <c r="U677" s="1">
        <f ca="1">IFERROR(__xludf.DUMMYFUNCTION("""COMPUTED_VALUE"""),3.75)</f>
        <v>3.75</v>
      </c>
    </row>
    <row r="678" spans="1:21" ht="12.75" x14ac:dyDescent="0.2">
      <c r="A678" s="3">
        <f ca="1">IFERROR(__xludf.DUMMYFUNCTION("""COMPUTED_VALUE"""),40148.49375)</f>
        <v>40148.493750000001</v>
      </c>
      <c r="B678" s="1">
        <f ca="1">IFERROR(__xludf.DUMMYFUNCTION("""COMPUTED_VALUE"""),1.69)</f>
        <v>1.69</v>
      </c>
      <c r="E678" s="1" t="str">
        <f ca="1">IFERROR(__xludf.DUMMYFUNCTION("""COMPUTED_VALUE"""),"PREMIUM CHURCH CANDLE")</f>
        <v>PREMIUM CHURCH CANDLE</v>
      </c>
      <c r="F678" s="1">
        <f ca="1">IFERROR(__xludf.DUMMYFUNCTION("""COMPUTED_VALUE"""),3)</f>
        <v>3</v>
      </c>
      <c r="G678" s="1">
        <f ca="1">IFERROR(__xludf.DUMMYFUNCTION("""COMPUTED_VALUE"""),2.1)</f>
        <v>2.1</v>
      </c>
      <c r="J678" s="1" t="str">
        <f ca="1">IFERROR(__xludf.DUMMYFUNCTION("""COMPUTED_VALUE"""),"F FAIRY POTPOURRI CUSHIONS LAVENDER")</f>
        <v>F FAIRY POTPOURRI CUSHIONS LAVENDER</v>
      </c>
      <c r="K678" s="1">
        <f ca="1">IFERROR(__xludf.DUMMYFUNCTION("""COMPUTED_VALUE"""),1)</f>
        <v>1</v>
      </c>
      <c r="L678" s="1">
        <f ca="1">IFERROR(__xludf.DUMMYFUNCTION("""COMPUTED_VALUE"""),1.69)</f>
        <v>1.69</v>
      </c>
      <c r="T678" s="1">
        <f ca="1">IFERROR(__xludf.DUMMYFUNCTION("""COMPUTED_VALUE"""),489529)</f>
        <v>489529</v>
      </c>
      <c r="U678" s="1">
        <f ca="1">IFERROR(__xludf.DUMMYFUNCTION("""COMPUTED_VALUE"""),1.69)</f>
        <v>1.69</v>
      </c>
    </row>
    <row r="679" spans="1:21" ht="12.75" x14ac:dyDescent="0.2">
      <c r="A679" s="3">
        <f ca="1">IFERROR(__xludf.DUMMYFUNCTION("""COMPUTED_VALUE"""),40148.49375)</f>
        <v>40148.493750000001</v>
      </c>
      <c r="B679" s="1">
        <f ca="1">IFERROR(__xludf.DUMMYFUNCTION("""COMPUTED_VALUE"""),6.75)</f>
        <v>6.75</v>
      </c>
      <c r="E679" s="1" t="str">
        <f ca="1">IFERROR(__xludf.DUMMYFUNCTION("""COMPUTED_VALUE"""),"MIRROR MOSAIC T-LIGHT HOLDER")</f>
        <v>MIRROR MOSAIC T-LIGHT HOLDER</v>
      </c>
      <c r="F679" s="1">
        <f ca="1">IFERROR(__xludf.DUMMYFUNCTION("""COMPUTED_VALUE"""),3)</f>
        <v>3</v>
      </c>
      <c r="G679" s="1">
        <f ca="1">IFERROR(__xludf.DUMMYFUNCTION("""COMPUTED_VALUE"""),1.65)</f>
        <v>1.65</v>
      </c>
      <c r="J679" s="1" t="str">
        <f ca="1">IFERROR(__xludf.DUMMYFUNCTION("""COMPUTED_VALUE"""),"DOOR MAT TOPIARY")</f>
        <v>DOOR MAT TOPIARY</v>
      </c>
      <c r="K679" s="1">
        <f ca="1">IFERROR(__xludf.DUMMYFUNCTION("""COMPUTED_VALUE"""),1)</f>
        <v>1</v>
      </c>
      <c r="L679" s="1">
        <f ca="1">IFERROR(__xludf.DUMMYFUNCTION("""COMPUTED_VALUE"""),6.75)</f>
        <v>6.75</v>
      </c>
      <c r="T679" s="1">
        <f ca="1">IFERROR(__xludf.DUMMYFUNCTION("""COMPUTED_VALUE"""),489529)</f>
        <v>489529</v>
      </c>
      <c r="U679" s="1">
        <f ca="1">IFERROR(__xludf.DUMMYFUNCTION("""COMPUTED_VALUE"""),6.75)</f>
        <v>6.75</v>
      </c>
    </row>
    <row r="680" spans="1:21" ht="12.75" x14ac:dyDescent="0.2">
      <c r="A680" s="3">
        <f ca="1">IFERROR(__xludf.DUMMYFUNCTION("""COMPUTED_VALUE"""),40148.49375)</f>
        <v>40148.493750000001</v>
      </c>
      <c r="B680" s="1">
        <f ca="1">IFERROR(__xludf.DUMMYFUNCTION("""COMPUTED_VALUE"""),12.75)</f>
        <v>12.75</v>
      </c>
      <c r="E680" s="1" t="str">
        <f ca="1">IFERROR(__xludf.DUMMYFUNCTION("""COMPUTED_VALUE"""),"PINK STRIPE HOT WATER BOTTLE")</f>
        <v>PINK STRIPE HOT WATER BOTTLE</v>
      </c>
      <c r="F680" s="1">
        <f ca="1">IFERROR(__xludf.DUMMYFUNCTION("""COMPUTED_VALUE"""),2)</f>
        <v>2</v>
      </c>
      <c r="G680" s="1">
        <f ca="1">IFERROR(__xludf.DUMMYFUNCTION("""COMPUTED_VALUE"""),2.95)</f>
        <v>2.95</v>
      </c>
      <c r="J680" s="1" t="str">
        <f ca="1">IFERROR(__xludf.DUMMYFUNCTION("""COMPUTED_VALUE"""),"KENSINGTON COFFEE SET")</f>
        <v>KENSINGTON COFFEE SET</v>
      </c>
      <c r="K680" s="1">
        <f ca="1">IFERROR(__xludf.DUMMYFUNCTION("""COMPUTED_VALUE"""),1)</f>
        <v>1</v>
      </c>
      <c r="L680" s="1">
        <f ca="1">IFERROR(__xludf.DUMMYFUNCTION("""COMPUTED_VALUE"""),12.75)</f>
        <v>12.75</v>
      </c>
      <c r="T680" s="1">
        <f ca="1">IFERROR(__xludf.DUMMYFUNCTION("""COMPUTED_VALUE"""),489529)</f>
        <v>489529</v>
      </c>
      <c r="U680" s="1">
        <f ca="1">IFERROR(__xludf.DUMMYFUNCTION("""COMPUTED_VALUE"""),12.75)</f>
        <v>12.75</v>
      </c>
    </row>
    <row r="681" spans="1:21" ht="12.75" x14ac:dyDescent="0.2">
      <c r="A681" s="3">
        <f ca="1">IFERROR(__xludf.DUMMYFUNCTION("""COMPUTED_VALUE"""),40148.4972222222)</f>
        <v>40148.497222222199</v>
      </c>
      <c r="B681" s="1">
        <f ca="1">IFERROR(__xludf.DUMMYFUNCTION("""COMPUTED_VALUE"""),4.25)</f>
        <v>4.25</v>
      </c>
      <c r="E681" s="1" t="str">
        <f ca="1">IFERROR(__xludf.DUMMYFUNCTION("""COMPUTED_VALUE"""),"CHICK GREY HOT WATER BOTTLE")</f>
        <v>CHICK GREY HOT WATER BOTTLE</v>
      </c>
      <c r="F681" s="1">
        <f ca="1">IFERROR(__xludf.DUMMYFUNCTION("""COMPUTED_VALUE"""),2)</f>
        <v>2</v>
      </c>
      <c r="G681" s="1">
        <f ca="1">IFERROR(__xludf.DUMMYFUNCTION("""COMPUTED_VALUE"""),3.45)</f>
        <v>3.45</v>
      </c>
      <c r="J681" s="1" t="str">
        <f ca="1">IFERROR(__xludf.DUMMYFUNCTION("""COMPUTED_VALUE"""),"ROSE SCENT CANDLE JEWELLED DRAWER")</f>
        <v>ROSE SCENT CANDLE JEWELLED DRAWER</v>
      </c>
      <c r="K681" s="1">
        <f ca="1">IFERROR(__xludf.DUMMYFUNCTION("""COMPUTED_VALUE"""),-1)</f>
        <v>-1</v>
      </c>
      <c r="L681" s="1">
        <f ca="1">IFERROR(__xludf.DUMMYFUNCTION("""COMPUTED_VALUE"""),4.25)</f>
        <v>4.25</v>
      </c>
      <c r="T681" s="1"/>
      <c r="U681" s="1">
        <f ca="1">IFERROR(__xludf.DUMMYFUNCTION("""COMPUTED_VALUE"""),-4.25)</f>
        <v>-4.25</v>
      </c>
    </row>
    <row r="682" spans="1:21" ht="12.75" x14ac:dyDescent="0.2">
      <c r="A682" s="3">
        <f ca="1">IFERROR(__xludf.DUMMYFUNCTION("""COMPUTED_VALUE"""),40148.4979166666)</f>
        <v>40148.497916666602</v>
      </c>
      <c r="B682" s="1">
        <f ca="1">IFERROR(__xludf.DUMMYFUNCTION("""COMPUTED_VALUE"""),3.25)</f>
        <v>3.25</v>
      </c>
      <c r="E682" s="1" t="str">
        <f ca="1">IFERROR(__xludf.DUMMYFUNCTION("""COMPUTED_VALUE"""),"RETRO COFFEE MUGS ASSORTED")</f>
        <v>RETRO COFFEE MUGS ASSORTED</v>
      </c>
      <c r="F682" s="1">
        <f ca="1">IFERROR(__xludf.DUMMYFUNCTION("""COMPUTED_VALUE"""),2)</f>
        <v>2</v>
      </c>
      <c r="G682" s="1">
        <f ca="1">IFERROR(__xludf.DUMMYFUNCTION("""COMPUTED_VALUE"""),1.25)</f>
        <v>1.25</v>
      </c>
      <c r="J682" s="1" t="str">
        <f ca="1">IFERROR(__xludf.DUMMYFUNCTION("""COMPUTED_VALUE"""),"COLOUR GLASS. STAR T-LIGHT HOLDER")</f>
        <v>COLOUR GLASS. STAR T-LIGHT HOLDER</v>
      </c>
      <c r="K682" s="1">
        <f ca="1">IFERROR(__xludf.DUMMYFUNCTION("""COMPUTED_VALUE"""),12)</f>
        <v>12</v>
      </c>
      <c r="L682" s="1">
        <f ca="1">IFERROR(__xludf.DUMMYFUNCTION("""COMPUTED_VALUE"""),3.25)</f>
        <v>3.25</v>
      </c>
      <c r="T682" s="1">
        <f ca="1">IFERROR(__xludf.DUMMYFUNCTION("""COMPUTED_VALUE"""),489531)</f>
        <v>489531</v>
      </c>
      <c r="U682" s="1">
        <f ca="1">IFERROR(__xludf.DUMMYFUNCTION("""COMPUTED_VALUE"""),39)</f>
        <v>39</v>
      </c>
    </row>
    <row r="683" spans="1:21" ht="12.75" x14ac:dyDescent="0.2">
      <c r="A683" s="3">
        <f ca="1">IFERROR(__xludf.DUMMYFUNCTION("""COMPUTED_VALUE"""),40148.4979166666)</f>
        <v>40148.497916666602</v>
      </c>
      <c r="B683" s="1">
        <f ca="1">IFERROR(__xludf.DUMMYFUNCTION("""COMPUTED_VALUE"""),1.65)</f>
        <v>1.65</v>
      </c>
      <c r="E683" s="1" t="str">
        <f ca="1">IFERROR(__xludf.DUMMYFUNCTION("""COMPUTED_VALUE"""),"BIRD HOUSE HOT WATER BOTTLE")</f>
        <v>BIRD HOUSE HOT WATER BOTTLE</v>
      </c>
      <c r="F683" s="1">
        <f ca="1">IFERROR(__xludf.DUMMYFUNCTION("""COMPUTED_VALUE"""),1)</f>
        <v>1</v>
      </c>
      <c r="G683" s="1">
        <f ca="1">IFERROR(__xludf.DUMMYFUNCTION("""COMPUTED_VALUE"""),3.45)</f>
        <v>3.45</v>
      </c>
      <c r="J683" s="1" t="str">
        <f ca="1">IFERROR(__xludf.DUMMYFUNCTION("""COMPUTED_VALUE"""),"KINGS CHOICE SMALL TUBE MATCHES")</f>
        <v>KINGS CHOICE SMALL TUBE MATCHES</v>
      </c>
      <c r="K683" s="1">
        <f ca="1">IFERROR(__xludf.DUMMYFUNCTION("""COMPUTED_VALUE"""),8)</f>
        <v>8</v>
      </c>
      <c r="L683" s="1">
        <f ca="1">IFERROR(__xludf.DUMMYFUNCTION("""COMPUTED_VALUE"""),1.65)</f>
        <v>1.65</v>
      </c>
      <c r="T683" s="1">
        <f ca="1">IFERROR(__xludf.DUMMYFUNCTION("""COMPUTED_VALUE"""),489531)</f>
        <v>489531</v>
      </c>
      <c r="U683" s="1">
        <f ca="1">IFERROR(__xludf.DUMMYFUNCTION("""COMPUTED_VALUE"""),13.2)</f>
        <v>13.2</v>
      </c>
    </row>
    <row r="684" spans="1:21" ht="12.75" x14ac:dyDescent="0.2">
      <c r="A684" s="3">
        <f ca="1">IFERROR(__xludf.DUMMYFUNCTION("""COMPUTED_VALUE"""),40148.4979166666)</f>
        <v>40148.497916666602</v>
      </c>
      <c r="B684" s="1">
        <f ca="1">IFERROR(__xludf.DUMMYFUNCTION("""COMPUTED_VALUE"""),1.25)</f>
        <v>1.25</v>
      </c>
      <c r="E684" s="1" t="str">
        <f ca="1">IFERROR(__xludf.DUMMYFUNCTION("""COMPUTED_VALUE"""),"GREY HEART HOT WATER BOTTLE")</f>
        <v>GREY HEART HOT WATER BOTTLE</v>
      </c>
      <c r="F684" s="1">
        <f ca="1">IFERROR(__xludf.DUMMYFUNCTION("""COMPUTED_VALUE"""),1)</f>
        <v>1</v>
      </c>
      <c r="G684" s="1">
        <f ca="1">IFERROR(__xludf.DUMMYFUNCTION("""COMPUTED_VALUE"""),3.45)</f>
        <v>3.45</v>
      </c>
      <c r="J684" s="1" t="str">
        <f ca="1">IFERROR(__xludf.DUMMYFUNCTION("""COMPUTED_VALUE"""),"COSY HOUR CIGAR BOX MATCHES")</f>
        <v>COSY HOUR CIGAR BOX MATCHES</v>
      </c>
      <c r="K684" s="1">
        <f ca="1">IFERROR(__xludf.DUMMYFUNCTION("""COMPUTED_VALUE"""),7)</f>
        <v>7</v>
      </c>
      <c r="L684" s="1">
        <f ca="1">IFERROR(__xludf.DUMMYFUNCTION("""COMPUTED_VALUE"""),1.25)</f>
        <v>1.25</v>
      </c>
      <c r="T684" s="1">
        <f ca="1">IFERROR(__xludf.DUMMYFUNCTION("""COMPUTED_VALUE"""),489531)</f>
        <v>489531</v>
      </c>
      <c r="U684" s="1">
        <f ca="1">IFERROR(__xludf.DUMMYFUNCTION("""COMPUTED_VALUE"""),8.75)</f>
        <v>8.75</v>
      </c>
    </row>
    <row r="685" spans="1:21" ht="12.75" x14ac:dyDescent="0.2">
      <c r="A685" s="3">
        <f ca="1">IFERROR(__xludf.DUMMYFUNCTION("""COMPUTED_VALUE"""),40148.4979166666)</f>
        <v>40148.497916666602</v>
      </c>
      <c r="B685" s="1">
        <f ca="1">IFERROR(__xludf.DUMMYFUNCTION("""COMPUTED_VALUE"""),2.55)</f>
        <v>2.5499999999999998</v>
      </c>
      <c r="E685" s="1" t="str">
        <f ca="1">IFERROR(__xludf.DUMMYFUNCTION("""COMPUTED_VALUE"""),"SET/5 RED SPOTTY LID GLASS BOWLS")</f>
        <v>SET/5 RED SPOTTY LID GLASS BOWLS</v>
      </c>
      <c r="F685" s="1">
        <f ca="1">IFERROR(__xludf.DUMMYFUNCTION("""COMPUTED_VALUE"""),1)</f>
        <v>1</v>
      </c>
      <c r="G685" s="1">
        <f ca="1">IFERROR(__xludf.DUMMYFUNCTION("""COMPUTED_VALUE"""),2.95)</f>
        <v>2.95</v>
      </c>
      <c r="J685" s="1" t="str">
        <f ca="1">IFERROR(__xludf.DUMMYFUNCTION("""COMPUTED_VALUE"""),"COSY HOUR GIANT TUBE MATCHES")</f>
        <v>COSY HOUR GIANT TUBE MATCHES</v>
      </c>
      <c r="K685" s="1">
        <f ca="1">IFERROR(__xludf.DUMMYFUNCTION("""COMPUTED_VALUE"""),6)</f>
        <v>6</v>
      </c>
      <c r="L685" s="1">
        <f ca="1">IFERROR(__xludf.DUMMYFUNCTION("""COMPUTED_VALUE"""),2.55)</f>
        <v>2.5499999999999998</v>
      </c>
      <c r="T685" s="1">
        <f ca="1">IFERROR(__xludf.DUMMYFUNCTION("""COMPUTED_VALUE"""),489531)</f>
        <v>489531</v>
      </c>
      <c r="U685" s="1">
        <f ca="1">IFERROR(__xludf.DUMMYFUNCTION("""COMPUTED_VALUE"""),15.2999999999999)</f>
        <v>15.299999999999899</v>
      </c>
    </row>
    <row r="686" spans="1:21" ht="12.75" x14ac:dyDescent="0.2">
      <c r="A686" s="3">
        <f ca="1">IFERROR(__xludf.DUMMYFUNCTION("""COMPUTED_VALUE"""),40148.4979166666)</f>
        <v>40148.497916666602</v>
      </c>
      <c r="B686" s="1">
        <f ca="1">IFERROR(__xludf.DUMMYFUNCTION("""COMPUTED_VALUE"""),2.95)</f>
        <v>2.95</v>
      </c>
      <c r="E686" s="1" t="str">
        <f ca="1">IFERROR(__xludf.DUMMYFUNCTION("""COMPUTED_VALUE"""),"POTTING SHED TEA MUG")</f>
        <v>POTTING SHED TEA MUG</v>
      </c>
      <c r="F686" s="1">
        <f ca="1">IFERROR(__xludf.DUMMYFUNCTION("""COMPUTED_VALUE"""),1)</f>
        <v>1</v>
      </c>
      <c r="G686" s="1">
        <f ca="1">IFERROR(__xludf.DUMMYFUNCTION("""COMPUTED_VALUE"""),1.25)</f>
        <v>1.25</v>
      </c>
      <c r="J686" s="1" t="str">
        <f ca="1">IFERROR(__xludf.DUMMYFUNCTION("""COMPUTED_VALUE"""),"WHITE HANGING HEART T-LIGHT HOLDER")</f>
        <v>WHITE HANGING HEART T-LIGHT HOLDER</v>
      </c>
      <c r="K686" s="1">
        <f ca="1">IFERROR(__xludf.DUMMYFUNCTION("""COMPUTED_VALUE"""),5)</f>
        <v>5</v>
      </c>
      <c r="L686" s="1">
        <f ca="1">IFERROR(__xludf.DUMMYFUNCTION("""COMPUTED_VALUE"""),2.95)</f>
        <v>2.95</v>
      </c>
      <c r="T686" s="1">
        <f ca="1">IFERROR(__xludf.DUMMYFUNCTION("""COMPUTED_VALUE"""),489531)</f>
        <v>489531</v>
      </c>
      <c r="U686" s="1">
        <f ca="1">IFERROR(__xludf.DUMMYFUNCTION("""COMPUTED_VALUE"""),14.75)</f>
        <v>14.75</v>
      </c>
    </row>
    <row r="687" spans="1:21" ht="12.75" x14ac:dyDescent="0.2">
      <c r="A687" s="3">
        <f ca="1">IFERROR(__xludf.DUMMYFUNCTION("""COMPUTED_VALUE"""),40148.4979166666)</f>
        <v>40148.497916666602</v>
      </c>
      <c r="B687" s="1">
        <f ca="1">IFERROR(__xludf.DUMMYFUNCTION("""COMPUTED_VALUE"""),4.95)</f>
        <v>4.95</v>
      </c>
      <c r="E687" s="1" t="str">
        <f ca="1">IFERROR(__xludf.DUMMYFUNCTION("""COMPUTED_VALUE"""),"TOXIC AREA  DOOR HANGER")</f>
        <v>TOXIC AREA  DOOR HANGER</v>
      </c>
      <c r="F687" s="1">
        <f ca="1">IFERROR(__xludf.DUMMYFUNCTION("""COMPUTED_VALUE"""),1)</f>
        <v>1</v>
      </c>
      <c r="G687" s="1">
        <f ca="1">IFERROR(__xludf.DUMMYFUNCTION("""COMPUTED_VALUE"""),1.45)</f>
        <v>1.45</v>
      </c>
      <c r="J687" s="1" t="str">
        <f ca="1">IFERROR(__xludf.DUMMYFUNCTION("""COMPUTED_VALUE"""),"ANTIQUE LILY FAIRY LIGHTS")</f>
        <v>ANTIQUE LILY FAIRY LIGHTS</v>
      </c>
      <c r="K687" s="1">
        <f ca="1">IFERROR(__xludf.DUMMYFUNCTION("""COMPUTED_VALUE"""),4)</f>
        <v>4</v>
      </c>
      <c r="L687" s="1">
        <f ca="1">IFERROR(__xludf.DUMMYFUNCTION("""COMPUTED_VALUE"""),4.95)</f>
        <v>4.95</v>
      </c>
      <c r="T687" s="1">
        <f ca="1">IFERROR(__xludf.DUMMYFUNCTION("""COMPUTED_VALUE"""),489531)</f>
        <v>489531</v>
      </c>
      <c r="U687" s="1">
        <f ca="1">IFERROR(__xludf.DUMMYFUNCTION("""COMPUTED_VALUE"""),19.8)</f>
        <v>19.8</v>
      </c>
    </row>
    <row r="688" spans="1:21" ht="12.75" x14ac:dyDescent="0.2">
      <c r="A688" s="3">
        <f ca="1">IFERROR(__xludf.DUMMYFUNCTION("""COMPUTED_VALUE"""),40148.4979166666)</f>
        <v>40148.497916666602</v>
      </c>
      <c r="B688" s="1">
        <f ca="1">IFERROR(__xludf.DUMMYFUNCTION("""COMPUTED_VALUE"""),1.25)</f>
        <v>1.25</v>
      </c>
      <c r="E688" s="1" t="str">
        <f ca="1">IFERROR(__xludf.DUMMYFUNCTION("""COMPUTED_VALUE"""),"CHRISTMAS CRAFT HEART DECORATIONS")</f>
        <v>CHRISTMAS CRAFT HEART DECORATIONS</v>
      </c>
      <c r="F688" s="1">
        <f ca="1">IFERROR(__xludf.DUMMYFUNCTION("""COMPUTED_VALUE"""),1)</f>
        <v>1</v>
      </c>
      <c r="G688" s="1">
        <f ca="1">IFERROR(__xludf.DUMMYFUNCTION("""COMPUTED_VALUE"""),2.1)</f>
        <v>2.1</v>
      </c>
      <c r="J688" s="1" t="str">
        <f ca="1">IFERROR(__xludf.DUMMYFUNCTION("""COMPUTED_VALUE"""),"KINGS CHOICE CIGAR BOX MATCHES")</f>
        <v>KINGS CHOICE CIGAR BOX MATCHES</v>
      </c>
      <c r="K688" s="1">
        <f ca="1">IFERROR(__xludf.DUMMYFUNCTION("""COMPUTED_VALUE"""),4)</f>
        <v>4</v>
      </c>
      <c r="L688" s="1">
        <f ca="1">IFERROR(__xludf.DUMMYFUNCTION("""COMPUTED_VALUE"""),1.25)</f>
        <v>1.25</v>
      </c>
      <c r="T688" s="1">
        <f ca="1">IFERROR(__xludf.DUMMYFUNCTION("""COMPUTED_VALUE"""),489531)</f>
        <v>489531</v>
      </c>
      <c r="U688" s="1">
        <f ca="1">IFERROR(__xludf.DUMMYFUNCTION("""COMPUTED_VALUE"""),5)</f>
        <v>5</v>
      </c>
    </row>
    <row r="689" spans="1:21" ht="12.75" x14ac:dyDescent="0.2">
      <c r="A689" s="3">
        <f ca="1">IFERROR(__xludf.DUMMYFUNCTION("""COMPUTED_VALUE"""),40148.4979166666)</f>
        <v>40148.497916666602</v>
      </c>
      <c r="B689" s="1">
        <f ca="1">IFERROR(__xludf.DUMMYFUNCTION("""COMPUTED_VALUE"""),1.25)</f>
        <v>1.25</v>
      </c>
      <c r="E689" s="1" t="str">
        <f ca="1">IFERROR(__xludf.DUMMYFUNCTION("""COMPUTED_VALUE"""),"RIBBON REEL FLORA + FAUNA")</f>
        <v>RIBBON REEL FLORA + FAUNA</v>
      </c>
      <c r="F689" s="1">
        <f ca="1">IFERROR(__xludf.DUMMYFUNCTION("""COMPUTED_VALUE"""),1)</f>
        <v>1</v>
      </c>
      <c r="G689" s="1">
        <f ca="1">IFERROR(__xludf.DUMMYFUNCTION("""COMPUTED_VALUE"""),1.65)</f>
        <v>1.65</v>
      </c>
      <c r="J689" s="1" t="str">
        <f ca="1">IFERROR(__xludf.DUMMYFUNCTION("""COMPUTED_VALUE"""),"S/4 FESTIVE GREEN DINNER CANDLES")</f>
        <v>S/4 FESTIVE GREEN DINNER CANDLES</v>
      </c>
      <c r="K689" s="1">
        <f ca="1">IFERROR(__xludf.DUMMYFUNCTION("""COMPUTED_VALUE"""),2)</f>
        <v>2</v>
      </c>
      <c r="L689" s="1">
        <f ca="1">IFERROR(__xludf.DUMMYFUNCTION("""COMPUTED_VALUE"""),1.25)</f>
        <v>1.25</v>
      </c>
      <c r="T689" s="1">
        <f ca="1">IFERROR(__xludf.DUMMYFUNCTION("""COMPUTED_VALUE"""),489531)</f>
        <v>489531</v>
      </c>
      <c r="U689" s="1">
        <f ca="1">IFERROR(__xludf.DUMMYFUNCTION("""COMPUTED_VALUE"""),2.5)</f>
        <v>2.5</v>
      </c>
    </row>
    <row r="690" spans="1:21" ht="12.75" x14ac:dyDescent="0.2">
      <c r="A690" s="3">
        <f ca="1">IFERROR(__xludf.DUMMYFUNCTION("""COMPUTED_VALUE"""),40148.4979166666)</f>
        <v>40148.497916666602</v>
      </c>
      <c r="B690" s="1">
        <f ca="1">IFERROR(__xludf.DUMMYFUNCTION("""COMPUTED_VALUE"""),1.95)</f>
        <v>1.95</v>
      </c>
      <c r="E690" s="1" t="str">
        <f ca="1">IFERROR(__xludf.DUMMYFUNCTION("""COMPUTED_VALUE"""),"RIBBON REEL HEARTS DESIGN")</f>
        <v>RIBBON REEL HEARTS DESIGN</v>
      </c>
      <c r="F690" s="1">
        <f ca="1">IFERROR(__xludf.DUMMYFUNCTION("""COMPUTED_VALUE"""),1)</f>
        <v>1</v>
      </c>
      <c r="G690" s="1">
        <f ca="1">IFERROR(__xludf.DUMMYFUNCTION("""COMPUTED_VALUE"""),1.65)</f>
        <v>1.65</v>
      </c>
      <c r="J690" s="1" t="str">
        <f ca="1">IFERROR(__xludf.DUMMYFUNCTION("""COMPUTED_VALUE"""),"GLASS HONEYPOT WASP CATCHER")</f>
        <v>GLASS HONEYPOT WASP CATCHER</v>
      </c>
      <c r="K690" s="1">
        <f ca="1">IFERROR(__xludf.DUMMYFUNCTION("""COMPUTED_VALUE"""),1)</f>
        <v>1</v>
      </c>
      <c r="L690" s="1">
        <f ca="1">IFERROR(__xludf.DUMMYFUNCTION("""COMPUTED_VALUE"""),1.95)</f>
        <v>1.95</v>
      </c>
      <c r="T690" s="1">
        <f ca="1">IFERROR(__xludf.DUMMYFUNCTION("""COMPUTED_VALUE"""),489531)</f>
        <v>489531</v>
      </c>
      <c r="U690" s="1">
        <f ca="1">IFERROR(__xludf.DUMMYFUNCTION("""COMPUTED_VALUE"""),1.95)</f>
        <v>1.95</v>
      </c>
    </row>
    <row r="691" spans="1:21" ht="12.75" x14ac:dyDescent="0.2">
      <c r="A691" s="3">
        <f ca="1">IFERROR(__xludf.DUMMYFUNCTION("""COMPUTED_VALUE"""),40148.4979166666)</f>
        <v>40148.497916666602</v>
      </c>
      <c r="B691" s="1">
        <f ca="1">IFERROR(__xludf.DUMMYFUNCTION("""COMPUTED_VALUE"""),7.95)</f>
        <v>7.95</v>
      </c>
      <c r="E691" s="1" t="str">
        <f ca="1">IFERROR(__xludf.DUMMYFUNCTION("""COMPUTED_VALUE"""),"FELTCRAFT DOLL MOLLY")</f>
        <v>FELTCRAFT DOLL MOLLY</v>
      </c>
      <c r="F691" s="1">
        <f ca="1">IFERROR(__xludf.DUMMYFUNCTION("""COMPUTED_VALUE"""),1)</f>
        <v>1</v>
      </c>
      <c r="G691" s="1">
        <f ca="1">IFERROR(__xludf.DUMMYFUNCTION("""COMPUTED_VALUE"""),2.95)</f>
        <v>2.95</v>
      </c>
      <c r="J691" s="1" t="str">
        <f ca="1">IFERROR(__xludf.DUMMYFUNCTION("""COMPUTED_VALUE"""),"WOOD S/3 CABINET ANT WHITE FINISH")</f>
        <v>WOOD S/3 CABINET ANT WHITE FINISH</v>
      </c>
      <c r="K691" s="1">
        <f ca="1">IFERROR(__xludf.DUMMYFUNCTION("""COMPUTED_VALUE"""),1)</f>
        <v>1</v>
      </c>
      <c r="L691" s="1">
        <f ca="1">IFERROR(__xludf.DUMMYFUNCTION("""COMPUTED_VALUE"""),7.95)</f>
        <v>7.95</v>
      </c>
      <c r="T691" s="1">
        <f ca="1">IFERROR(__xludf.DUMMYFUNCTION("""COMPUTED_VALUE"""),489531)</f>
        <v>489531</v>
      </c>
      <c r="U691" s="1">
        <f ca="1">IFERROR(__xludf.DUMMYFUNCTION("""COMPUTED_VALUE"""),7.95)</f>
        <v>7.95</v>
      </c>
    </row>
    <row r="692" spans="1:21" ht="12.75" x14ac:dyDescent="0.2">
      <c r="A692" s="3">
        <f ca="1">IFERROR(__xludf.DUMMYFUNCTION("""COMPUTED_VALUE"""),40148.4979166666)</f>
        <v>40148.497916666602</v>
      </c>
      <c r="B692" s="1">
        <f ca="1">IFERROR(__xludf.DUMMYFUNCTION("""COMPUTED_VALUE"""),5.95)</f>
        <v>5.95</v>
      </c>
      <c r="E692" s="1" t="str">
        <f ca="1">IFERROR(__xludf.DUMMYFUNCTION("""COMPUTED_VALUE"""),"FELTCRAFT DOLL MARIA")</f>
        <v>FELTCRAFT DOLL MARIA</v>
      </c>
      <c r="F692" s="1">
        <f ca="1">IFERROR(__xludf.DUMMYFUNCTION("""COMPUTED_VALUE"""),1)</f>
        <v>1</v>
      </c>
      <c r="G692" s="1">
        <f ca="1">IFERROR(__xludf.DUMMYFUNCTION("""COMPUTED_VALUE"""),2.95)</f>
        <v>2.95</v>
      </c>
      <c r="J692" s="1" t="str">
        <f ca="1">IFERROR(__xludf.DUMMYFUNCTION("""COMPUTED_VALUE"""),"WOOD 2 DRAWER CABINET WHITE FINISH")</f>
        <v>WOOD 2 DRAWER CABINET WHITE FINISH</v>
      </c>
      <c r="K692" s="1">
        <f ca="1">IFERROR(__xludf.DUMMYFUNCTION("""COMPUTED_VALUE"""),1)</f>
        <v>1</v>
      </c>
      <c r="L692" s="1">
        <f ca="1">IFERROR(__xludf.DUMMYFUNCTION("""COMPUTED_VALUE"""),5.95)</f>
        <v>5.95</v>
      </c>
      <c r="T692" s="1">
        <f ca="1">IFERROR(__xludf.DUMMYFUNCTION("""COMPUTED_VALUE"""),489531)</f>
        <v>489531</v>
      </c>
      <c r="U692" s="1">
        <f ca="1">IFERROR(__xludf.DUMMYFUNCTION("""COMPUTED_VALUE"""),5.95)</f>
        <v>5.95</v>
      </c>
    </row>
    <row r="693" spans="1:21" ht="12.75" x14ac:dyDescent="0.2">
      <c r="A693" s="3">
        <f ca="1">IFERROR(__xludf.DUMMYFUNCTION("""COMPUTED_VALUE"""),40148.4979166666)</f>
        <v>40148.497916666602</v>
      </c>
      <c r="B693" s="1">
        <f ca="1">IFERROR(__xludf.DUMMYFUNCTION("""COMPUTED_VALUE"""),4.95)</f>
        <v>4.95</v>
      </c>
      <c r="E693" s="1" t="str">
        <f ca="1">IFERROR(__xludf.DUMMYFUNCTION("""COMPUTED_VALUE"""),"FELTCRAFT DOLL EMILY")</f>
        <v>FELTCRAFT DOLL EMILY</v>
      </c>
      <c r="F693" s="1">
        <f ca="1">IFERROR(__xludf.DUMMYFUNCTION("""COMPUTED_VALUE"""),1)</f>
        <v>1</v>
      </c>
      <c r="G693" s="1">
        <f ca="1">IFERROR(__xludf.DUMMYFUNCTION("""COMPUTED_VALUE"""),2.95)</f>
        <v>2.95</v>
      </c>
      <c r="J693" s="1" t="str">
        <f ca="1">IFERROR(__xludf.DUMMYFUNCTION("""COMPUTED_VALUE"""),"CHOCOLATE HOT WATER BOTTLE")</f>
        <v>CHOCOLATE HOT WATER BOTTLE</v>
      </c>
      <c r="K693" s="1">
        <f ca="1">IFERROR(__xludf.DUMMYFUNCTION("""COMPUTED_VALUE"""),1)</f>
        <v>1</v>
      </c>
      <c r="L693" s="1">
        <f ca="1">IFERROR(__xludf.DUMMYFUNCTION("""COMPUTED_VALUE"""),4.95)</f>
        <v>4.95</v>
      </c>
      <c r="T693" s="1">
        <f ca="1">IFERROR(__xludf.DUMMYFUNCTION("""COMPUTED_VALUE"""),489531)</f>
        <v>489531</v>
      </c>
      <c r="U693" s="1">
        <f ca="1">IFERROR(__xludf.DUMMYFUNCTION("""COMPUTED_VALUE"""),4.95)</f>
        <v>4.95</v>
      </c>
    </row>
    <row r="694" spans="1:21" ht="12.75" x14ac:dyDescent="0.2">
      <c r="A694" s="3">
        <f ca="1">IFERROR(__xludf.DUMMYFUNCTION("""COMPUTED_VALUE"""),40148.4979166666)</f>
        <v>40148.497916666602</v>
      </c>
      <c r="B694" s="1">
        <f ca="1">IFERROR(__xludf.DUMMYFUNCTION("""COMPUTED_VALUE"""),4.95)</f>
        <v>4.95</v>
      </c>
      <c r="E694" s="1" t="str">
        <f ca="1">IFERROR(__xludf.DUMMYFUNCTION("""COMPUTED_VALUE"""),"SET/10 BLUE SPOTTY PARTY CANDLES")</f>
        <v>SET/10 BLUE SPOTTY PARTY CANDLES</v>
      </c>
      <c r="F694" s="1">
        <f ca="1">IFERROR(__xludf.DUMMYFUNCTION("""COMPUTED_VALUE"""),1)</f>
        <v>1</v>
      </c>
      <c r="G694" s="1">
        <f ca="1">IFERROR(__xludf.DUMMYFUNCTION("""COMPUTED_VALUE"""),1.25)</f>
        <v>1.25</v>
      </c>
      <c r="J694" s="1" t="str">
        <f ca="1">IFERROR(__xludf.DUMMYFUNCTION("""COMPUTED_VALUE"""),"SCOTTIE DOG HOT WATER BOTTLE")</f>
        <v>SCOTTIE DOG HOT WATER BOTTLE</v>
      </c>
      <c r="K694" s="1">
        <f ca="1">IFERROR(__xludf.DUMMYFUNCTION("""COMPUTED_VALUE"""),1)</f>
        <v>1</v>
      </c>
      <c r="L694" s="1">
        <f ca="1">IFERROR(__xludf.DUMMYFUNCTION("""COMPUTED_VALUE"""),4.95)</f>
        <v>4.95</v>
      </c>
      <c r="T694" s="1">
        <f ca="1">IFERROR(__xludf.DUMMYFUNCTION("""COMPUTED_VALUE"""),489531)</f>
        <v>489531</v>
      </c>
      <c r="U694" s="1">
        <f ca="1">IFERROR(__xludf.DUMMYFUNCTION("""COMPUTED_VALUE"""),4.95)</f>
        <v>4.95</v>
      </c>
    </row>
    <row r="695" spans="1:21" ht="12.75" x14ac:dyDescent="0.2">
      <c r="A695" s="3">
        <f ca="1">IFERROR(__xludf.DUMMYFUNCTION("""COMPUTED_VALUE"""),40148.4979166666)</f>
        <v>40148.497916666602</v>
      </c>
      <c r="B695" s="1">
        <f ca="1">IFERROR(__xludf.DUMMYFUNCTION("""COMPUTED_VALUE"""),0.95)</f>
        <v>0.95</v>
      </c>
      <c r="E695" s="1" t="str">
        <f ca="1">IFERROR(__xludf.DUMMYFUNCTION("""COMPUTED_VALUE"""),"SET/10 PINK SPOTTY PARTY CANDLES")</f>
        <v>SET/10 PINK SPOTTY PARTY CANDLES</v>
      </c>
      <c r="F695" s="1">
        <f ca="1">IFERROR(__xludf.DUMMYFUNCTION("""COMPUTED_VALUE"""),1)</f>
        <v>1</v>
      </c>
      <c r="G695" s="1">
        <f ca="1">IFERROR(__xludf.DUMMYFUNCTION("""COMPUTED_VALUE"""),1.25)</f>
        <v>1.25</v>
      </c>
      <c r="J695" s="1" t="str">
        <f ca="1">IFERROR(__xludf.DUMMYFUNCTION("""COMPUTED_VALUE"""),"REX CASH+CARRY JUMBO SHOPPER")</f>
        <v>REX CASH+CARRY JUMBO SHOPPER</v>
      </c>
      <c r="K695" s="1">
        <f ca="1">IFERROR(__xludf.DUMMYFUNCTION("""COMPUTED_VALUE"""),1)</f>
        <v>1</v>
      </c>
      <c r="L695" s="1">
        <f ca="1">IFERROR(__xludf.DUMMYFUNCTION("""COMPUTED_VALUE"""),0.95)</f>
        <v>0.95</v>
      </c>
      <c r="T695" s="1">
        <f ca="1">IFERROR(__xludf.DUMMYFUNCTION("""COMPUTED_VALUE"""),489531)</f>
        <v>489531</v>
      </c>
      <c r="U695" s="1">
        <f ca="1">IFERROR(__xludf.DUMMYFUNCTION("""COMPUTED_VALUE"""),0.95)</f>
        <v>0.95</v>
      </c>
    </row>
    <row r="696" spans="1:21" ht="12.75" x14ac:dyDescent="0.2">
      <c r="A696" s="3">
        <f ca="1">IFERROR(__xludf.DUMMYFUNCTION("""COMPUTED_VALUE"""),40148.4986111111)</f>
        <v>40148.498611111099</v>
      </c>
      <c r="B696" s="1">
        <f ca="1">IFERROR(__xludf.DUMMYFUNCTION("""COMPUTED_VALUE"""),0.21)</f>
        <v>0.21</v>
      </c>
      <c r="E696" s="1" t="str">
        <f ca="1">IFERROR(__xludf.DUMMYFUNCTION("""COMPUTED_VALUE"""),"SET OF 6 GIRLS CELEBRATION CANDLES")</f>
        <v>SET OF 6 GIRLS CELEBRATION CANDLES</v>
      </c>
      <c r="F696" s="1">
        <f ca="1">IFERROR(__xludf.DUMMYFUNCTION("""COMPUTED_VALUE"""),1)</f>
        <v>1</v>
      </c>
      <c r="G696" s="1">
        <f ca="1">IFERROR(__xludf.DUMMYFUNCTION("""COMPUTED_VALUE"""),1.25)</f>
        <v>1.25</v>
      </c>
      <c r="J696" s="1" t="str">
        <f ca="1">IFERROR(__xludf.DUMMYFUNCTION("""COMPUTED_VALUE"""),"RECYCLED PENCIL WITH RABBIT ERASER")</f>
        <v>RECYCLED PENCIL WITH RABBIT ERASER</v>
      </c>
      <c r="K696" s="1">
        <f ca="1">IFERROR(__xludf.DUMMYFUNCTION("""COMPUTED_VALUE"""),60)</f>
        <v>60</v>
      </c>
      <c r="L696" s="1">
        <f ca="1">IFERROR(__xludf.DUMMYFUNCTION("""COMPUTED_VALUE"""),0.21)</f>
        <v>0.21</v>
      </c>
      <c r="T696" s="1">
        <f ca="1">IFERROR(__xludf.DUMMYFUNCTION("""COMPUTED_VALUE"""),489532)</f>
        <v>489532</v>
      </c>
      <c r="U696" s="1">
        <f ca="1">IFERROR(__xludf.DUMMYFUNCTION("""COMPUTED_VALUE"""),12.6)</f>
        <v>12.6</v>
      </c>
    </row>
    <row r="697" spans="1:21" ht="12.75" x14ac:dyDescent="0.2">
      <c r="A697" s="3">
        <f ca="1">IFERROR(__xludf.DUMMYFUNCTION("""COMPUTED_VALUE"""),40148.4986111111)</f>
        <v>40148.498611111099</v>
      </c>
      <c r="B697" s="1">
        <f ca="1">IFERROR(__xludf.DUMMYFUNCTION("""COMPUTED_VALUE"""),0.29)</f>
        <v>0.28999999999999998</v>
      </c>
      <c r="E697" s="1" t="str">
        <f ca="1">IFERROR(__xludf.DUMMYFUNCTION("""COMPUTED_VALUE"""),"SET 6 FOOTBALL CELEBRATION CANDLES")</f>
        <v>SET 6 FOOTBALL CELEBRATION CANDLES</v>
      </c>
      <c r="F697" s="1">
        <f ca="1">IFERROR(__xludf.DUMMYFUNCTION("""COMPUTED_VALUE"""),1)</f>
        <v>1</v>
      </c>
      <c r="G697" s="1">
        <f ca="1">IFERROR(__xludf.DUMMYFUNCTION("""COMPUTED_VALUE"""),1.25)</f>
        <v>1.25</v>
      </c>
      <c r="J697" s="1" t="str">
        <f ca="1">IFERROR(__xludf.DUMMYFUNCTION("""COMPUTED_VALUE"""),"PACK OF 12 HEARTS DESIGN TISSUES")</f>
        <v>PACK OF 12 HEARTS DESIGN TISSUES</v>
      </c>
      <c r="K697" s="1">
        <f ca="1">IFERROR(__xludf.DUMMYFUNCTION("""COMPUTED_VALUE"""),48)</f>
        <v>48</v>
      </c>
      <c r="L697" s="1">
        <f ca="1">IFERROR(__xludf.DUMMYFUNCTION("""COMPUTED_VALUE"""),0.29)</f>
        <v>0.28999999999999998</v>
      </c>
      <c r="T697" s="1">
        <f ca="1">IFERROR(__xludf.DUMMYFUNCTION("""COMPUTED_VALUE"""),489532)</f>
        <v>489532</v>
      </c>
      <c r="U697" s="1">
        <f ca="1">IFERROR(__xludf.DUMMYFUNCTION("""COMPUTED_VALUE"""),13.9199999999999)</f>
        <v>13.9199999999999</v>
      </c>
    </row>
    <row r="698" spans="1:21" ht="12.75" x14ac:dyDescent="0.2">
      <c r="A698" s="3">
        <f ca="1">IFERROR(__xludf.DUMMYFUNCTION("""COMPUTED_VALUE"""),40148.4986111111)</f>
        <v>40148.498611111099</v>
      </c>
      <c r="B698" s="1">
        <f ca="1">IFERROR(__xludf.DUMMYFUNCTION("""COMPUTED_VALUE"""),0.29)</f>
        <v>0.28999999999999998</v>
      </c>
      <c r="E698" s="1" t="str">
        <f ca="1">IFERROR(__xludf.DUMMYFUNCTION("""COMPUTED_VALUE"""),"STRAWBERRY CERAMIC TRINKET BOX")</f>
        <v>STRAWBERRY CERAMIC TRINKET BOX</v>
      </c>
      <c r="F698" s="1">
        <f ca="1">IFERROR(__xludf.DUMMYFUNCTION("""COMPUTED_VALUE"""),12)</f>
        <v>12</v>
      </c>
      <c r="G698" s="1">
        <f ca="1">IFERROR(__xludf.DUMMYFUNCTION("""COMPUTED_VALUE"""),1.25)</f>
        <v>1.25</v>
      </c>
      <c r="J698" s="1" t="str">
        <f ca="1">IFERROR(__xludf.DUMMYFUNCTION("""COMPUTED_VALUE"""),"PACK OF 12 RED SPOTTY TISSUES")</f>
        <v>PACK OF 12 RED SPOTTY TISSUES</v>
      </c>
      <c r="K698" s="1">
        <f ca="1">IFERROR(__xludf.DUMMYFUNCTION("""COMPUTED_VALUE"""),48)</f>
        <v>48</v>
      </c>
      <c r="L698" s="1">
        <f ca="1">IFERROR(__xludf.DUMMYFUNCTION("""COMPUTED_VALUE"""),0.29)</f>
        <v>0.28999999999999998</v>
      </c>
      <c r="T698" s="1">
        <f ca="1">IFERROR(__xludf.DUMMYFUNCTION("""COMPUTED_VALUE"""),489532)</f>
        <v>489532</v>
      </c>
      <c r="U698" s="1">
        <f ca="1">IFERROR(__xludf.DUMMYFUNCTION("""COMPUTED_VALUE"""),13.9199999999999)</f>
        <v>13.9199999999999</v>
      </c>
    </row>
    <row r="699" spans="1:21" ht="12.75" x14ac:dyDescent="0.2">
      <c r="A699" s="3">
        <f ca="1">IFERROR(__xludf.DUMMYFUNCTION("""COMPUTED_VALUE"""),40148.4986111111)</f>
        <v>40148.498611111099</v>
      </c>
      <c r="B699" s="1">
        <f ca="1">IFERROR(__xludf.DUMMYFUNCTION("""COMPUTED_VALUE"""),0.21)</f>
        <v>0.21</v>
      </c>
      <c r="E699" s="1" t="str">
        <f ca="1">IFERROR(__xludf.DUMMYFUNCTION("""COMPUTED_VALUE"""),"SWEETHEART CERAMIC TRINKET BOX")</f>
        <v>SWEETHEART CERAMIC TRINKET BOX</v>
      </c>
      <c r="F699" s="1">
        <f ca="1">IFERROR(__xludf.DUMMYFUNCTION("""COMPUTED_VALUE"""),12)</f>
        <v>12</v>
      </c>
      <c r="G699" s="1">
        <f ca="1">IFERROR(__xludf.DUMMYFUNCTION("""COMPUTED_VALUE"""),1.25)</f>
        <v>1.25</v>
      </c>
      <c r="J699" s="1" t="str">
        <f ca="1">IFERROR(__xludf.DUMMYFUNCTION("""COMPUTED_VALUE"""),"ASSTD DESIGN BUBBLE GUM RING")</f>
        <v>ASSTD DESIGN BUBBLE GUM RING</v>
      </c>
      <c r="K699" s="1">
        <f ca="1">IFERROR(__xludf.DUMMYFUNCTION("""COMPUTED_VALUE"""),30)</f>
        <v>30</v>
      </c>
      <c r="L699" s="1">
        <f ca="1">IFERROR(__xludf.DUMMYFUNCTION("""COMPUTED_VALUE"""),0.21)</f>
        <v>0.21</v>
      </c>
      <c r="T699" s="1">
        <f ca="1">IFERROR(__xludf.DUMMYFUNCTION("""COMPUTED_VALUE"""),489532)</f>
        <v>489532</v>
      </c>
      <c r="U699" s="1">
        <f ca="1">IFERROR(__xludf.DUMMYFUNCTION("""COMPUTED_VALUE"""),6.3)</f>
        <v>6.3</v>
      </c>
    </row>
    <row r="700" spans="1:21" ht="12.75" x14ac:dyDescent="0.2">
      <c r="A700" s="3">
        <f ca="1">IFERROR(__xludf.DUMMYFUNCTION("""COMPUTED_VALUE"""),40148.4986111111)</f>
        <v>40148.498611111099</v>
      </c>
      <c r="B700" s="1">
        <f ca="1">IFERROR(__xludf.DUMMYFUNCTION("""COMPUTED_VALUE"""),0.55)</f>
        <v>0.55000000000000004</v>
      </c>
      <c r="E700" s="1" t="str">
        <f ca="1">IFERROR(__xludf.DUMMYFUNCTION("""COMPUTED_VALUE"""),"FUNKY WASHING UP GLOVES ASSORTED")</f>
        <v>FUNKY WASHING UP GLOVES ASSORTED</v>
      </c>
      <c r="F700" s="1">
        <f ca="1">IFERROR(__xludf.DUMMYFUNCTION("""COMPUTED_VALUE"""),12)</f>
        <v>12</v>
      </c>
      <c r="G700" s="1">
        <f ca="1">IFERROR(__xludf.DUMMYFUNCTION("""COMPUTED_VALUE"""),2.1)</f>
        <v>2.1</v>
      </c>
      <c r="J700" s="1" t="str">
        <f ca="1">IFERROR(__xludf.DUMMYFUNCTION("""COMPUTED_VALUE"""),"PACK OF 72 RETRO SPOT CAKE CASES")</f>
        <v>PACK OF 72 RETRO SPOT CAKE CASES</v>
      </c>
      <c r="K700" s="1">
        <f ca="1">IFERROR(__xludf.DUMMYFUNCTION("""COMPUTED_VALUE"""),24)</f>
        <v>24</v>
      </c>
      <c r="L700" s="1">
        <f ca="1">IFERROR(__xludf.DUMMYFUNCTION("""COMPUTED_VALUE"""),0.55)</f>
        <v>0.55000000000000004</v>
      </c>
      <c r="T700" s="1">
        <f ca="1">IFERROR(__xludf.DUMMYFUNCTION("""COMPUTED_VALUE"""),489532)</f>
        <v>489532</v>
      </c>
      <c r="U700" s="1">
        <f ca="1">IFERROR(__xludf.DUMMYFUNCTION("""COMPUTED_VALUE"""),13.2)</f>
        <v>13.2</v>
      </c>
    </row>
    <row r="701" spans="1:21" ht="12.75" x14ac:dyDescent="0.2">
      <c r="A701" s="3">
        <f ca="1">IFERROR(__xludf.DUMMYFUNCTION("""COMPUTED_VALUE"""),40148.4986111111)</f>
        <v>40148.498611111099</v>
      </c>
      <c r="B701" s="1">
        <f ca="1">IFERROR(__xludf.DUMMYFUNCTION("""COMPUTED_VALUE"""),0.55)</f>
        <v>0.55000000000000004</v>
      </c>
      <c r="E701" s="1" t="str">
        <f ca="1">IFERROR(__xludf.DUMMYFUNCTION("""COMPUTED_VALUE"""),"LARGE HEART MEASURING SPOONS")</f>
        <v>LARGE HEART MEASURING SPOONS</v>
      </c>
      <c r="F701" s="1">
        <f ca="1">IFERROR(__xludf.DUMMYFUNCTION("""COMPUTED_VALUE"""),12)</f>
        <v>12</v>
      </c>
      <c r="G701" s="1">
        <f ca="1">IFERROR(__xludf.DUMMYFUNCTION("""COMPUTED_VALUE"""),1.65)</f>
        <v>1.65</v>
      </c>
      <c r="J701" s="1" t="str">
        <f ca="1">IFERROR(__xludf.DUMMYFUNCTION("""COMPUTED_VALUE"""),"60 GOLD AND SILVER FAIRY CAKE CASES")</f>
        <v>60 GOLD AND SILVER FAIRY CAKE CASES</v>
      </c>
      <c r="K701" s="1">
        <f ca="1">IFERROR(__xludf.DUMMYFUNCTION("""COMPUTED_VALUE"""),24)</f>
        <v>24</v>
      </c>
      <c r="L701" s="1">
        <f ca="1">IFERROR(__xludf.DUMMYFUNCTION("""COMPUTED_VALUE"""),0.55)</f>
        <v>0.55000000000000004</v>
      </c>
      <c r="T701" s="1">
        <f ca="1">IFERROR(__xludf.DUMMYFUNCTION("""COMPUTED_VALUE"""),489532)</f>
        <v>489532</v>
      </c>
      <c r="U701" s="1">
        <f ca="1">IFERROR(__xludf.DUMMYFUNCTION("""COMPUTED_VALUE"""),13.2)</f>
        <v>13.2</v>
      </c>
    </row>
    <row r="702" spans="1:21" ht="12.75" x14ac:dyDescent="0.2">
      <c r="A702" s="3">
        <f ca="1">IFERROR(__xludf.DUMMYFUNCTION("""COMPUTED_VALUE"""),40148.4986111111)</f>
        <v>40148.498611111099</v>
      </c>
      <c r="B702" s="1">
        <f ca="1">IFERROR(__xludf.DUMMYFUNCTION("""COMPUTED_VALUE"""),0.85)</f>
        <v>0.85</v>
      </c>
      <c r="E702" s="1" t="str">
        <f ca="1">IFERROR(__xludf.DUMMYFUNCTION("""COMPUTED_VALUE"""),"FLORAL ELEPHANT SOFT TOY")</f>
        <v>FLORAL ELEPHANT SOFT TOY</v>
      </c>
      <c r="F702" s="1">
        <f ca="1">IFERROR(__xludf.DUMMYFUNCTION("""COMPUTED_VALUE"""),9)</f>
        <v>9</v>
      </c>
      <c r="G702" s="1">
        <f ca="1">IFERROR(__xludf.DUMMYFUNCTION("""COMPUTED_VALUE"""),4.25)</f>
        <v>4.25</v>
      </c>
      <c r="J702" s="1" t="str">
        <f ca="1">IFERROR(__xludf.DUMMYFUNCTION("""COMPUTED_VALUE"""),"CINAMMON SET OF 9 T-LIGHTS")</f>
        <v>CINAMMON SET OF 9 T-LIGHTS</v>
      </c>
      <c r="K702" s="1">
        <f ca="1">IFERROR(__xludf.DUMMYFUNCTION("""COMPUTED_VALUE"""),24)</f>
        <v>24</v>
      </c>
      <c r="L702" s="1">
        <f ca="1">IFERROR(__xludf.DUMMYFUNCTION("""COMPUTED_VALUE"""),0.85)</f>
        <v>0.85</v>
      </c>
      <c r="T702" s="1">
        <f ca="1">IFERROR(__xludf.DUMMYFUNCTION("""COMPUTED_VALUE"""),489532)</f>
        <v>489532</v>
      </c>
      <c r="U702" s="1">
        <f ca="1">IFERROR(__xludf.DUMMYFUNCTION("""COMPUTED_VALUE"""),20.4)</f>
        <v>20.399999999999999</v>
      </c>
    </row>
    <row r="703" spans="1:21" ht="12.75" x14ac:dyDescent="0.2">
      <c r="A703" s="3">
        <f ca="1">IFERROR(__xludf.DUMMYFUNCTION("""COMPUTED_VALUE"""),40148.4986111111)</f>
        <v>40148.498611111099</v>
      </c>
      <c r="B703" s="1">
        <f ca="1">IFERROR(__xludf.DUMMYFUNCTION("""COMPUTED_VALUE"""),1.25)</f>
        <v>1.25</v>
      </c>
      <c r="E703" s="1" t="str">
        <f ca="1">IFERROR(__xludf.DUMMYFUNCTION("""COMPUTED_VALUE"""),"PINK FAIRY CAKE CHILD'S APRON")</f>
        <v>PINK FAIRY CAKE CHILD'S APRON</v>
      </c>
      <c r="F703" s="1">
        <f ca="1">IFERROR(__xludf.DUMMYFUNCTION("""COMPUTED_VALUE"""),8)</f>
        <v>8</v>
      </c>
      <c r="G703" s="1">
        <f ca="1">IFERROR(__xludf.DUMMYFUNCTION("""COMPUTED_VALUE"""),1.95)</f>
        <v>1.95</v>
      </c>
      <c r="J703" s="1" t="str">
        <f ca="1">IFERROR(__xludf.DUMMYFUNCTION("""COMPUTED_VALUE"""),"BRIGHT BLUES RIBBONS")</f>
        <v>BRIGHT BLUES RIBBONS</v>
      </c>
      <c r="K703" s="1">
        <f ca="1">IFERROR(__xludf.DUMMYFUNCTION("""COMPUTED_VALUE"""),12)</f>
        <v>12</v>
      </c>
      <c r="L703" s="1">
        <f ca="1">IFERROR(__xludf.DUMMYFUNCTION("""COMPUTED_VALUE"""),1.25)</f>
        <v>1.25</v>
      </c>
      <c r="T703" s="1">
        <f ca="1">IFERROR(__xludf.DUMMYFUNCTION("""COMPUTED_VALUE"""),489532)</f>
        <v>489532</v>
      </c>
      <c r="U703" s="1">
        <f ca="1">IFERROR(__xludf.DUMMYFUNCTION("""COMPUTED_VALUE"""),15)</f>
        <v>15</v>
      </c>
    </row>
    <row r="704" spans="1:21" ht="12.75" x14ac:dyDescent="0.2">
      <c r="A704" s="3">
        <f ca="1">IFERROR(__xludf.DUMMYFUNCTION("""COMPUTED_VALUE"""),40148.4986111111)</f>
        <v>40148.498611111099</v>
      </c>
      <c r="B704" s="1">
        <f ca="1">IFERROR(__xludf.DUMMYFUNCTION("""COMPUTED_VALUE"""),0.85)</f>
        <v>0.85</v>
      </c>
      <c r="E704" s="1" t="str">
        <f ca="1">IFERROR(__xludf.DUMMYFUNCTION("""COMPUTED_VALUE"""),"SCOTTIES DES CHILD'S APRON")</f>
        <v>SCOTTIES DES CHILD'S APRON</v>
      </c>
      <c r="F704" s="1">
        <f ca="1">IFERROR(__xludf.DUMMYFUNCTION("""COMPUTED_VALUE"""),8)</f>
        <v>8</v>
      </c>
      <c r="G704" s="1">
        <f ca="1">IFERROR(__xludf.DUMMYFUNCTION("""COMPUTED_VALUE"""),1.65)</f>
        <v>1.65</v>
      </c>
      <c r="J704" s="1" t="str">
        <f ca="1">IFERROR(__xludf.DUMMYFUNCTION("""COMPUTED_VALUE"""),"STRAWBERRY SCENTED SET/9 T-LIGHTS")</f>
        <v>STRAWBERRY SCENTED SET/9 T-LIGHTS</v>
      </c>
      <c r="K704" s="1">
        <f ca="1">IFERROR(__xludf.DUMMYFUNCTION("""COMPUTED_VALUE"""),12)</f>
        <v>12</v>
      </c>
      <c r="L704" s="1">
        <f ca="1">IFERROR(__xludf.DUMMYFUNCTION("""COMPUTED_VALUE"""),0.85)</f>
        <v>0.85</v>
      </c>
      <c r="T704" s="1">
        <f ca="1">IFERROR(__xludf.DUMMYFUNCTION("""COMPUTED_VALUE"""),489532)</f>
        <v>489532</v>
      </c>
      <c r="U704" s="1">
        <f ca="1">IFERROR(__xludf.DUMMYFUNCTION("""COMPUTED_VALUE"""),10.2)</f>
        <v>10.199999999999999</v>
      </c>
    </row>
    <row r="705" spans="1:21" ht="12.75" x14ac:dyDescent="0.2">
      <c r="A705" s="3">
        <f ca="1">IFERROR(__xludf.DUMMYFUNCTION("""COMPUTED_VALUE"""),40148.4986111111)</f>
        <v>40148.498611111099</v>
      </c>
      <c r="B705" s="1">
        <f ca="1">IFERROR(__xludf.DUMMYFUNCTION("""COMPUTED_VALUE"""),0.42)</f>
        <v>0.42</v>
      </c>
      <c r="E705" s="1" t="str">
        <f ca="1">IFERROR(__xludf.DUMMYFUNCTION("""COMPUTED_VALUE"""),"PINK HEART SHAPE EGG FRYING PAN")</f>
        <v>PINK HEART SHAPE EGG FRYING PAN</v>
      </c>
      <c r="F705" s="1">
        <f ca="1">IFERROR(__xludf.DUMMYFUNCTION("""COMPUTED_VALUE"""),6)</f>
        <v>6</v>
      </c>
      <c r="G705" s="1">
        <f ca="1">IFERROR(__xludf.DUMMYFUNCTION("""COMPUTED_VALUE"""),1.65)</f>
        <v>1.65</v>
      </c>
      <c r="J705" s="1" t="str">
        <f ca="1">IFERROR(__xludf.DUMMYFUNCTION("""COMPUTED_VALUE"""),"FROSTED BOX 9 WHITE T-LIGHT CANDLES")</f>
        <v>FROSTED BOX 9 WHITE T-LIGHT CANDLES</v>
      </c>
      <c r="K705" s="1">
        <f ca="1">IFERROR(__xludf.DUMMYFUNCTION("""COMPUTED_VALUE"""),12)</f>
        <v>12</v>
      </c>
      <c r="L705" s="1">
        <f ca="1">IFERROR(__xludf.DUMMYFUNCTION("""COMPUTED_VALUE"""),0.42)</f>
        <v>0.42</v>
      </c>
      <c r="T705" s="1">
        <f ca="1">IFERROR(__xludf.DUMMYFUNCTION("""COMPUTED_VALUE"""),489532)</f>
        <v>489532</v>
      </c>
      <c r="U705" s="1">
        <f ca="1">IFERROR(__xludf.DUMMYFUNCTION("""COMPUTED_VALUE"""),5.04)</f>
        <v>5.04</v>
      </c>
    </row>
    <row r="706" spans="1:21" ht="12.75" x14ac:dyDescent="0.2">
      <c r="A706" s="3">
        <f ca="1">IFERROR(__xludf.DUMMYFUNCTION("""COMPUTED_VALUE"""),40148.4986111111)</f>
        <v>40148.498611111099</v>
      </c>
      <c r="B706" s="1">
        <f ca="1">IFERROR(__xludf.DUMMYFUNCTION("""COMPUTED_VALUE"""),1.25)</f>
        <v>1.25</v>
      </c>
      <c r="E706" s="1" t="str">
        <f ca="1">IFERROR(__xludf.DUMMYFUNCTION("""COMPUTED_VALUE"""),"ENGLISH ROSE DESIGN PEG BAG")</f>
        <v>ENGLISH ROSE DESIGN PEG BAG</v>
      </c>
      <c r="F706" s="1">
        <f ca="1">IFERROR(__xludf.DUMMYFUNCTION("""COMPUTED_VALUE"""),6)</f>
        <v>6</v>
      </c>
      <c r="G706" s="1">
        <f ca="1">IFERROR(__xludf.DUMMYFUNCTION("""COMPUTED_VALUE"""),2.1)</f>
        <v>2.1</v>
      </c>
      <c r="J706" s="1" t="str">
        <f ca="1">IFERROR(__xludf.DUMMYFUNCTION("""COMPUTED_VALUE"""),"ROMANTIC PINKS RIBBONS")</f>
        <v>ROMANTIC PINKS RIBBONS</v>
      </c>
      <c r="K706" s="1">
        <f ca="1">IFERROR(__xludf.DUMMYFUNCTION("""COMPUTED_VALUE"""),12)</f>
        <v>12</v>
      </c>
      <c r="L706" s="1">
        <f ca="1">IFERROR(__xludf.DUMMYFUNCTION("""COMPUTED_VALUE"""),1.25)</f>
        <v>1.25</v>
      </c>
      <c r="T706" s="1">
        <f ca="1">IFERROR(__xludf.DUMMYFUNCTION("""COMPUTED_VALUE"""),489532)</f>
        <v>489532</v>
      </c>
      <c r="U706" s="1">
        <f ca="1">IFERROR(__xludf.DUMMYFUNCTION("""COMPUTED_VALUE"""),15)</f>
        <v>15</v>
      </c>
    </row>
    <row r="707" spans="1:21" ht="12.75" x14ac:dyDescent="0.2">
      <c r="A707" s="3">
        <f ca="1">IFERROR(__xludf.DUMMYFUNCTION("""COMPUTED_VALUE"""),40148.4986111111)</f>
        <v>40148.498611111099</v>
      </c>
      <c r="B707" s="1">
        <f ca="1">IFERROR(__xludf.DUMMYFUNCTION("""COMPUTED_VALUE"""),1.65)</f>
        <v>1.65</v>
      </c>
      <c r="E707" s="1" t="str">
        <f ca="1">IFERROR(__xludf.DUMMYFUNCTION("""COMPUTED_VALUE"""),"RED STAR CARD HOLDER")</f>
        <v>RED STAR CARD HOLDER</v>
      </c>
      <c r="F707" s="1">
        <f ca="1">IFERROR(__xludf.DUMMYFUNCTION("""COMPUTED_VALUE"""),6)</f>
        <v>6</v>
      </c>
      <c r="G707" s="1">
        <f ca="1">IFERROR(__xludf.DUMMYFUNCTION("""COMPUTED_VALUE"""),2.95)</f>
        <v>2.95</v>
      </c>
      <c r="J707" s="1" t="str">
        <f ca="1">IFERROR(__xludf.DUMMYFUNCTION("""COMPUTED_VALUE"""),"6 RIBBONS RUSTIC CHARM")</f>
        <v>6 RIBBONS RUSTIC CHARM</v>
      </c>
      <c r="K707" s="1">
        <f ca="1">IFERROR(__xludf.DUMMYFUNCTION("""COMPUTED_VALUE"""),9)</f>
        <v>9</v>
      </c>
      <c r="L707" s="1">
        <f ca="1">IFERROR(__xludf.DUMMYFUNCTION("""COMPUTED_VALUE"""),1.65)</f>
        <v>1.65</v>
      </c>
      <c r="T707" s="1">
        <f ca="1">IFERROR(__xludf.DUMMYFUNCTION("""COMPUTED_VALUE"""),489532)</f>
        <v>489532</v>
      </c>
      <c r="U707" s="1">
        <f ca="1">IFERROR(__xludf.DUMMYFUNCTION("""COMPUTED_VALUE"""),14.85)</f>
        <v>14.85</v>
      </c>
    </row>
    <row r="708" spans="1:21" ht="12.75" x14ac:dyDescent="0.2">
      <c r="A708" s="3">
        <f ca="1">IFERROR(__xludf.DUMMYFUNCTION("""COMPUTED_VALUE"""),40148.4986111111)</f>
        <v>40148.498611111099</v>
      </c>
      <c r="B708" s="1">
        <f ca="1">IFERROR(__xludf.DUMMYFUNCTION("""COMPUTED_VALUE"""),2.95)</f>
        <v>2.95</v>
      </c>
      <c r="E708" s="1" t="str">
        <f ca="1">IFERROR(__xludf.DUMMYFUNCTION("""COMPUTED_VALUE"""),"WOODEN FRAME ANTIQUE WHITE")</f>
        <v>WOODEN FRAME ANTIQUE WHITE</v>
      </c>
      <c r="F708" s="1">
        <f ca="1">IFERROR(__xludf.DUMMYFUNCTION("""COMPUTED_VALUE"""),6)</f>
        <v>6</v>
      </c>
      <c r="G708" s="1">
        <f ca="1">IFERROR(__xludf.DUMMYFUNCTION("""COMPUTED_VALUE"""),2.95)</f>
        <v>2.95</v>
      </c>
      <c r="J708" s="1" t="str">
        <f ca="1">IFERROR(__xludf.DUMMYFUNCTION("""COMPUTED_VALUE"""),"PAPER CHAIN KIT RETRO SPOT")</f>
        <v>PAPER CHAIN KIT RETRO SPOT</v>
      </c>
      <c r="K708" s="1">
        <f ca="1">IFERROR(__xludf.DUMMYFUNCTION("""COMPUTED_VALUE"""),6)</f>
        <v>6</v>
      </c>
      <c r="L708" s="1">
        <f ca="1">IFERROR(__xludf.DUMMYFUNCTION("""COMPUTED_VALUE"""),2.95)</f>
        <v>2.95</v>
      </c>
      <c r="T708" s="1">
        <f ca="1">IFERROR(__xludf.DUMMYFUNCTION("""COMPUTED_VALUE"""),489532)</f>
        <v>489532</v>
      </c>
      <c r="U708" s="1">
        <f ca="1">IFERROR(__xludf.DUMMYFUNCTION("""COMPUTED_VALUE"""),17.7)</f>
        <v>17.7</v>
      </c>
    </row>
    <row r="709" spans="1:21" ht="12.75" x14ac:dyDescent="0.2">
      <c r="A709" s="3">
        <f ca="1">IFERROR(__xludf.DUMMYFUNCTION("""COMPUTED_VALUE"""),40148.4986111111)</f>
        <v>40148.498611111099</v>
      </c>
      <c r="B709" s="1">
        <f ca="1">IFERROR(__xludf.DUMMYFUNCTION("""COMPUTED_VALUE"""),2.95)</f>
        <v>2.95</v>
      </c>
      <c r="E709" s="1" t="str">
        <f ca="1">IFERROR(__xludf.DUMMYFUNCTION("""COMPUTED_VALUE"""),"LARGE GREEN PEONY FOLDING STOOL")</f>
        <v>LARGE GREEN PEONY FOLDING STOOL</v>
      </c>
      <c r="F709" s="1">
        <f ca="1">IFERROR(__xludf.DUMMYFUNCTION("""COMPUTED_VALUE"""),6)</f>
        <v>6</v>
      </c>
      <c r="G709" s="1">
        <f ca="1">IFERROR(__xludf.DUMMYFUNCTION("""COMPUTED_VALUE"""),2.1)</f>
        <v>2.1</v>
      </c>
      <c r="J709" s="1" t="str">
        <f ca="1">IFERROR(__xludf.DUMMYFUNCTION("""COMPUTED_VALUE"""),"PAPER CHAIN KIT 50'S CHRISTMAS")</f>
        <v>PAPER CHAIN KIT 50'S CHRISTMAS</v>
      </c>
      <c r="K709" s="1">
        <f ca="1">IFERROR(__xludf.DUMMYFUNCTION("""COMPUTED_VALUE"""),6)</f>
        <v>6</v>
      </c>
      <c r="L709" s="1">
        <f ca="1">IFERROR(__xludf.DUMMYFUNCTION("""COMPUTED_VALUE"""),2.95)</f>
        <v>2.95</v>
      </c>
      <c r="T709" s="1">
        <f ca="1">IFERROR(__xludf.DUMMYFUNCTION("""COMPUTED_VALUE"""),489532)</f>
        <v>489532</v>
      </c>
      <c r="U709" s="1">
        <f ca="1">IFERROR(__xludf.DUMMYFUNCTION("""COMPUTED_VALUE"""),17.7)</f>
        <v>17.7</v>
      </c>
    </row>
    <row r="710" spans="1:21" ht="12.75" x14ac:dyDescent="0.2">
      <c r="A710" s="3">
        <f ca="1">IFERROR(__xludf.DUMMYFUNCTION("""COMPUTED_VALUE"""),40148.4986111111)</f>
        <v>40148.498611111099</v>
      </c>
      <c r="B710" s="1">
        <f ca="1">IFERROR(__xludf.DUMMYFUNCTION("""COMPUTED_VALUE"""),2.55)</f>
        <v>2.5499999999999998</v>
      </c>
      <c r="E710" s="1" t="str">
        <f ca="1">IFERROR(__xludf.DUMMYFUNCTION("""COMPUTED_VALUE"""),"LARGE PINK PEONY FOLDING STOOL")</f>
        <v>LARGE PINK PEONY FOLDING STOOL</v>
      </c>
      <c r="F710" s="1">
        <f ca="1">IFERROR(__xludf.DUMMYFUNCTION("""COMPUTED_VALUE"""),6)</f>
        <v>6</v>
      </c>
      <c r="G710" s="1">
        <f ca="1">IFERROR(__xludf.DUMMYFUNCTION("""COMPUTED_VALUE"""),2.1)</f>
        <v>2.1</v>
      </c>
      <c r="J710" s="1" t="str">
        <f ca="1">IFERROR(__xludf.DUMMYFUNCTION("""COMPUTED_VALUE"""),"ROTATING SILVER ANGELS T-LIGHT HLDR")</f>
        <v>ROTATING SILVER ANGELS T-LIGHT HLDR</v>
      </c>
      <c r="K710" s="1">
        <f ca="1">IFERROR(__xludf.DUMMYFUNCTION("""COMPUTED_VALUE"""),6)</f>
        <v>6</v>
      </c>
      <c r="L710" s="1">
        <f ca="1">IFERROR(__xludf.DUMMYFUNCTION("""COMPUTED_VALUE"""),2.55)</f>
        <v>2.5499999999999998</v>
      </c>
      <c r="T710" s="1">
        <f ca="1">IFERROR(__xludf.DUMMYFUNCTION("""COMPUTED_VALUE"""),489532)</f>
        <v>489532</v>
      </c>
      <c r="U710" s="1">
        <f ca="1">IFERROR(__xludf.DUMMYFUNCTION("""COMPUTED_VALUE"""),15.2999999999999)</f>
        <v>15.299999999999899</v>
      </c>
    </row>
    <row r="711" spans="1:21" ht="12.75" x14ac:dyDescent="0.2">
      <c r="A711" s="3">
        <f ca="1">IFERROR(__xludf.DUMMYFUNCTION("""COMPUTED_VALUE"""),40148.4986111111)</f>
        <v>40148.498611111099</v>
      </c>
      <c r="B711" s="1">
        <f ca="1">IFERROR(__xludf.DUMMYFUNCTION("""COMPUTED_VALUE"""),3.75)</f>
        <v>3.75</v>
      </c>
      <c r="E711" s="1" t="str">
        <f ca="1">IFERROR(__xludf.DUMMYFUNCTION("""COMPUTED_VALUE"""),"PINK 3 PIECE MINI DOTS CUTLERY SET")</f>
        <v>PINK 3 PIECE MINI DOTS CUTLERY SET</v>
      </c>
      <c r="F711" s="1">
        <f ca="1">IFERROR(__xludf.DUMMYFUNCTION("""COMPUTED_VALUE"""),6)</f>
        <v>6</v>
      </c>
      <c r="G711" s="1">
        <f ca="1">IFERROR(__xludf.DUMMYFUNCTION("""COMPUTED_VALUE"""),3.75)</f>
        <v>3.75</v>
      </c>
      <c r="J711" s="1" t="str">
        <f ca="1">IFERROR(__xludf.DUMMYFUNCTION("""COMPUTED_VALUE"""),"SMALL RETRO SPOT MUG IN BOX  WHITE")</f>
        <v>SMALL RETRO SPOT MUG IN BOX  WHITE</v>
      </c>
      <c r="K711" s="1">
        <f ca="1">IFERROR(__xludf.DUMMYFUNCTION("""COMPUTED_VALUE"""),6)</f>
        <v>6</v>
      </c>
      <c r="L711" s="1">
        <f ca="1">IFERROR(__xludf.DUMMYFUNCTION("""COMPUTED_VALUE"""),3.75)</f>
        <v>3.75</v>
      </c>
      <c r="T711" s="1">
        <f ca="1">IFERROR(__xludf.DUMMYFUNCTION("""COMPUTED_VALUE"""),489532)</f>
        <v>489532</v>
      </c>
      <c r="U711" s="1">
        <f ca="1">IFERROR(__xludf.DUMMYFUNCTION("""COMPUTED_VALUE"""),22.5)</f>
        <v>22.5</v>
      </c>
    </row>
    <row r="712" spans="1:21" ht="12.75" x14ac:dyDescent="0.2">
      <c r="A712" s="3">
        <f ca="1">IFERROR(__xludf.DUMMYFUNCTION("""COMPUTED_VALUE"""),40148.4986111111)</f>
        <v>40148.498611111099</v>
      </c>
      <c r="B712" s="1">
        <f ca="1">IFERROR(__xludf.DUMMYFUNCTION("""COMPUTED_VALUE"""),3.75)</f>
        <v>3.75</v>
      </c>
      <c r="E712" s="1" t="str">
        <f ca="1">IFERROR(__xludf.DUMMYFUNCTION("""COMPUTED_VALUE"""),"GREEN FERN JOURNAL")</f>
        <v>GREEN FERN JOURNAL</v>
      </c>
      <c r="F712" s="1">
        <f ca="1">IFERROR(__xludf.DUMMYFUNCTION("""COMPUTED_VALUE"""),6)</f>
        <v>6</v>
      </c>
      <c r="G712" s="1">
        <f ca="1">IFERROR(__xludf.DUMMYFUNCTION("""COMPUTED_VALUE"""),2.55)</f>
        <v>2.5499999999999998</v>
      </c>
      <c r="J712" s="1" t="str">
        <f ca="1">IFERROR(__xludf.DUMMYFUNCTION("""COMPUTED_VALUE"""),"SMALL RETRO SPOT MUG IN BOX  RED")</f>
        <v>SMALL RETRO SPOT MUG IN BOX  RED</v>
      </c>
      <c r="K712" s="1">
        <f ca="1">IFERROR(__xludf.DUMMYFUNCTION("""COMPUTED_VALUE"""),6)</f>
        <v>6</v>
      </c>
      <c r="L712" s="1">
        <f ca="1">IFERROR(__xludf.DUMMYFUNCTION("""COMPUTED_VALUE"""),3.75)</f>
        <v>3.75</v>
      </c>
      <c r="T712" s="1">
        <f ca="1">IFERROR(__xludf.DUMMYFUNCTION("""COMPUTED_VALUE"""),489532)</f>
        <v>489532</v>
      </c>
      <c r="U712" s="1">
        <f ca="1">IFERROR(__xludf.DUMMYFUNCTION("""COMPUTED_VALUE"""),22.5)</f>
        <v>22.5</v>
      </c>
    </row>
    <row r="713" spans="1:21" ht="12.75" x14ac:dyDescent="0.2">
      <c r="A713" s="3">
        <f ca="1">IFERROR(__xludf.DUMMYFUNCTION("""COMPUTED_VALUE"""),40148.4986111111)</f>
        <v>40148.498611111099</v>
      </c>
      <c r="B713" s="1">
        <f ca="1">IFERROR(__xludf.DUMMYFUNCTION("""COMPUTED_VALUE"""),4.95)</f>
        <v>4.95</v>
      </c>
      <c r="E713" s="1" t="str">
        <f ca="1">IFERROR(__xludf.DUMMYFUNCTION("""COMPUTED_VALUE"""),"FRYING PAN BLUE POLKADOT")</f>
        <v>FRYING PAN BLUE POLKADOT</v>
      </c>
      <c r="F713" s="1">
        <f ca="1">IFERROR(__xludf.DUMMYFUNCTION("""COMPUTED_VALUE"""),4)</f>
        <v>4</v>
      </c>
      <c r="G713" s="1">
        <f ca="1">IFERROR(__xludf.DUMMYFUNCTION("""COMPUTED_VALUE"""),4.25)</f>
        <v>4.25</v>
      </c>
      <c r="J713" s="1" t="str">
        <f ca="1">IFERROR(__xludf.DUMMYFUNCTION("""COMPUTED_VALUE"""),"SCOTTIE DOG HOT WATER BOTTLE")</f>
        <v>SCOTTIE DOG HOT WATER BOTTLE</v>
      </c>
      <c r="K713" s="1">
        <f ca="1">IFERROR(__xludf.DUMMYFUNCTION("""COMPUTED_VALUE"""),3)</f>
        <v>3</v>
      </c>
      <c r="L713" s="1">
        <f ca="1">IFERROR(__xludf.DUMMYFUNCTION("""COMPUTED_VALUE"""),4.95)</f>
        <v>4.95</v>
      </c>
      <c r="T713" s="1">
        <f ca="1">IFERROR(__xludf.DUMMYFUNCTION("""COMPUTED_VALUE"""),489532)</f>
        <v>489532</v>
      </c>
      <c r="U713" s="1">
        <f ca="1">IFERROR(__xludf.DUMMYFUNCTION("""COMPUTED_VALUE"""),14.85)</f>
        <v>14.85</v>
      </c>
    </row>
    <row r="714" spans="1:21" ht="12.75" x14ac:dyDescent="0.2">
      <c r="A714" s="3">
        <f ca="1">IFERROR(__xludf.DUMMYFUNCTION("""COMPUTED_VALUE"""),40148.4986111111)</f>
        <v>40148.498611111099</v>
      </c>
      <c r="B714" s="1">
        <f ca="1">IFERROR(__xludf.DUMMYFUNCTION("""COMPUTED_VALUE"""),4.95)</f>
        <v>4.95</v>
      </c>
      <c r="E714" s="1" t="str">
        <f ca="1">IFERROR(__xludf.DUMMYFUNCTION("""COMPUTED_VALUE"""),"CHICK GREY HOT WATER BOTTLE")</f>
        <v>CHICK GREY HOT WATER BOTTLE</v>
      </c>
      <c r="F714" s="1">
        <f ca="1">IFERROR(__xludf.DUMMYFUNCTION("""COMPUTED_VALUE"""),4)</f>
        <v>4</v>
      </c>
      <c r="G714" s="1">
        <f ca="1">IFERROR(__xludf.DUMMYFUNCTION("""COMPUTED_VALUE"""),3.45)</f>
        <v>3.45</v>
      </c>
      <c r="J714" s="1" t="str">
        <f ca="1">IFERROR(__xludf.DUMMYFUNCTION("""COMPUTED_VALUE"""),"RED SPOT HEART HOT WATER BOTTLE")</f>
        <v>RED SPOT HEART HOT WATER BOTTLE</v>
      </c>
      <c r="K714" s="1">
        <f ca="1">IFERROR(__xludf.DUMMYFUNCTION("""COMPUTED_VALUE"""),3)</f>
        <v>3</v>
      </c>
      <c r="L714" s="1">
        <f ca="1">IFERROR(__xludf.DUMMYFUNCTION("""COMPUTED_VALUE"""),4.95)</f>
        <v>4.95</v>
      </c>
      <c r="T714" s="1">
        <f ca="1">IFERROR(__xludf.DUMMYFUNCTION("""COMPUTED_VALUE"""),489532)</f>
        <v>489532</v>
      </c>
      <c r="U714" s="1">
        <f ca="1">IFERROR(__xludf.DUMMYFUNCTION("""COMPUTED_VALUE"""),14.85)</f>
        <v>14.85</v>
      </c>
    </row>
    <row r="715" spans="1:21" ht="12.75" x14ac:dyDescent="0.2">
      <c r="A715" s="3">
        <f ca="1">IFERROR(__xludf.DUMMYFUNCTION("""COMPUTED_VALUE"""),40148.4986111111)</f>
        <v>40148.498611111099</v>
      </c>
      <c r="B715" s="1">
        <f ca="1">IFERROR(__xludf.DUMMYFUNCTION("""COMPUTED_VALUE"""),12.75)</f>
        <v>12.75</v>
      </c>
      <c r="E715" s="1" t="str">
        <f ca="1">IFERROR(__xludf.DUMMYFUNCTION("""COMPUTED_VALUE"""),"FRYING PAN RED POLKADOT")</f>
        <v>FRYING PAN RED POLKADOT</v>
      </c>
      <c r="F715" s="1">
        <f ca="1">IFERROR(__xludf.DUMMYFUNCTION("""COMPUTED_VALUE"""),4)</f>
        <v>4</v>
      </c>
      <c r="G715" s="1">
        <f ca="1">IFERROR(__xludf.DUMMYFUNCTION("""COMPUTED_VALUE"""),4.25)</f>
        <v>4.25</v>
      </c>
      <c r="J715" s="1" t="str">
        <f ca="1">IFERROR(__xludf.DUMMYFUNCTION("""COMPUTED_VALUE"""),"SET/3 TALL GLASS CANDLE HOLDER PINK")</f>
        <v>SET/3 TALL GLASS CANDLE HOLDER PINK</v>
      </c>
      <c r="K715" s="1">
        <f ca="1">IFERROR(__xludf.DUMMYFUNCTION("""COMPUTED_VALUE"""),2)</f>
        <v>2</v>
      </c>
      <c r="L715" s="1">
        <f ca="1">IFERROR(__xludf.DUMMYFUNCTION("""COMPUTED_VALUE"""),12.75)</f>
        <v>12.75</v>
      </c>
      <c r="T715" s="1">
        <f ca="1">IFERROR(__xludf.DUMMYFUNCTION("""COMPUTED_VALUE"""),489532)</f>
        <v>489532</v>
      </c>
      <c r="U715" s="1">
        <f ca="1">IFERROR(__xludf.DUMMYFUNCTION("""COMPUTED_VALUE"""),25.5)</f>
        <v>25.5</v>
      </c>
    </row>
    <row r="716" spans="1:21" ht="12.75" x14ac:dyDescent="0.2">
      <c r="A716" s="3">
        <f ca="1">IFERROR(__xludf.DUMMYFUNCTION("""COMPUTED_VALUE"""),40148.5013888888)</f>
        <v>40148.501388888799</v>
      </c>
      <c r="B716" s="1">
        <f ca="1">IFERROR(__xludf.DUMMYFUNCTION("""COMPUTED_VALUE"""),1.25)</f>
        <v>1.25</v>
      </c>
      <c r="E716" s="1" t="str">
        <f ca="1">IFERROR(__xludf.DUMMYFUNCTION("""COMPUTED_VALUE"""),"SCOTTIE DOG HOT WATER BOTTLE")</f>
        <v>SCOTTIE DOG HOT WATER BOTTLE</v>
      </c>
      <c r="F716" s="1">
        <f ca="1">IFERROR(__xludf.DUMMYFUNCTION("""COMPUTED_VALUE"""),3)</f>
        <v>3</v>
      </c>
      <c r="G716" s="1">
        <f ca="1">IFERROR(__xludf.DUMMYFUNCTION("""COMPUTED_VALUE"""),4.95)</f>
        <v>4.95</v>
      </c>
      <c r="J716" s="1" t="str">
        <f ca="1">IFERROR(__xludf.DUMMYFUNCTION("""COMPUTED_VALUE"""),"ZINC METAL HEART DECORATION")</f>
        <v>ZINC METAL HEART DECORATION</v>
      </c>
      <c r="K716" s="1">
        <f ca="1">IFERROR(__xludf.DUMMYFUNCTION("""COMPUTED_VALUE"""),12)</f>
        <v>12</v>
      </c>
      <c r="L716" s="1">
        <f ca="1">IFERROR(__xludf.DUMMYFUNCTION("""COMPUTED_VALUE"""),1.25)</f>
        <v>1.25</v>
      </c>
      <c r="T716" s="1">
        <f ca="1">IFERROR(__xludf.DUMMYFUNCTION("""COMPUTED_VALUE"""),489533)</f>
        <v>489533</v>
      </c>
      <c r="U716" s="1">
        <f ca="1">IFERROR(__xludf.DUMMYFUNCTION("""COMPUTED_VALUE"""),15)</f>
        <v>15</v>
      </c>
    </row>
    <row r="717" spans="1:21" ht="12.75" x14ac:dyDescent="0.2">
      <c r="A717" s="3">
        <f ca="1">IFERROR(__xludf.DUMMYFUNCTION("""COMPUTED_VALUE"""),40148.5013888888)</f>
        <v>40148.501388888799</v>
      </c>
      <c r="B717" s="1">
        <f ca="1">IFERROR(__xludf.DUMMYFUNCTION("""COMPUTED_VALUE"""),0.85)</f>
        <v>0.85</v>
      </c>
      <c r="E717" s="1" t="str">
        <f ca="1">IFERROR(__xludf.DUMMYFUNCTION("""COMPUTED_VALUE"""),"RED SPOT HEART HOT WATER BOTTLE")</f>
        <v>RED SPOT HEART HOT WATER BOTTLE</v>
      </c>
      <c r="F717" s="1">
        <f ca="1">IFERROR(__xludf.DUMMYFUNCTION("""COMPUTED_VALUE"""),3)</f>
        <v>3</v>
      </c>
      <c r="G717" s="1">
        <f ca="1">IFERROR(__xludf.DUMMYFUNCTION("""COMPUTED_VALUE"""),4.95)</f>
        <v>4.95</v>
      </c>
      <c r="J717" s="1" t="str">
        <f ca="1">IFERROR(__xludf.DUMMYFUNCTION("""COMPUTED_VALUE"""),"HANGING HEART ZINC T-LIGHT HOLDER")</f>
        <v>HANGING HEART ZINC T-LIGHT HOLDER</v>
      </c>
      <c r="K717" s="1">
        <f ca="1">IFERROR(__xludf.DUMMYFUNCTION("""COMPUTED_VALUE"""),12)</f>
        <v>12</v>
      </c>
      <c r="L717" s="1">
        <f ca="1">IFERROR(__xludf.DUMMYFUNCTION("""COMPUTED_VALUE"""),0.85)</f>
        <v>0.85</v>
      </c>
      <c r="T717" s="1">
        <f ca="1">IFERROR(__xludf.DUMMYFUNCTION("""COMPUTED_VALUE"""),489533)</f>
        <v>489533</v>
      </c>
      <c r="U717" s="1">
        <f ca="1">IFERROR(__xludf.DUMMYFUNCTION("""COMPUTED_VALUE"""),10.2)</f>
        <v>10.199999999999999</v>
      </c>
    </row>
    <row r="718" spans="1:21" ht="12.75" x14ac:dyDescent="0.2">
      <c r="A718" s="3">
        <f ca="1">IFERROR(__xludf.DUMMYFUNCTION("""COMPUTED_VALUE"""),40148.5013888888)</f>
        <v>40148.501388888799</v>
      </c>
      <c r="B718" s="1">
        <f ca="1">IFERROR(__xludf.DUMMYFUNCTION("""COMPUTED_VALUE"""),1.25)</f>
        <v>1.25</v>
      </c>
      <c r="E718" s="1" t="str">
        <f ca="1">IFERROR(__xludf.DUMMYFUNCTION("""COMPUTED_VALUE"""),"ROSE DU SUD CHILDS APRON")</f>
        <v>ROSE DU SUD CHILDS APRON</v>
      </c>
      <c r="F718" s="1">
        <f ca="1">IFERROR(__xludf.DUMMYFUNCTION("""COMPUTED_VALUE"""),3)</f>
        <v>3</v>
      </c>
      <c r="G718" s="1">
        <f ca="1">IFERROR(__xludf.DUMMYFUNCTION("""COMPUTED_VALUE"""),4.25)</f>
        <v>4.25</v>
      </c>
      <c r="J718" s="1" t="str">
        <f ca="1">IFERROR(__xludf.DUMMYFUNCTION("""COMPUTED_VALUE"""),"ANTIQUE SILVER TEA GLASS ETCHED")</f>
        <v>ANTIQUE SILVER TEA GLASS ETCHED</v>
      </c>
      <c r="K718" s="1">
        <f ca="1">IFERROR(__xludf.DUMMYFUNCTION("""COMPUTED_VALUE"""),6)</f>
        <v>6</v>
      </c>
      <c r="L718" s="1">
        <f ca="1">IFERROR(__xludf.DUMMYFUNCTION("""COMPUTED_VALUE"""),1.25)</f>
        <v>1.25</v>
      </c>
      <c r="T718" s="1">
        <f ca="1">IFERROR(__xludf.DUMMYFUNCTION("""COMPUTED_VALUE"""),489533)</f>
        <v>489533</v>
      </c>
      <c r="U718" s="1">
        <f ca="1">IFERROR(__xludf.DUMMYFUNCTION("""COMPUTED_VALUE"""),7.5)</f>
        <v>7.5</v>
      </c>
    </row>
    <row r="719" spans="1:21" ht="12.75" x14ac:dyDescent="0.2">
      <c r="A719" s="3">
        <f ca="1">IFERROR(__xludf.DUMMYFUNCTION("""COMPUTED_VALUE"""),40148.5013888888)</f>
        <v>40148.501388888799</v>
      </c>
      <c r="B719" s="1">
        <f ca="1">IFERROR(__xludf.DUMMYFUNCTION("""COMPUTED_VALUE"""),2.55)</f>
        <v>2.5499999999999998</v>
      </c>
      <c r="E719" s="1" t="str">
        <f ca="1">IFERROR(__xludf.DUMMYFUNCTION("""COMPUTED_VALUE"""),"SWALLOW CIGAR BOX MATCHES")</f>
        <v>SWALLOW CIGAR BOX MATCHES</v>
      </c>
      <c r="F719" s="1">
        <f ca="1">IFERROR(__xludf.DUMMYFUNCTION("""COMPUTED_VALUE"""),24)</f>
        <v>24</v>
      </c>
      <c r="G719" s="1">
        <f ca="1">IFERROR(__xludf.DUMMYFUNCTION("""COMPUTED_VALUE"""),1.25)</f>
        <v>1.25</v>
      </c>
      <c r="J719" s="1" t="str">
        <f ca="1">IFERROR(__xludf.DUMMYFUNCTION("""COMPUTED_VALUE"""),"COFFEE MUG DOG + BALL DESIGN")</f>
        <v>COFFEE MUG DOG + BALL DESIGN</v>
      </c>
      <c r="K719" s="1">
        <f ca="1">IFERROR(__xludf.DUMMYFUNCTION("""COMPUTED_VALUE"""),6)</f>
        <v>6</v>
      </c>
      <c r="L719" s="1">
        <f ca="1">IFERROR(__xludf.DUMMYFUNCTION("""COMPUTED_VALUE"""),2.55)</f>
        <v>2.5499999999999998</v>
      </c>
      <c r="T719" s="1">
        <f ca="1">IFERROR(__xludf.DUMMYFUNCTION("""COMPUTED_VALUE"""),489533)</f>
        <v>489533</v>
      </c>
      <c r="U719" s="1">
        <f ca="1">IFERROR(__xludf.DUMMYFUNCTION("""COMPUTED_VALUE"""),15.2999999999999)</f>
        <v>15.299999999999899</v>
      </c>
    </row>
    <row r="720" spans="1:21" ht="12.75" x14ac:dyDescent="0.2">
      <c r="A720" s="3">
        <f ca="1">IFERROR(__xludf.DUMMYFUNCTION("""COMPUTED_VALUE"""),40148.5013888888)</f>
        <v>40148.501388888799</v>
      </c>
      <c r="B720" s="1">
        <f ca="1">IFERROR(__xludf.DUMMYFUNCTION("""COMPUTED_VALUE"""),1.25)</f>
        <v>1.25</v>
      </c>
      <c r="E720" s="1" t="str">
        <f ca="1">IFERROR(__xludf.DUMMYFUNCTION("""COMPUTED_VALUE"""),"COSY HOUR CIGAR BOX MATCHES")</f>
        <v>COSY HOUR CIGAR BOX MATCHES</v>
      </c>
      <c r="F720" s="1">
        <f ca="1">IFERROR(__xludf.DUMMYFUNCTION("""COMPUTED_VALUE"""),24)</f>
        <v>24</v>
      </c>
      <c r="G720" s="1">
        <f ca="1">IFERROR(__xludf.DUMMYFUNCTION("""COMPUTED_VALUE"""),1.25)</f>
        <v>1.25</v>
      </c>
      <c r="J720" s="1" t="str">
        <f ca="1">IFERROR(__xludf.DUMMYFUNCTION("""COMPUTED_VALUE"""),"ANTIQUE SILVER TEA GLASS ETCHED")</f>
        <v>ANTIQUE SILVER TEA GLASS ETCHED</v>
      </c>
      <c r="K720" s="1">
        <f ca="1">IFERROR(__xludf.DUMMYFUNCTION("""COMPUTED_VALUE"""),6)</f>
        <v>6</v>
      </c>
      <c r="L720" s="1">
        <f ca="1">IFERROR(__xludf.DUMMYFUNCTION("""COMPUTED_VALUE"""),1.25)</f>
        <v>1.25</v>
      </c>
      <c r="T720" s="1">
        <f ca="1">IFERROR(__xludf.DUMMYFUNCTION("""COMPUTED_VALUE"""),489533)</f>
        <v>489533</v>
      </c>
      <c r="U720" s="1">
        <f ca="1">IFERROR(__xludf.DUMMYFUNCTION("""COMPUTED_VALUE"""),7.5)</f>
        <v>7.5</v>
      </c>
    </row>
    <row r="721" spans="1:21" ht="12.75" x14ac:dyDescent="0.2">
      <c r="A721" s="3">
        <f ca="1">IFERROR(__xludf.DUMMYFUNCTION("""COMPUTED_VALUE"""),40148.5013888888)</f>
        <v>40148.501388888799</v>
      </c>
      <c r="B721" s="1">
        <f ca="1">IFERROR(__xludf.DUMMYFUNCTION("""COMPUTED_VALUE"""),7.95)</f>
        <v>7.95</v>
      </c>
      <c r="E721" s="1" t="str">
        <f ca="1">IFERROR(__xludf.DUMMYFUNCTION("""COMPUTED_VALUE"""),"KINGS CHOICE CIGAR BOX MATCHES")</f>
        <v>KINGS CHOICE CIGAR BOX MATCHES</v>
      </c>
      <c r="F721" s="1">
        <f ca="1">IFERROR(__xludf.DUMMYFUNCTION("""COMPUTED_VALUE"""),24)</f>
        <v>24</v>
      </c>
      <c r="G721" s="1">
        <f ca="1">IFERROR(__xludf.DUMMYFUNCTION("""COMPUTED_VALUE"""),1.25)</f>
        <v>1.25</v>
      </c>
      <c r="J721" s="1" t="str">
        <f ca="1">IFERROR(__xludf.DUMMYFUNCTION("""COMPUTED_VALUE"""),"SILVER SLEIGHBELL  WREATH")</f>
        <v>SILVER SLEIGHBELL  WREATH</v>
      </c>
      <c r="K721" s="1">
        <f ca="1">IFERROR(__xludf.DUMMYFUNCTION("""COMPUTED_VALUE"""),4)</f>
        <v>4</v>
      </c>
      <c r="L721" s="1">
        <f ca="1">IFERROR(__xludf.DUMMYFUNCTION("""COMPUTED_VALUE"""),7.95)</f>
        <v>7.95</v>
      </c>
      <c r="T721" s="1">
        <f ca="1">IFERROR(__xludf.DUMMYFUNCTION("""COMPUTED_VALUE"""),489533)</f>
        <v>489533</v>
      </c>
      <c r="U721" s="1">
        <f ca="1">IFERROR(__xludf.DUMMYFUNCTION("""COMPUTED_VALUE"""),31.8)</f>
        <v>31.8</v>
      </c>
    </row>
    <row r="722" spans="1:21" ht="12.75" x14ac:dyDescent="0.2">
      <c r="A722" s="3">
        <f ca="1">IFERROR(__xludf.DUMMYFUNCTION("""COMPUTED_VALUE"""),40148.5013888888)</f>
        <v>40148.501388888799</v>
      </c>
      <c r="B722" s="1">
        <f ca="1">IFERROR(__xludf.DUMMYFUNCTION("""COMPUTED_VALUE"""),4.25)</f>
        <v>4.25</v>
      </c>
      <c r="E722" s="1" t="str">
        <f ca="1">IFERROR(__xludf.DUMMYFUNCTION("""COMPUTED_VALUE"""),"LUNCH BAG RED SPOTTY")</f>
        <v>LUNCH BAG RED SPOTTY</v>
      </c>
      <c r="F722" s="1">
        <f ca="1">IFERROR(__xludf.DUMMYFUNCTION("""COMPUTED_VALUE"""),20)</f>
        <v>20</v>
      </c>
      <c r="G722" s="1">
        <f ca="1">IFERROR(__xludf.DUMMYFUNCTION("""COMPUTED_VALUE"""),1.65)</f>
        <v>1.65</v>
      </c>
      <c r="J722" s="1" t="str">
        <f ca="1">IFERROR(__xludf.DUMMYFUNCTION("""COMPUTED_VALUE"""),"DAIRY MAID CERAMIC BUTTER DISH")</f>
        <v>DAIRY MAID CERAMIC BUTTER DISH</v>
      </c>
      <c r="K722" s="1">
        <f ca="1">IFERROR(__xludf.DUMMYFUNCTION("""COMPUTED_VALUE"""),2)</f>
        <v>2</v>
      </c>
      <c r="L722" s="1">
        <f ca="1">IFERROR(__xludf.DUMMYFUNCTION("""COMPUTED_VALUE"""),4.25)</f>
        <v>4.25</v>
      </c>
      <c r="T722" s="1">
        <f ca="1">IFERROR(__xludf.DUMMYFUNCTION("""COMPUTED_VALUE"""),489533)</f>
        <v>489533</v>
      </c>
      <c r="U722" s="1">
        <f ca="1">IFERROR(__xludf.DUMMYFUNCTION("""COMPUTED_VALUE"""),8.5)</f>
        <v>8.5</v>
      </c>
    </row>
    <row r="723" spans="1:21" ht="12.75" x14ac:dyDescent="0.2">
      <c r="A723" s="3">
        <f ca="1">IFERROR(__xludf.DUMMYFUNCTION("""COMPUTED_VALUE"""),40148.5013888888)</f>
        <v>40148.501388888799</v>
      </c>
      <c r="B723" s="1">
        <f ca="1">IFERROR(__xludf.DUMMYFUNCTION("""COMPUTED_VALUE"""),2.1)</f>
        <v>2.1</v>
      </c>
      <c r="E723" s="1" t="str">
        <f ca="1">IFERROR(__xludf.DUMMYFUNCTION("""COMPUTED_VALUE"""),"PAPER CHAIN KIT 50'S CHRISTMAS")</f>
        <v>PAPER CHAIN KIT 50'S CHRISTMAS</v>
      </c>
      <c r="F723" s="1">
        <f ca="1">IFERROR(__xludf.DUMMYFUNCTION("""COMPUTED_VALUE"""),18)</f>
        <v>18</v>
      </c>
      <c r="G723" s="1">
        <f ca="1">IFERROR(__xludf.DUMMYFUNCTION("""COMPUTED_VALUE"""),2.95)</f>
        <v>2.95</v>
      </c>
      <c r="J723" s="1" t="str">
        <f ca="1">IFERROR(__xludf.DUMMYFUNCTION("""COMPUTED_VALUE"""),"FRENCH ENAMEL CANDLEHOLDER")</f>
        <v>FRENCH ENAMEL CANDLEHOLDER</v>
      </c>
      <c r="K723" s="1">
        <f ca="1">IFERROR(__xludf.DUMMYFUNCTION("""COMPUTED_VALUE"""),2)</f>
        <v>2</v>
      </c>
      <c r="L723" s="1">
        <f ca="1">IFERROR(__xludf.DUMMYFUNCTION("""COMPUTED_VALUE"""),2.1)</f>
        <v>2.1</v>
      </c>
      <c r="T723" s="1">
        <f ca="1">IFERROR(__xludf.DUMMYFUNCTION("""COMPUTED_VALUE"""),489533)</f>
        <v>489533</v>
      </c>
      <c r="U723" s="1">
        <f ca="1">IFERROR(__xludf.DUMMYFUNCTION("""COMPUTED_VALUE"""),4.2)</f>
        <v>4.2</v>
      </c>
    </row>
    <row r="724" spans="1:21" ht="12.75" x14ac:dyDescent="0.2">
      <c r="A724" s="3">
        <f ca="1">IFERROR(__xludf.DUMMYFUNCTION("""COMPUTED_VALUE"""),40148.5013888888)</f>
        <v>40148.501388888799</v>
      </c>
      <c r="B724" s="1">
        <f ca="1">IFERROR(__xludf.DUMMYFUNCTION("""COMPUTED_VALUE"""),5.95)</f>
        <v>5.95</v>
      </c>
      <c r="E724" s="1" t="str">
        <f ca="1">IFERROR(__xludf.DUMMYFUNCTION("""COMPUTED_VALUE"""),"SAVE THE PLANET MUG")</f>
        <v>SAVE THE PLANET MUG</v>
      </c>
      <c r="F724" s="1">
        <f ca="1">IFERROR(__xludf.DUMMYFUNCTION("""COMPUTED_VALUE"""),12)</f>
        <v>12</v>
      </c>
      <c r="G724" s="1">
        <f ca="1">IFERROR(__xludf.DUMMYFUNCTION("""COMPUTED_VALUE"""),1.25)</f>
        <v>1.25</v>
      </c>
      <c r="J724" s="1" t="str">
        <f ca="1">IFERROR(__xludf.DUMMYFUNCTION("""COMPUTED_VALUE"""),"HOME BUILDING BLOCK WORD")</f>
        <v>HOME BUILDING BLOCK WORD</v>
      </c>
      <c r="K724" s="1">
        <f ca="1">IFERROR(__xludf.DUMMYFUNCTION("""COMPUTED_VALUE"""),2)</f>
        <v>2</v>
      </c>
      <c r="L724" s="1">
        <f ca="1">IFERROR(__xludf.DUMMYFUNCTION("""COMPUTED_VALUE"""),5.95)</f>
        <v>5.95</v>
      </c>
      <c r="T724" s="1">
        <f ca="1">IFERROR(__xludf.DUMMYFUNCTION("""COMPUTED_VALUE"""),489533)</f>
        <v>489533</v>
      </c>
      <c r="U724" s="1">
        <f ca="1">IFERROR(__xludf.DUMMYFUNCTION("""COMPUTED_VALUE"""),11.9)</f>
        <v>11.9</v>
      </c>
    </row>
    <row r="725" spans="1:21" ht="12.75" x14ac:dyDescent="0.2">
      <c r="A725" s="3">
        <f ca="1">IFERROR(__xludf.DUMMYFUNCTION("""COMPUTED_VALUE"""),40148.5013888888)</f>
        <v>40148.501388888799</v>
      </c>
      <c r="B725" s="1">
        <f ca="1">IFERROR(__xludf.DUMMYFUNCTION("""COMPUTED_VALUE"""),4.95)</f>
        <v>4.95</v>
      </c>
      <c r="E725" s="1" t="str">
        <f ca="1">IFERROR(__xludf.DUMMYFUNCTION("""COMPUTED_VALUE"""),"KINGS CHOICE MUG")</f>
        <v>KINGS CHOICE MUG</v>
      </c>
      <c r="F725" s="1">
        <f ca="1">IFERROR(__xludf.DUMMYFUNCTION("""COMPUTED_VALUE"""),12)</f>
        <v>12</v>
      </c>
      <c r="G725" s="1">
        <f ca="1">IFERROR(__xludf.DUMMYFUNCTION("""COMPUTED_VALUE"""),1.25)</f>
        <v>1.25</v>
      </c>
      <c r="J725" s="1" t="str">
        <f ca="1">IFERROR(__xludf.DUMMYFUNCTION("""COMPUTED_VALUE"""),"JOY WOODEN BLOCK LETTERS")</f>
        <v>JOY WOODEN BLOCK LETTERS</v>
      </c>
      <c r="K725" s="1">
        <f ca="1">IFERROR(__xludf.DUMMYFUNCTION("""COMPUTED_VALUE"""),2)</f>
        <v>2</v>
      </c>
      <c r="L725" s="1">
        <f ca="1">IFERROR(__xludf.DUMMYFUNCTION("""COMPUTED_VALUE"""),4.95)</f>
        <v>4.95</v>
      </c>
      <c r="T725" s="1">
        <f ca="1">IFERROR(__xludf.DUMMYFUNCTION("""COMPUTED_VALUE"""),489533)</f>
        <v>489533</v>
      </c>
      <c r="U725" s="1">
        <f ca="1">IFERROR(__xludf.DUMMYFUNCTION("""COMPUTED_VALUE"""),9.9)</f>
        <v>9.9</v>
      </c>
    </row>
    <row r="726" spans="1:21" ht="12.75" x14ac:dyDescent="0.2">
      <c r="A726" s="3">
        <f ca="1">IFERROR(__xludf.DUMMYFUNCTION("""COMPUTED_VALUE"""),40148.5013888888)</f>
        <v>40148.501388888799</v>
      </c>
      <c r="B726" s="1">
        <f ca="1">IFERROR(__xludf.DUMMYFUNCTION("""COMPUTED_VALUE"""),5.95)</f>
        <v>5.95</v>
      </c>
      <c r="E726" s="1" t="str">
        <f ca="1">IFERROR(__xludf.DUMMYFUNCTION("""COMPUTED_VALUE"""),"COSY HOUR GIANT TUBE MATCHES")</f>
        <v>COSY HOUR GIANT TUBE MATCHES</v>
      </c>
      <c r="F726" s="1">
        <f ca="1">IFERROR(__xludf.DUMMYFUNCTION("""COMPUTED_VALUE"""),12)</f>
        <v>12</v>
      </c>
      <c r="G726" s="1">
        <f ca="1">IFERROR(__xludf.DUMMYFUNCTION("""COMPUTED_VALUE"""),2.55)</f>
        <v>2.5499999999999998</v>
      </c>
      <c r="J726" s="1" t="str">
        <f ca="1">IFERROR(__xludf.DUMMYFUNCTION("""COMPUTED_VALUE"""),"LOVE BUILDING BLOCK WORD")</f>
        <v>LOVE BUILDING BLOCK WORD</v>
      </c>
      <c r="K726" s="1">
        <f ca="1">IFERROR(__xludf.DUMMYFUNCTION("""COMPUTED_VALUE"""),2)</f>
        <v>2</v>
      </c>
      <c r="L726" s="1">
        <f ca="1">IFERROR(__xludf.DUMMYFUNCTION("""COMPUTED_VALUE"""),5.95)</f>
        <v>5.95</v>
      </c>
      <c r="T726" s="1">
        <f ca="1">IFERROR(__xludf.DUMMYFUNCTION("""COMPUTED_VALUE"""),489533)</f>
        <v>489533</v>
      </c>
      <c r="U726" s="1">
        <f ca="1">IFERROR(__xludf.DUMMYFUNCTION("""COMPUTED_VALUE"""),11.9)</f>
        <v>11.9</v>
      </c>
    </row>
    <row r="727" spans="1:21" ht="12.75" x14ac:dyDescent="0.2">
      <c r="A727" s="3">
        <f ca="1">IFERROR(__xludf.DUMMYFUNCTION("""COMPUTED_VALUE"""),40148.5013888888)</f>
        <v>40148.501388888799</v>
      </c>
      <c r="B727" s="1">
        <f ca="1">IFERROR(__xludf.DUMMYFUNCTION("""COMPUTED_VALUE"""),16.95)</f>
        <v>16.95</v>
      </c>
      <c r="E727" s="1" t="str">
        <f ca="1">IFERROR(__xludf.DUMMYFUNCTION("""COMPUTED_VALUE"""),"JUMBO STORAGE BAG SKULLS")</f>
        <v>JUMBO STORAGE BAG SKULLS</v>
      </c>
      <c r="F727" s="1">
        <f ca="1">IFERROR(__xludf.DUMMYFUNCTION("""COMPUTED_VALUE"""),10)</f>
        <v>10</v>
      </c>
      <c r="G727" s="1">
        <f ca="1">IFERROR(__xludf.DUMMYFUNCTION("""COMPUTED_VALUE"""),1.95)</f>
        <v>1.95</v>
      </c>
      <c r="J727" s="1" t="str">
        <f ca="1">IFERROR(__xludf.DUMMYFUNCTION("""COMPUTED_VALUE"""),"SILVER CHRISTMAS TREE BAUBLE STAND")</f>
        <v>SILVER CHRISTMAS TREE BAUBLE STAND</v>
      </c>
      <c r="K727" s="1">
        <f ca="1">IFERROR(__xludf.DUMMYFUNCTION("""COMPUTED_VALUE"""),1)</f>
        <v>1</v>
      </c>
      <c r="L727" s="1">
        <f ca="1">IFERROR(__xludf.DUMMYFUNCTION("""COMPUTED_VALUE"""),16.95)</f>
        <v>16.95</v>
      </c>
      <c r="T727" s="1">
        <f ca="1">IFERROR(__xludf.DUMMYFUNCTION("""COMPUTED_VALUE"""),489533)</f>
        <v>489533</v>
      </c>
      <c r="U727" s="1">
        <f ca="1">IFERROR(__xludf.DUMMYFUNCTION("""COMPUTED_VALUE"""),16.95)</f>
        <v>16.95</v>
      </c>
    </row>
    <row r="728" spans="1:21" ht="12.75" x14ac:dyDescent="0.2">
      <c r="A728" s="3">
        <f ca="1">IFERROR(__xludf.DUMMYFUNCTION("""COMPUTED_VALUE"""),40148.5013888888)</f>
        <v>40148.501388888799</v>
      </c>
      <c r="B728" s="1">
        <f ca="1">IFERROR(__xludf.DUMMYFUNCTION("""COMPUTED_VALUE"""),3.75)</f>
        <v>3.75</v>
      </c>
      <c r="E728" s="1" t="str">
        <f ca="1">IFERROR(__xludf.DUMMYFUNCTION("""COMPUTED_VALUE"""),"JUMBO BAG RED WHITE SPOTTY")</f>
        <v>JUMBO BAG RED WHITE SPOTTY</v>
      </c>
      <c r="F728" s="1">
        <f ca="1">IFERROR(__xludf.DUMMYFUNCTION("""COMPUTED_VALUE"""),10)</f>
        <v>10</v>
      </c>
      <c r="G728" s="1">
        <f ca="1">IFERROR(__xludf.DUMMYFUNCTION("""COMPUTED_VALUE"""),1.95)</f>
        <v>1.95</v>
      </c>
      <c r="J728" s="1" t="str">
        <f ca="1">IFERROR(__xludf.DUMMYFUNCTION("""COMPUTED_VALUE"""),"CORONA MEXICAN TRAY")</f>
        <v>CORONA MEXICAN TRAY</v>
      </c>
      <c r="K728" s="1">
        <f ca="1">IFERROR(__xludf.DUMMYFUNCTION("""COMPUTED_VALUE"""),1)</f>
        <v>1</v>
      </c>
      <c r="L728" s="1">
        <f ca="1">IFERROR(__xludf.DUMMYFUNCTION("""COMPUTED_VALUE"""),3.75)</f>
        <v>3.75</v>
      </c>
      <c r="T728" s="1">
        <f ca="1">IFERROR(__xludf.DUMMYFUNCTION("""COMPUTED_VALUE"""),489533)</f>
        <v>489533</v>
      </c>
      <c r="U728" s="1">
        <f ca="1">IFERROR(__xludf.DUMMYFUNCTION("""COMPUTED_VALUE"""),3.75)</f>
        <v>3.75</v>
      </c>
    </row>
    <row r="729" spans="1:21" ht="12.75" x14ac:dyDescent="0.2">
      <c r="A729" s="3">
        <f ca="1">IFERROR(__xludf.DUMMYFUNCTION("""COMPUTED_VALUE"""),40148.5013888888)</f>
        <v>40148.501388888799</v>
      </c>
      <c r="B729" s="1">
        <f ca="1">IFERROR(__xludf.DUMMYFUNCTION("""COMPUTED_VALUE"""),3.75)</f>
        <v>3.75</v>
      </c>
      <c r="E729" s="1" t="str">
        <f ca="1">IFERROR(__xludf.DUMMYFUNCTION("""COMPUTED_VALUE"""),"JUMBO  BAG BAROQUE BLACK WHITE")</f>
        <v>JUMBO  BAG BAROQUE BLACK WHITE</v>
      </c>
      <c r="F729" s="1">
        <f ca="1">IFERROR(__xludf.DUMMYFUNCTION("""COMPUTED_VALUE"""),10)</f>
        <v>10</v>
      </c>
      <c r="G729" s="1">
        <f ca="1">IFERROR(__xludf.DUMMYFUNCTION("""COMPUTED_VALUE"""),1.95)</f>
        <v>1.95</v>
      </c>
      <c r="J729" s="1" t="str">
        <f ca="1">IFERROR(__xludf.DUMMYFUNCTION("""COMPUTED_VALUE"""),"MILK PAN RED RETROSPOT")</f>
        <v>MILK PAN RED RETROSPOT</v>
      </c>
      <c r="K729" s="1">
        <f ca="1">IFERROR(__xludf.DUMMYFUNCTION("""COMPUTED_VALUE"""),1)</f>
        <v>1</v>
      </c>
      <c r="L729" s="1">
        <f ca="1">IFERROR(__xludf.DUMMYFUNCTION("""COMPUTED_VALUE"""),3.75)</f>
        <v>3.75</v>
      </c>
      <c r="T729" s="1">
        <f ca="1">IFERROR(__xludf.DUMMYFUNCTION("""COMPUTED_VALUE"""),489533)</f>
        <v>489533</v>
      </c>
      <c r="U729" s="1">
        <f ca="1">IFERROR(__xludf.DUMMYFUNCTION("""COMPUTED_VALUE"""),3.75)</f>
        <v>3.75</v>
      </c>
    </row>
    <row r="730" spans="1:21" ht="12.75" x14ac:dyDescent="0.2">
      <c r="A730" s="3">
        <f ca="1">IFERROR(__xludf.DUMMYFUNCTION("""COMPUTED_VALUE"""),40148.5013888888)</f>
        <v>40148.501388888799</v>
      </c>
      <c r="B730" s="1">
        <f ca="1">IFERROR(__xludf.DUMMYFUNCTION("""COMPUTED_VALUE"""),2.55)</f>
        <v>2.5499999999999998</v>
      </c>
      <c r="E730" s="1" t="str">
        <f ca="1">IFERROR(__xludf.DUMMYFUNCTION("""COMPUTED_VALUE"""),"LUNCH BAG  BLACK SKULL.")</f>
        <v>LUNCH BAG  BLACK SKULL.</v>
      </c>
      <c r="F730" s="1">
        <f ca="1">IFERROR(__xludf.DUMMYFUNCTION("""COMPUTED_VALUE"""),10)</f>
        <v>10</v>
      </c>
      <c r="G730" s="1">
        <f ca="1">IFERROR(__xludf.DUMMYFUNCTION("""COMPUTED_VALUE"""),1.65)</f>
        <v>1.65</v>
      </c>
      <c r="J730" s="1" t="str">
        <f ca="1">IFERROR(__xludf.DUMMYFUNCTION("""COMPUTED_VALUE"""),"RETRO SPOT SMALL MILK JUG")</f>
        <v>RETRO SPOT SMALL MILK JUG</v>
      </c>
      <c r="K730" s="1">
        <f ca="1">IFERROR(__xludf.DUMMYFUNCTION("""COMPUTED_VALUE"""),1)</f>
        <v>1</v>
      </c>
      <c r="L730" s="1">
        <f ca="1">IFERROR(__xludf.DUMMYFUNCTION("""COMPUTED_VALUE"""),2.55)</f>
        <v>2.5499999999999998</v>
      </c>
      <c r="T730" s="1">
        <f ca="1">IFERROR(__xludf.DUMMYFUNCTION("""COMPUTED_VALUE"""),489533)</f>
        <v>489533</v>
      </c>
      <c r="U730" s="1">
        <f ca="1">IFERROR(__xludf.DUMMYFUNCTION("""COMPUTED_VALUE"""),2.55)</f>
        <v>2.5499999999999998</v>
      </c>
    </row>
    <row r="731" spans="1:21" ht="12.75" x14ac:dyDescent="0.2">
      <c r="A731" s="3">
        <f ca="1">IFERROR(__xludf.DUMMYFUNCTION("""COMPUTED_VALUE"""),40148.5013888888)</f>
        <v>40148.501388888799</v>
      </c>
      <c r="B731" s="1">
        <f ca="1">IFERROR(__xludf.DUMMYFUNCTION("""COMPUTED_VALUE"""),3.75)</f>
        <v>3.75</v>
      </c>
      <c r="E731" s="1" t="str">
        <f ca="1">IFERROR(__xludf.DUMMYFUNCTION("""COMPUTED_VALUE"""),"LUNCH BAG WOODLAND")</f>
        <v>LUNCH BAG WOODLAND</v>
      </c>
      <c r="F731" s="1">
        <f ca="1">IFERROR(__xludf.DUMMYFUNCTION("""COMPUTED_VALUE"""),10)</f>
        <v>10</v>
      </c>
      <c r="G731" s="1">
        <f ca="1">IFERROR(__xludf.DUMMYFUNCTION("""COMPUTED_VALUE"""),1.65)</f>
        <v>1.65</v>
      </c>
      <c r="J731" s="1" t="str">
        <f ca="1">IFERROR(__xludf.DUMMYFUNCTION("""COMPUTED_VALUE"""),"DAIRY MAID  PUDDING BOWL")</f>
        <v>DAIRY MAID  PUDDING BOWL</v>
      </c>
      <c r="K731" s="1">
        <f ca="1">IFERROR(__xludf.DUMMYFUNCTION("""COMPUTED_VALUE"""),1)</f>
        <v>1</v>
      </c>
      <c r="L731" s="1">
        <f ca="1">IFERROR(__xludf.DUMMYFUNCTION("""COMPUTED_VALUE"""),3.75)</f>
        <v>3.75</v>
      </c>
      <c r="T731" s="1">
        <f ca="1">IFERROR(__xludf.DUMMYFUNCTION("""COMPUTED_VALUE"""),489533)</f>
        <v>489533</v>
      </c>
      <c r="U731" s="1">
        <f ca="1">IFERROR(__xludf.DUMMYFUNCTION("""COMPUTED_VALUE"""),3.75)</f>
        <v>3.75</v>
      </c>
    </row>
    <row r="732" spans="1:21" ht="12.75" x14ac:dyDescent="0.2">
      <c r="A732" s="3">
        <f ca="1">IFERROR(__xludf.DUMMYFUNCTION("""COMPUTED_VALUE"""),40148.5013888888)</f>
        <v>40148.501388888799</v>
      </c>
      <c r="B732" s="1">
        <f ca="1">IFERROR(__xludf.DUMMYFUNCTION("""COMPUTED_VALUE"""),3.75)</f>
        <v>3.75</v>
      </c>
      <c r="E732" s="1" t="str">
        <f ca="1">IFERROR(__xludf.DUMMYFUNCTION("""COMPUTED_VALUE"""),"PAPER CHAIN KIT RETRO SPOT")</f>
        <v>PAPER CHAIN KIT RETRO SPOT</v>
      </c>
      <c r="F732" s="1">
        <f ca="1">IFERROR(__xludf.DUMMYFUNCTION("""COMPUTED_VALUE"""),6)</f>
        <v>6</v>
      </c>
      <c r="G732" s="1">
        <f ca="1">IFERROR(__xludf.DUMMYFUNCTION("""COMPUTED_VALUE"""),2.95)</f>
        <v>2.95</v>
      </c>
      <c r="J732" s="1" t="str">
        <f ca="1">IFERROR(__xludf.DUMMYFUNCTION("""COMPUTED_VALUE"""),"RETRO SPOT STORAGE JAR")</f>
        <v>RETRO SPOT STORAGE JAR</v>
      </c>
      <c r="K732" s="1">
        <f ca="1">IFERROR(__xludf.DUMMYFUNCTION("""COMPUTED_VALUE"""),1)</f>
        <v>1</v>
      </c>
      <c r="L732" s="1">
        <f ca="1">IFERROR(__xludf.DUMMYFUNCTION("""COMPUTED_VALUE"""),3.75)</f>
        <v>3.75</v>
      </c>
      <c r="T732" s="1">
        <f ca="1">IFERROR(__xludf.DUMMYFUNCTION("""COMPUTED_VALUE"""),489533)</f>
        <v>489533</v>
      </c>
      <c r="U732" s="1">
        <f ca="1">IFERROR(__xludf.DUMMYFUNCTION("""COMPUTED_VALUE"""),3.75)</f>
        <v>3.75</v>
      </c>
    </row>
    <row r="733" spans="1:21" ht="12.75" x14ac:dyDescent="0.2">
      <c r="A733" s="3">
        <f ca="1">IFERROR(__xludf.DUMMYFUNCTION("""COMPUTED_VALUE"""),40148.5013888888)</f>
        <v>40148.501388888799</v>
      </c>
      <c r="B733" s="1">
        <f ca="1">IFERROR(__xludf.DUMMYFUNCTION("""COMPUTED_VALUE"""),4.95)</f>
        <v>4.95</v>
      </c>
      <c r="E733" s="1" t="str">
        <f ca="1">IFERROR(__xludf.DUMMYFUNCTION("""COMPUTED_VALUE"""),"PAPER CHAIN KIT SKULLS")</f>
        <v>PAPER CHAIN KIT SKULLS</v>
      </c>
      <c r="F733" s="1">
        <f ca="1">IFERROR(__xludf.DUMMYFUNCTION("""COMPUTED_VALUE"""),6)</f>
        <v>6</v>
      </c>
      <c r="G733" s="1">
        <f ca="1">IFERROR(__xludf.DUMMYFUNCTION("""COMPUTED_VALUE"""),2.95)</f>
        <v>2.95</v>
      </c>
      <c r="J733" s="1" t="str">
        <f ca="1">IFERROR(__xludf.DUMMYFUNCTION("""COMPUTED_VALUE"""),"DAIRY MAID LARGE MILK JUG")</f>
        <v>DAIRY MAID LARGE MILK JUG</v>
      </c>
      <c r="K733" s="1">
        <f ca="1">IFERROR(__xludf.DUMMYFUNCTION("""COMPUTED_VALUE"""),1)</f>
        <v>1</v>
      </c>
      <c r="L733" s="1">
        <f ca="1">IFERROR(__xludf.DUMMYFUNCTION("""COMPUTED_VALUE"""),4.95)</f>
        <v>4.95</v>
      </c>
      <c r="T733" s="1">
        <f ca="1">IFERROR(__xludf.DUMMYFUNCTION("""COMPUTED_VALUE"""),489533)</f>
        <v>489533</v>
      </c>
      <c r="U733" s="1">
        <f ca="1">IFERROR(__xludf.DUMMYFUNCTION("""COMPUTED_VALUE"""),4.95)</f>
        <v>4.95</v>
      </c>
    </row>
    <row r="734" spans="1:21" ht="12.75" x14ac:dyDescent="0.2">
      <c r="A734" s="3">
        <f ca="1">IFERROR(__xludf.DUMMYFUNCTION("""COMPUTED_VALUE"""),40148.5013888888)</f>
        <v>40148.501388888799</v>
      </c>
      <c r="B734" s="1">
        <f ca="1">IFERROR(__xludf.DUMMYFUNCTION("""COMPUTED_VALUE"""),3.75)</f>
        <v>3.75</v>
      </c>
      <c r="E734" s="1" t="str">
        <f ca="1">IFERROR(__xludf.DUMMYFUNCTION("""COMPUTED_VALUE"""),"BAKING SET 9 PIECE RETROSPOT")</f>
        <v>BAKING SET 9 PIECE RETROSPOT</v>
      </c>
      <c r="F734" s="1">
        <f ca="1">IFERROR(__xludf.DUMMYFUNCTION("""COMPUTED_VALUE"""),3)</f>
        <v>3</v>
      </c>
      <c r="G734" s="1">
        <f ca="1">IFERROR(__xludf.DUMMYFUNCTION("""COMPUTED_VALUE"""),4.95)</f>
        <v>4.95</v>
      </c>
      <c r="J734" s="1" t="str">
        <f ca="1">IFERROR(__xludf.DUMMYFUNCTION("""COMPUTED_VALUE"""),"RETRO SPOT STORAGE JAR")</f>
        <v>RETRO SPOT STORAGE JAR</v>
      </c>
      <c r="K734" s="1">
        <f ca="1">IFERROR(__xludf.DUMMYFUNCTION("""COMPUTED_VALUE"""),1)</f>
        <v>1</v>
      </c>
      <c r="L734" s="1">
        <f ca="1">IFERROR(__xludf.DUMMYFUNCTION("""COMPUTED_VALUE"""),3.75)</f>
        <v>3.75</v>
      </c>
      <c r="T734" s="1">
        <f ca="1">IFERROR(__xludf.DUMMYFUNCTION("""COMPUTED_VALUE"""),489533)</f>
        <v>489533</v>
      </c>
      <c r="U734" s="1">
        <f ca="1">IFERROR(__xludf.DUMMYFUNCTION("""COMPUTED_VALUE"""),3.75)</f>
        <v>3.75</v>
      </c>
    </row>
    <row r="735" spans="1:21" ht="12.75" x14ac:dyDescent="0.2">
      <c r="A735" s="3">
        <f ca="1">IFERROR(__xludf.DUMMYFUNCTION("""COMPUTED_VALUE"""),40148.5013888888)</f>
        <v>40148.501388888799</v>
      </c>
      <c r="B735" s="1">
        <f ca="1">IFERROR(__xludf.DUMMYFUNCTION("""COMPUTED_VALUE"""),4.95)</f>
        <v>4.95</v>
      </c>
      <c r="E735" s="1" t="str">
        <f ca="1">IFERROR(__xludf.DUMMYFUNCTION("""COMPUTED_VALUE"""),"FELT TOADSTOOL LARGE")</f>
        <v>FELT TOADSTOOL LARGE</v>
      </c>
      <c r="F735" s="1">
        <f ca="1">IFERROR(__xludf.DUMMYFUNCTION("""COMPUTED_VALUE"""),12)</f>
        <v>12</v>
      </c>
      <c r="G735" s="1">
        <f ca="1">IFERROR(__xludf.DUMMYFUNCTION("""COMPUTED_VALUE"""),1.25)</f>
        <v>1.25</v>
      </c>
      <c r="J735" s="1" t="str">
        <f ca="1">IFERROR(__xludf.DUMMYFUNCTION("""COMPUTED_VALUE"""),"RETRO SPOT LARGE MILK JUG")</f>
        <v>RETRO SPOT LARGE MILK JUG</v>
      </c>
      <c r="K735" s="1">
        <f ca="1">IFERROR(__xludf.DUMMYFUNCTION("""COMPUTED_VALUE"""),1)</f>
        <v>1</v>
      </c>
      <c r="L735" s="1">
        <f ca="1">IFERROR(__xludf.DUMMYFUNCTION("""COMPUTED_VALUE"""),4.95)</f>
        <v>4.95</v>
      </c>
      <c r="T735" s="1">
        <f ca="1">IFERROR(__xludf.DUMMYFUNCTION("""COMPUTED_VALUE"""),489533)</f>
        <v>489533</v>
      </c>
      <c r="U735" s="1">
        <f ca="1">IFERROR(__xludf.DUMMYFUNCTION("""COMPUTED_VALUE"""),4.95)</f>
        <v>4.95</v>
      </c>
    </row>
    <row r="736" spans="1:21" ht="12.75" x14ac:dyDescent="0.2">
      <c r="A736" s="3">
        <f ca="1">IFERROR(__xludf.DUMMYFUNCTION("""COMPUTED_VALUE"""),40148.5013888888)</f>
        <v>40148.501388888799</v>
      </c>
      <c r="B736" s="1">
        <f ca="1">IFERROR(__xludf.DUMMYFUNCTION("""COMPUTED_VALUE"""),5.95)</f>
        <v>5.95</v>
      </c>
      <c r="E736" s="1" t="str">
        <f ca="1">IFERROR(__xludf.DUMMYFUNCTION("""COMPUTED_VALUE"""),"RIBBON REEL HEARTS DESIGN")</f>
        <v>RIBBON REEL HEARTS DESIGN</v>
      </c>
      <c r="F736" s="1">
        <f ca="1">IFERROR(__xludf.DUMMYFUNCTION("""COMPUTED_VALUE"""),10)</f>
        <v>10</v>
      </c>
      <c r="G736" s="1">
        <f ca="1">IFERROR(__xludf.DUMMYFUNCTION("""COMPUTED_VALUE"""),1.65)</f>
        <v>1.65</v>
      </c>
      <c r="J736" s="1" t="str">
        <f ca="1">IFERROR(__xludf.DUMMYFUNCTION("""COMPUTED_VALUE"""),"BATH BUILDING BLOCK WORD")</f>
        <v>BATH BUILDING BLOCK WORD</v>
      </c>
      <c r="K736" s="1">
        <f ca="1">IFERROR(__xludf.DUMMYFUNCTION("""COMPUTED_VALUE"""),1)</f>
        <v>1</v>
      </c>
      <c r="L736" s="1">
        <f ca="1">IFERROR(__xludf.DUMMYFUNCTION("""COMPUTED_VALUE"""),5.95)</f>
        <v>5.95</v>
      </c>
      <c r="T736" s="1">
        <f ca="1">IFERROR(__xludf.DUMMYFUNCTION("""COMPUTED_VALUE"""),489533)</f>
        <v>489533</v>
      </c>
      <c r="U736" s="1">
        <f ca="1">IFERROR(__xludf.DUMMYFUNCTION("""COMPUTED_VALUE"""),5.95)</f>
        <v>5.95</v>
      </c>
    </row>
    <row r="737" spans="1:21" ht="12.75" x14ac:dyDescent="0.2">
      <c r="A737" s="3">
        <f ca="1">IFERROR(__xludf.DUMMYFUNCTION("""COMPUTED_VALUE"""),40148.5013888888)</f>
        <v>40148.501388888799</v>
      </c>
      <c r="B737" s="1">
        <f ca="1">IFERROR(__xludf.DUMMYFUNCTION("""COMPUTED_VALUE"""),4.95)</f>
        <v>4.95</v>
      </c>
      <c r="E737" s="1" t="str">
        <f ca="1">IFERROR(__xludf.DUMMYFUNCTION("""COMPUTED_VALUE"""),"APPLE BATH SPONGE")</f>
        <v>APPLE BATH SPONGE</v>
      </c>
      <c r="F737" s="1">
        <f ca="1">IFERROR(__xludf.DUMMYFUNCTION("""COMPUTED_VALUE"""),10)</f>
        <v>10</v>
      </c>
      <c r="G737" s="1">
        <f ca="1">IFERROR(__xludf.DUMMYFUNCTION("""COMPUTED_VALUE"""),1.25)</f>
        <v>1.25</v>
      </c>
      <c r="J737" s="1" t="str">
        <f ca="1">IFERROR(__xludf.DUMMYFUNCTION("""COMPUTED_VALUE"""),"JOY WOODEN BLOCK LETTERS")</f>
        <v>JOY WOODEN BLOCK LETTERS</v>
      </c>
      <c r="K737" s="1">
        <f ca="1">IFERROR(__xludf.DUMMYFUNCTION("""COMPUTED_VALUE"""),1)</f>
        <v>1</v>
      </c>
      <c r="L737" s="1">
        <f ca="1">IFERROR(__xludf.DUMMYFUNCTION("""COMPUTED_VALUE"""),4.95)</f>
        <v>4.95</v>
      </c>
      <c r="T737" s="1">
        <f ca="1">IFERROR(__xludf.DUMMYFUNCTION("""COMPUTED_VALUE"""),489533)</f>
        <v>489533</v>
      </c>
      <c r="U737" s="1">
        <f ca="1">IFERROR(__xludf.DUMMYFUNCTION("""COMPUTED_VALUE"""),4.95)</f>
        <v>4.95</v>
      </c>
    </row>
    <row r="738" spans="1:21" ht="12.75" x14ac:dyDescent="0.2">
      <c r="A738" s="3">
        <f ca="1">IFERROR(__xludf.DUMMYFUNCTION("""COMPUTED_VALUE"""),40148.50625)</f>
        <v>40148.506249999999</v>
      </c>
      <c r="B738" s="1">
        <f ca="1">IFERROR(__xludf.DUMMYFUNCTION("""COMPUTED_VALUE"""),5.95)</f>
        <v>5.95</v>
      </c>
      <c r="E738" s="1" t="str">
        <f ca="1">IFERROR(__xludf.DUMMYFUNCTION("""COMPUTED_VALUE"""),"VINTAGE RED TEATIME MUG")</f>
        <v>VINTAGE RED TEATIME MUG</v>
      </c>
      <c r="F738" s="1">
        <f ca="1">IFERROR(__xludf.DUMMYFUNCTION("""COMPUTED_VALUE"""),6)</f>
        <v>6</v>
      </c>
      <c r="G738" s="1">
        <f ca="1">IFERROR(__xludf.DUMMYFUNCTION("""COMPUTED_VALUE"""),1.25)</f>
        <v>1.25</v>
      </c>
      <c r="J738" s="1" t="str">
        <f ca="1">IFERROR(__xludf.DUMMYFUNCTION("""COMPUTED_VALUE"""),"WOOLLY HAT SOCK GLOVE ADVENT STRING")</f>
        <v>WOOLLY HAT SOCK GLOVE ADVENT STRING</v>
      </c>
      <c r="K738" s="1">
        <f ca="1">IFERROR(__xludf.DUMMYFUNCTION("""COMPUTED_VALUE"""),-1)</f>
        <v>-1</v>
      </c>
      <c r="L738" s="1">
        <f ca="1">IFERROR(__xludf.DUMMYFUNCTION("""COMPUTED_VALUE"""),5.95)</f>
        <v>5.95</v>
      </c>
      <c r="T738" s="1"/>
      <c r="U738" s="1">
        <f ca="1">IFERROR(__xludf.DUMMYFUNCTION("""COMPUTED_VALUE"""),-5.95)</f>
        <v>-5.95</v>
      </c>
    </row>
    <row r="739" spans="1:21" ht="12.75" x14ac:dyDescent="0.2">
      <c r="A739" s="3">
        <f ca="1">IFERROR(__xludf.DUMMYFUNCTION("""COMPUTED_VALUE"""),40148.5076388888)</f>
        <v>40148.507638888797</v>
      </c>
      <c r="B739" s="1">
        <f ca="1">IFERROR(__xludf.DUMMYFUNCTION("""COMPUTED_VALUE"""),9)</f>
        <v>9</v>
      </c>
      <c r="E739" s="1" t="str">
        <f ca="1">IFERROR(__xludf.DUMMYFUNCTION("""COMPUTED_VALUE"""),"GLASS CHALICE BLUE  LARGE")</f>
        <v>GLASS CHALICE BLUE  LARGE</v>
      </c>
      <c r="F739" s="1">
        <f ca="1">IFERROR(__xludf.DUMMYFUNCTION("""COMPUTED_VALUE"""),6)</f>
        <v>6</v>
      </c>
      <c r="G739" s="1">
        <f ca="1">IFERROR(__xludf.DUMMYFUNCTION("""COMPUTED_VALUE"""),2.55)</f>
        <v>2.5499999999999998</v>
      </c>
      <c r="J739" s="1" t="str">
        <f ca="1">IFERROR(__xludf.DUMMYFUNCTION("""COMPUTED_VALUE"""),"Discount")</f>
        <v>Discount</v>
      </c>
      <c r="K739" s="1">
        <f ca="1">IFERROR(__xludf.DUMMYFUNCTION("""COMPUTED_VALUE"""),-1)</f>
        <v>-1</v>
      </c>
      <c r="L739" s="1">
        <f ca="1">IFERROR(__xludf.DUMMYFUNCTION("""COMPUTED_VALUE"""),9)</f>
        <v>9</v>
      </c>
      <c r="T739" s="1"/>
      <c r="U739" s="1">
        <f ca="1">IFERROR(__xludf.DUMMYFUNCTION("""COMPUTED_VALUE"""),-9)</f>
        <v>-9</v>
      </c>
    </row>
    <row r="740" spans="1:21" ht="12.75" x14ac:dyDescent="0.2">
      <c r="A740" s="3">
        <f ca="1">IFERROR(__xludf.DUMMYFUNCTION("""COMPUTED_VALUE"""),40148.5076388888)</f>
        <v>40148.507638888797</v>
      </c>
      <c r="B740" s="1">
        <f ca="1">IFERROR(__xludf.DUMMYFUNCTION("""COMPUTED_VALUE"""),19)</f>
        <v>19</v>
      </c>
      <c r="E740" s="1" t="str">
        <f ca="1">IFERROR(__xludf.DUMMYFUNCTION("""COMPUTED_VALUE"""),"GLASS CHALICE GREEN  LARGE")</f>
        <v>GLASS CHALICE GREEN  LARGE</v>
      </c>
      <c r="F740" s="1">
        <f ca="1">IFERROR(__xludf.DUMMYFUNCTION("""COMPUTED_VALUE"""),6)</f>
        <v>6</v>
      </c>
      <c r="G740" s="1">
        <f ca="1">IFERROR(__xludf.DUMMYFUNCTION("""COMPUTED_VALUE"""),2.55)</f>
        <v>2.5499999999999998</v>
      </c>
      <c r="J740" s="1" t="str">
        <f ca="1">IFERROR(__xludf.DUMMYFUNCTION("""COMPUTED_VALUE"""),"Discount")</f>
        <v>Discount</v>
      </c>
      <c r="K740" s="1">
        <f ca="1">IFERROR(__xludf.DUMMYFUNCTION("""COMPUTED_VALUE"""),-1)</f>
        <v>-1</v>
      </c>
      <c r="L740" s="1">
        <f ca="1">IFERROR(__xludf.DUMMYFUNCTION("""COMPUTED_VALUE"""),19)</f>
        <v>19</v>
      </c>
      <c r="T740" s="1"/>
      <c r="U740" s="1">
        <f ca="1">IFERROR(__xludf.DUMMYFUNCTION("""COMPUTED_VALUE"""),-19)</f>
        <v>-19</v>
      </c>
    </row>
    <row r="741" spans="1:21" ht="12.75" x14ac:dyDescent="0.2">
      <c r="A741" s="3">
        <f ca="1">IFERROR(__xludf.DUMMYFUNCTION("""COMPUTED_VALUE"""),40148.5090277777)</f>
        <v>40148.509027777698</v>
      </c>
      <c r="B741" s="1">
        <f ca="1">IFERROR(__xludf.DUMMYFUNCTION("""COMPUTED_VALUE"""),0.85)</f>
        <v>0.85</v>
      </c>
      <c r="E741" s="1" t="str">
        <f ca="1">IFERROR(__xludf.DUMMYFUNCTION("""COMPUTED_VALUE"""),"COFFEE MUG PEARS  DESIGN")</f>
        <v>COFFEE MUG PEARS  DESIGN</v>
      </c>
      <c r="F741" s="1">
        <f ca="1">IFERROR(__xludf.DUMMYFUNCTION("""COMPUTED_VALUE"""),6)</f>
        <v>6</v>
      </c>
      <c r="G741" s="1">
        <f ca="1">IFERROR(__xludf.DUMMYFUNCTION("""COMPUTED_VALUE"""),2.55)</f>
        <v>2.5499999999999998</v>
      </c>
      <c r="J741" s="1" t="str">
        <f ca="1">IFERROR(__xludf.DUMMYFUNCTION("""COMPUTED_VALUE"""),"CHARLOTTE BAG , SUKI DESIGN")</f>
        <v>CHARLOTTE BAG , SUKI DESIGN</v>
      </c>
      <c r="K741" s="1">
        <f ca="1">IFERROR(__xludf.DUMMYFUNCTION("""COMPUTED_VALUE"""),9)</f>
        <v>9</v>
      </c>
      <c r="L741" s="1">
        <f ca="1">IFERROR(__xludf.DUMMYFUNCTION("""COMPUTED_VALUE"""),0.85)</f>
        <v>0.85</v>
      </c>
      <c r="T741" s="1">
        <f ca="1">IFERROR(__xludf.DUMMYFUNCTION("""COMPUTED_VALUE"""),489536)</f>
        <v>489536</v>
      </c>
      <c r="U741" s="1">
        <f ca="1">IFERROR(__xludf.DUMMYFUNCTION("""COMPUTED_VALUE"""),7.64999999999999)</f>
        <v>7.6499999999999897</v>
      </c>
    </row>
    <row r="742" spans="1:21" ht="12.75" x14ac:dyDescent="0.2">
      <c r="A742" s="3">
        <f ca="1">IFERROR(__xludf.DUMMYFUNCTION("""COMPUTED_VALUE"""),40148.5090277777)</f>
        <v>40148.509027777698</v>
      </c>
      <c r="B742" s="1">
        <f ca="1">IFERROR(__xludf.DUMMYFUNCTION("""COMPUTED_VALUE"""),0.65)</f>
        <v>0.65</v>
      </c>
      <c r="E742" s="1" t="str">
        <f ca="1">IFERROR(__xludf.DUMMYFUNCTION("""COMPUTED_VALUE"""),"COFFEE MUG APPLES DESIGN")</f>
        <v>COFFEE MUG APPLES DESIGN</v>
      </c>
      <c r="F742" s="1">
        <f ca="1">IFERROR(__xludf.DUMMYFUNCTION("""COMPUTED_VALUE"""),6)</f>
        <v>6</v>
      </c>
      <c r="G742" s="1">
        <f ca="1">IFERROR(__xludf.DUMMYFUNCTION("""COMPUTED_VALUE"""),2.55)</f>
        <v>2.5499999999999998</v>
      </c>
      <c r="J742" s="1" t="str">
        <f ca="1">IFERROR(__xludf.DUMMYFUNCTION("""COMPUTED_VALUE"""),"12 PENCILS SMALL TUBE RED SPOTTY")</f>
        <v>12 PENCILS SMALL TUBE RED SPOTTY</v>
      </c>
      <c r="K742" s="1">
        <f ca="1">IFERROR(__xludf.DUMMYFUNCTION("""COMPUTED_VALUE"""),7)</f>
        <v>7</v>
      </c>
      <c r="L742" s="1">
        <f ca="1">IFERROR(__xludf.DUMMYFUNCTION("""COMPUTED_VALUE"""),0.65)</f>
        <v>0.65</v>
      </c>
      <c r="T742" s="1">
        <f ca="1">IFERROR(__xludf.DUMMYFUNCTION("""COMPUTED_VALUE"""),489536)</f>
        <v>489536</v>
      </c>
      <c r="U742" s="1">
        <f ca="1">IFERROR(__xludf.DUMMYFUNCTION("""COMPUTED_VALUE"""),4.55)</f>
        <v>4.55</v>
      </c>
    </row>
    <row r="743" spans="1:21" ht="12.75" x14ac:dyDescent="0.2">
      <c r="A743" s="3">
        <f ca="1">IFERROR(__xludf.DUMMYFUNCTION("""COMPUTED_VALUE"""),40148.5090277777)</f>
        <v>40148.509027777698</v>
      </c>
      <c r="B743" s="1">
        <f ca="1">IFERROR(__xludf.DUMMYFUNCTION("""COMPUTED_VALUE"""),1.25)</f>
        <v>1.25</v>
      </c>
      <c r="E743" s="1" t="str">
        <f ca="1">IFERROR(__xludf.DUMMYFUNCTION("""COMPUTED_VALUE"""),"WHITE DOVE HONEYCOMB PAPER GARLAND")</f>
        <v>WHITE DOVE HONEYCOMB PAPER GARLAND</v>
      </c>
      <c r="F743" s="1">
        <f ca="1">IFERROR(__xludf.DUMMYFUNCTION("""COMPUTED_VALUE"""),6)</f>
        <v>6</v>
      </c>
      <c r="G743" s="1">
        <f ca="1">IFERROR(__xludf.DUMMYFUNCTION("""COMPUTED_VALUE"""),1.65)</f>
        <v>1.65</v>
      </c>
      <c r="J743" s="1" t="str">
        <f ca="1">IFERROR(__xludf.DUMMYFUNCTION("""COMPUTED_VALUE"""),"VINTAGE HEADS AND TAILS CARD GAME")</f>
        <v>VINTAGE HEADS AND TAILS CARD GAME</v>
      </c>
      <c r="K743" s="1">
        <f ca="1">IFERROR(__xludf.DUMMYFUNCTION("""COMPUTED_VALUE"""),6)</f>
        <v>6</v>
      </c>
      <c r="L743" s="1">
        <f ca="1">IFERROR(__xludf.DUMMYFUNCTION("""COMPUTED_VALUE"""),1.25)</f>
        <v>1.25</v>
      </c>
      <c r="T743" s="1">
        <f ca="1">IFERROR(__xludf.DUMMYFUNCTION("""COMPUTED_VALUE"""),489536)</f>
        <v>489536</v>
      </c>
      <c r="U743" s="1">
        <f ca="1">IFERROR(__xludf.DUMMYFUNCTION("""COMPUTED_VALUE"""),7.5)</f>
        <v>7.5</v>
      </c>
    </row>
    <row r="744" spans="1:21" ht="12.75" x14ac:dyDescent="0.2">
      <c r="A744" s="3">
        <f ca="1">IFERROR(__xludf.DUMMYFUNCTION("""COMPUTED_VALUE"""),40148.5090277777)</f>
        <v>40148.509027777698</v>
      </c>
      <c r="B744" s="1">
        <f ca="1">IFERROR(__xludf.DUMMYFUNCTION("""COMPUTED_VALUE"""),0.85)</f>
        <v>0.85</v>
      </c>
      <c r="E744" s="1" t="str">
        <f ca="1">IFERROR(__xludf.DUMMYFUNCTION("""COMPUTED_VALUE"""),"LARGE HEART MEASURING SPOONS")</f>
        <v>LARGE HEART MEASURING SPOONS</v>
      </c>
      <c r="F744" s="1">
        <f ca="1">IFERROR(__xludf.DUMMYFUNCTION("""COMPUTED_VALUE"""),5)</f>
        <v>5</v>
      </c>
      <c r="G744" s="1">
        <f ca="1">IFERROR(__xludf.DUMMYFUNCTION("""COMPUTED_VALUE"""),1.65)</f>
        <v>1.65</v>
      </c>
      <c r="J744" s="1" t="str">
        <f ca="1">IFERROR(__xludf.DUMMYFUNCTION("""COMPUTED_VALUE"""),"HEARTS  STICKERS")</f>
        <v>HEARTS  STICKERS</v>
      </c>
      <c r="K744" s="1">
        <f ca="1">IFERROR(__xludf.DUMMYFUNCTION("""COMPUTED_VALUE"""),6)</f>
        <v>6</v>
      </c>
      <c r="L744" s="1">
        <f ca="1">IFERROR(__xludf.DUMMYFUNCTION("""COMPUTED_VALUE"""),0.85)</f>
        <v>0.85</v>
      </c>
      <c r="T744" s="1">
        <f ca="1">IFERROR(__xludf.DUMMYFUNCTION("""COMPUTED_VALUE"""),489536)</f>
        <v>489536</v>
      </c>
      <c r="U744" s="1">
        <f ca="1">IFERROR(__xludf.DUMMYFUNCTION("""COMPUTED_VALUE"""),5.1)</f>
        <v>5.0999999999999996</v>
      </c>
    </row>
    <row r="745" spans="1:21" ht="12.75" x14ac:dyDescent="0.2">
      <c r="A745" s="3">
        <f ca="1">IFERROR(__xludf.DUMMYFUNCTION("""COMPUTED_VALUE"""),40148.5090277777)</f>
        <v>40148.509027777698</v>
      </c>
      <c r="B745" s="1">
        <f ca="1">IFERROR(__xludf.DUMMYFUNCTION("""COMPUTED_VALUE"""),0.85)</f>
        <v>0.85</v>
      </c>
      <c r="E745" s="1" t="str">
        <f ca="1">IFERROR(__xludf.DUMMYFUNCTION("""COMPUTED_VALUE"""),"RIBBON REEL SPOTS DESIGN")</f>
        <v>RIBBON REEL SPOTS DESIGN</v>
      </c>
      <c r="F745" s="1">
        <f ca="1">IFERROR(__xludf.DUMMYFUNCTION("""COMPUTED_VALUE"""),5)</f>
        <v>5</v>
      </c>
      <c r="G745" s="1">
        <f ca="1">IFERROR(__xludf.DUMMYFUNCTION("""COMPUTED_VALUE"""),1.65)</f>
        <v>1.65</v>
      </c>
      <c r="J745" s="1" t="str">
        <f ca="1">IFERROR(__xludf.DUMMYFUNCTION("""COMPUTED_VALUE"""),"WOODLAND  STICKERS")</f>
        <v>WOODLAND  STICKERS</v>
      </c>
      <c r="K745" s="1">
        <f ca="1">IFERROR(__xludf.DUMMYFUNCTION("""COMPUTED_VALUE"""),6)</f>
        <v>6</v>
      </c>
      <c r="L745" s="1">
        <f ca="1">IFERROR(__xludf.DUMMYFUNCTION("""COMPUTED_VALUE"""),0.85)</f>
        <v>0.85</v>
      </c>
      <c r="T745" s="1">
        <f ca="1">IFERROR(__xludf.DUMMYFUNCTION("""COMPUTED_VALUE"""),489536)</f>
        <v>489536</v>
      </c>
      <c r="U745" s="1">
        <f ca="1">IFERROR(__xludf.DUMMYFUNCTION("""COMPUTED_VALUE"""),5.1)</f>
        <v>5.0999999999999996</v>
      </c>
    </row>
    <row r="746" spans="1:21" ht="12.75" x14ac:dyDescent="0.2">
      <c r="A746" s="3">
        <f ca="1">IFERROR(__xludf.DUMMYFUNCTION("""COMPUTED_VALUE"""),40148.5090277777)</f>
        <v>40148.509027777698</v>
      </c>
      <c r="B746" s="1">
        <f ca="1">IFERROR(__xludf.DUMMYFUNCTION("""COMPUTED_VALUE"""),1.25)</f>
        <v>1.25</v>
      </c>
      <c r="E746" s="1" t="str">
        <f ca="1">IFERROR(__xludf.DUMMYFUNCTION("""COMPUTED_VALUE"""),"FELTCRAFT DOLL MOLLY")</f>
        <v>FELTCRAFT DOLL MOLLY</v>
      </c>
      <c r="F746" s="1">
        <f ca="1">IFERROR(__xludf.DUMMYFUNCTION("""COMPUTED_VALUE"""),3)</f>
        <v>3</v>
      </c>
      <c r="G746" s="1">
        <f ca="1">IFERROR(__xludf.DUMMYFUNCTION("""COMPUTED_VALUE"""),2.95)</f>
        <v>2.95</v>
      </c>
      <c r="J746" s="1" t="str">
        <f ca="1">IFERROR(__xludf.DUMMYFUNCTION("""COMPUTED_VALUE"""),"ANTIQUE SILVER TEA GLASS ETCHED")</f>
        <v>ANTIQUE SILVER TEA GLASS ETCHED</v>
      </c>
      <c r="K746" s="1">
        <f ca="1">IFERROR(__xludf.DUMMYFUNCTION("""COMPUTED_VALUE"""),6)</f>
        <v>6</v>
      </c>
      <c r="L746" s="1">
        <f ca="1">IFERROR(__xludf.DUMMYFUNCTION("""COMPUTED_VALUE"""),1.25)</f>
        <v>1.25</v>
      </c>
      <c r="T746" s="1">
        <f ca="1">IFERROR(__xludf.DUMMYFUNCTION("""COMPUTED_VALUE"""),489536)</f>
        <v>489536</v>
      </c>
      <c r="U746" s="1">
        <f ca="1">IFERROR(__xludf.DUMMYFUNCTION("""COMPUTED_VALUE"""),7.5)</f>
        <v>7.5</v>
      </c>
    </row>
    <row r="747" spans="1:21" ht="12.75" x14ac:dyDescent="0.2">
      <c r="A747" s="3">
        <f ca="1">IFERROR(__xludf.DUMMYFUNCTION("""COMPUTED_VALUE"""),40148.5090277777)</f>
        <v>40148.509027777698</v>
      </c>
      <c r="B747" s="1">
        <f ca="1">IFERROR(__xludf.DUMMYFUNCTION("""COMPUTED_VALUE"""),1.95)</f>
        <v>1.95</v>
      </c>
      <c r="E747" s="1" t="str">
        <f ca="1">IFERROR(__xludf.DUMMYFUNCTION("""COMPUTED_VALUE"""),"BAKING SET 9 PIECE RETROSPOT")</f>
        <v>BAKING SET 9 PIECE RETROSPOT</v>
      </c>
      <c r="F747" s="1">
        <f ca="1">IFERROR(__xludf.DUMMYFUNCTION("""COMPUTED_VALUE"""),3)</f>
        <v>3</v>
      </c>
      <c r="G747" s="1">
        <f ca="1">IFERROR(__xludf.DUMMYFUNCTION("""COMPUTED_VALUE"""),4.95)</f>
        <v>4.95</v>
      </c>
      <c r="J747" s="1" t="str">
        <f ca="1">IFERROR(__xludf.DUMMYFUNCTION("""COMPUTED_VALUE"""),"JUMBO STORAGE BAG SUKI")</f>
        <v>JUMBO STORAGE BAG SUKI</v>
      </c>
      <c r="K747" s="1">
        <f ca="1">IFERROR(__xludf.DUMMYFUNCTION("""COMPUTED_VALUE"""),5)</f>
        <v>5</v>
      </c>
      <c r="L747" s="1">
        <f ca="1">IFERROR(__xludf.DUMMYFUNCTION("""COMPUTED_VALUE"""),1.95)</f>
        <v>1.95</v>
      </c>
      <c r="T747" s="1">
        <f ca="1">IFERROR(__xludf.DUMMYFUNCTION("""COMPUTED_VALUE"""),489536)</f>
        <v>489536</v>
      </c>
      <c r="U747" s="1">
        <f ca="1">IFERROR(__xludf.DUMMYFUNCTION("""COMPUTED_VALUE"""),9.75)</f>
        <v>9.75</v>
      </c>
    </row>
    <row r="748" spans="1:21" ht="12.75" x14ac:dyDescent="0.2">
      <c r="A748" s="3">
        <f ca="1">IFERROR(__xludf.DUMMYFUNCTION("""COMPUTED_VALUE"""),40148.5090277777)</f>
        <v>40148.509027777698</v>
      </c>
      <c r="B748" s="1">
        <f ca="1">IFERROR(__xludf.DUMMYFUNCTION("""COMPUTED_VALUE"""),1.95)</f>
        <v>1.95</v>
      </c>
      <c r="E748" s="1" t="str">
        <f ca="1">IFERROR(__xludf.DUMMYFUNCTION("""COMPUTED_VALUE"""),"PAPER CHAIN KIT 50'S CHRISTMAS")</f>
        <v>PAPER CHAIN KIT 50'S CHRISTMAS</v>
      </c>
      <c r="F748" s="1">
        <f ca="1">IFERROR(__xludf.DUMMYFUNCTION("""COMPUTED_VALUE"""),3)</f>
        <v>3</v>
      </c>
      <c r="G748" s="1">
        <f ca="1">IFERROR(__xludf.DUMMYFUNCTION("""COMPUTED_VALUE"""),2.95)</f>
        <v>2.95</v>
      </c>
      <c r="J748" s="1" t="str">
        <f ca="1">IFERROR(__xludf.DUMMYFUNCTION("""COMPUTED_VALUE"""),"JUMBO BAG RED WHITE SPOTTY")</f>
        <v>JUMBO BAG RED WHITE SPOTTY</v>
      </c>
      <c r="K748" s="1">
        <f ca="1">IFERROR(__xludf.DUMMYFUNCTION("""COMPUTED_VALUE"""),5)</f>
        <v>5</v>
      </c>
      <c r="L748" s="1">
        <f ca="1">IFERROR(__xludf.DUMMYFUNCTION("""COMPUTED_VALUE"""),1.95)</f>
        <v>1.95</v>
      </c>
      <c r="T748" s="1">
        <f ca="1">IFERROR(__xludf.DUMMYFUNCTION("""COMPUTED_VALUE"""),489536)</f>
        <v>489536</v>
      </c>
      <c r="U748" s="1">
        <f ca="1">IFERROR(__xludf.DUMMYFUNCTION("""COMPUTED_VALUE"""),9.75)</f>
        <v>9.75</v>
      </c>
    </row>
    <row r="749" spans="1:21" ht="12.75" x14ac:dyDescent="0.2">
      <c r="A749" s="3">
        <f ca="1">IFERROR(__xludf.DUMMYFUNCTION("""COMPUTED_VALUE"""),40148.5090277777)</f>
        <v>40148.509027777698</v>
      </c>
      <c r="B749" s="1">
        <f ca="1">IFERROR(__xludf.DUMMYFUNCTION("""COMPUTED_VALUE"""),1.65)</f>
        <v>1.65</v>
      </c>
      <c r="E749" s="1" t="str">
        <f ca="1">IFERROR(__xludf.DUMMYFUNCTION("""COMPUTED_VALUE"""),"SKULL LUNCHBOX WITH CUTLERY")</f>
        <v>SKULL LUNCHBOX WITH CUTLERY</v>
      </c>
      <c r="F749" s="1">
        <f ca="1">IFERROR(__xludf.DUMMYFUNCTION("""COMPUTED_VALUE"""),3)</f>
        <v>3</v>
      </c>
      <c r="G749" s="1">
        <f ca="1">IFERROR(__xludf.DUMMYFUNCTION("""COMPUTED_VALUE"""),2.55)</f>
        <v>2.5499999999999998</v>
      </c>
      <c r="J749" s="1" t="str">
        <f ca="1">IFERROR(__xludf.DUMMYFUNCTION("""COMPUTED_VALUE"""),"LUNCH BAG CARS BLUE")</f>
        <v>LUNCH BAG CARS BLUE</v>
      </c>
      <c r="K749" s="1">
        <f ca="1">IFERROR(__xludf.DUMMYFUNCTION("""COMPUTED_VALUE"""),4)</f>
        <v>4</v>
      </c>
      <c r="L749" s="1">
        <f ca="1">IFERROR(__xludf.DUMMYFUNCTION("""COMPUTED_VALUE"""),1.65)</f>
        <v>1.65</v>
      </c>
      <c r="T749" s="1">
        <f ca="1">IFERROR(__xludf.DUMMYFUNCTION("""COMPUTED_VALUE"""),489536)</f>
        <v>489536</v>
      </c>
      <c r="U749" s="1">
        <f ca="1">IFERROR(__xludf.DUMMYFUNCTION("""COMPUTED_VALUE"""),6.6)</f>
        <v>6.6</v>
      </c>
    </row>
    <row r="750" spans="1:21" ht="12.75" x14ac:dyDescent="0.2">
      <c r="A750" s="3">
        <f ca="1">IFERROR(__xludf.DUMMYFUNCTION("""COMPUTED_VALUE"""),40148.5090277777)</f>
        <v>40148.509027777698</v>
      </c>
      <c r="B750" s="1">
        <f ca="1">IFERROR(__xludf.DUMMYFUNCTION("""COMPUTED_VALUE"""),1.65)</f>
        <v>1.65</v>
      </c>
      <c r="E750" s="1" t="str">
        <f ca="1">IFERROR(__xludf.DUMMYFUNCTION("""COMPUTED_VALUE"""),"ROSE DU SUD CHILDS APRON")</f>
        <v>ROSE DU SUD CHILDS APRON</v>
      </c>
      <c r="F750" s="1">
        <f ca="1">IFERROR(__xludf.DUMMYFUNCTION("""COMPUTED_VALUE"""),3)</f>
        <v>3</v>
      </c>
      <c r="G750" s="1">
        <f ca="1">IFERROR(__xludf.DUMMYFUNCTION("""COMPUTED_VALUE"""),4.25)</f>
        <v>4.25</v>
      </c>
      <c r="J750" s="1" t="str">
        <f ca="1">IFERROR(__xludf.DUMMYFUNCTION("""COMPUTED_VALUE"""),"PINK DOUGHNUT TRINKET POT")</f>
        <v>PINK DOUGHNUT TRINKET POT</v>
      </c>
      <c r="K750" s="1">
        <f ca="1">IFERROR(__xludf.DUMMYFUNCTION("""COMPUTED_VALUE"""),4)</f>
        <v>4</v>
      </c>
      <c r="L750" s="1">
        <f ca="1">IFERROR(__xludf.DUMMYFUNCTION("""COMPUTED_VALUE"""),1.65)</f>
        <v>1.65</v>
      </c>
      <c r="T750" s="1">
        <f ca="1">IFERROR(__xludf.DUMMYFUNCTION("""COMPUTED_VALUE"""),489536)</f>
        <v>489536</v>
      </c>
      <c r="U750" s="1">
        <f ca="1">IFERROR(__xludf.DUMMYFUNCTION("""COMPUTED_VALUE"""),6.6)</f>
        <v>6.6</v>
      </c>
    </row>
    <row r="751" spans="1:21" ht="12.75" x14ac:dyDescent="0.2">
      <c r="A751" s="3">
        <f ca="1">IFERROR(__xludf.DUMMYFUNCTION("""COMPUTED_VALUE"""),40148.5090277777)</f>
        <v>40148.509027777698</v>
      </c>
      <c r="B751" s="1">
        <f ca="1">IFERROR(__xludf.DUMMYFUNCTION("""COMPUTED_VALUE"""),1.65)</f>
        <v>1.65</v>
      </c>
      <c r="E751" s="1" t="str">
        <f ca="1">IFERROR(__xludf.DUMMYFUNCTION("""COMPUTED_VALUE"""),"RETRO BLUE SPOTTY WASHING UP GLOVES")</f>
        <v>RETRO BLUE SPOTTY WASHING UP GLOVES</v>
      </c>
      <c r="F751" s="1">
        <f ca="1">IFERROR(__xludf.DUMMYFUNCTION("""COMPUTED_VALUE"""),3)</f>
        <v>3</v>
      </c>
      <c r="G751" s="1">
        <f ca="1">IFERROR(__xludf.DUMMYFUNCTION("""COMPUTED_VALUE"""),2.1)</f>
        <v>2.1</v>
      </c>
      <c r="J751" s="1" t="str">
        <f ca="1">IFERROR(__xludf.DUMMYFUNCTION("""COMPUTED_VALUE"""),"BLACK PIRATE TREASURE CHEST")</f>
        <v>BLACK PIRATE TREASURE CHEST</v>
      </c>
      <c r="K751" s="1">
        <f ca="1">IFERROR(__xludf.DUMMYFUNCTION("""COMPUTED_VALUE"""),4)</f>
        <v>4</v>
      </c>
      <c r="L751" s="1">
        <f ca="1">IFERROR(__xludf.DUMMYFUNCTION("""COMPUTED_VALUE"""),1.65)</f>
        <v>1.65</v>
      </c>
      <c r="T751" s="1">
        <f ca="1">IFERROR(__xludf.DUMMYFUNCTION("""COMPUTED_VALUE"""),489536)</f>
        <v>489536</v>
      </c>
      <c r="U751" s="1">
        <f ca="1">IFERROR(__xludf.DUMMYFUNCTION("""COMPUTED_VALUE"""),6.6)</f>
        <v>6.6</v>
      </c>
    </row>
    <row r="752" spans="1:21" ht="12.75" x14ac:dyDescent="0.2">
      <c r="A752" s="3">
        <f ca="1">IFERROR(__xludf.DUMMYFUNCTION("""COMPUTED_VALUE"""),40148.5090277777)</f>
        <v>40148.509027777698</v>
      </c>
      <c r="B752" s="1">
        <f ca="1">IFERROR(__xludf.DUMMYFUNCTION("""COMPUTED_VALUE"""),2.25)</f>
        <v>2.25</v>
      </c>
      <c r="E752" s="1" t="str">
        <f ca="1">IFERROR(__xludf.DUMMYFUNCTION("""COMPUTED_VALUE"""),"PAPER CHAIN KIT RETRO SPOT")</f>
        <v>PAPER CHAIN KIT RETRO SPOT</v>
      </c>
      <c r="F752" s="1">
        <f ca="1">IFERROR(__xludf.DUMMYFUNCTION("""COMPUTED_VALUE"""),3)</f>
        <v>3</v>
      </c>
      <c r="G752" s="1">
        <f ca="1">IFERROR(__xludf.DUMMYFUNCTION("""COMPUTED_VALUE"""),2.95)</f>
        <v>2.95</v>
      </c>
      <c r="J752" s="1" t="str">
        <f ca="1">IFERROR(__xludf.DUMMYFUNCTION("""COMPUTED_VALUE"""),"SKULLS  DESIGN  COTTON TOTE BAG")</f>
        <v>SKULLS  DESIGN  COTTON TOTE BAG</v>
      </c>
      <c r="K752" s="1">
        <f ca="1">IFERROR(__xludf.DUMMYFUNCTION("""COMPUTED_VALUE"""),4)</f>
        <v>4</v>
      </c>
      <c r="L752" s="1">
        <f ca="1">IFERROR(__xludf.DUMMYFUNCTION("""COMPUTED_VALUE"""),2.25)</f>
        <v>2.25</v>
      </c>
      <c r="T752" s="1">
        <f ca="1">IFERROR(__xludf.DUMMYFUNCTION("""COMPUTED_VALUE"""),489536)</f>
        <v>489536</v>
      </c>
      <c r="U752" s="1">
        <f ca="1">IFERROR(__xludf.DUMMYFUNCTION("""COMPUTED_VALUE"""),9)</f>
        <v>9</v>
      </c>
    </row>
    <row r="753" spans="1:21" ht="12.75" x14ac:dyDescent="0.2">
      <c r="A753" s="3">
        <f ca="1">IFERROR(__xludf.DUMMYFUNCTION("""COMPUTED_VALUE"""),40148.5090277777)</f>
        <v>40148.509027777698</v>
      </c>
      <c r="B753" s="1">
        <f ca="1">IFERROR(__xludf.DUMMYFUNCTION("""COMPUTED_VALUE"""),0.85)</f>
        <v>0.85</v>
      </c>
      <c r="E753" s="1" t="str">
        <f ca="1">IFERROR(__xludf.DUMMYFUNCTION("""COMPUTED_VALUE"""),"FOOD CONTAINER SET 3 LOVE HEART")</f>
        <v>FOOD CONTAINER SET 3 LOVE HEART</v>
      </c>
      <c r="F753" s="1">
        <f ca="1">IFERROR(__xludf.DUMMYFUNCTION("""COMPUTED_VALUE"""),2)</f>
        <v>2</v>
      </c>
      <c r="G753" s="1">
        <f ca="1">IFERROR(__xludf.DUMMYFUNCTION("""COMPUTED_VALUE"""),1.95)</f>
        <v>1.95</v>
      </c>
      <c r="J753" s="1" t="str">
        <f ca="1">IFERROR(__xludf.DUMMYFUNCTION("""COMPUTED_VALUE"""),"SET/6 3D KIT CARDS FOR KIDS")</f>
        <v>SET/6 3D KIT CARDS FOR KIDS</v>
      </c>
      <c r="K753" s="1">
        <f ca="1">IFERROR(__xludf.DUMMYFUNCTION("""COMPUTED_VALUE"""),3)</f>
        <v>3</v>
      </c>
      <c r="L753" s="1">
        <f ca="1">IFERROR(__xludf.DUMMYFUNCTION("""COMPUTED_VALUE"""),0.85)</f>
        <v>0.85</v>
      </c>
      <c r="T753" s="1">
        <f ca="1">IFERROR(__xludf.DUMMYFUNCTION("""COMPUTED_VALUE"""),489536)</f>
        <v>489536</v>
      </c>
      <c r="U753" s="1">
        <f ca="1">IFERROR(__xludf.DUMMYFUNCTION("""COMPUTED_VALUE"""),2.55)</f>
        <v>2.5499999999999998</v>
      </c>
    </row>
    <row r="754" spans="1:21" ht="12.75" x14ac:dyDescent="0.2">
      <c r="A754" s="3">
        <f ca="1">IFERROR(__xludf.DUMMYFUNCTION("""COMPUTED_VALUE"""),40148.5090277777)</f>
        <v>40148.509027777698</v>
      </c>
      <c r="B754" s="1">
        <f ca="1">IFERROR(__xludf.DUMMYFUNCTION("""COMPUTED_VALUE"""),1.25)</f>
        <v>1.25</v>
      </c>
      <c r="E754" s="1" t="str">
        <f ca="1">IFERROR(__xludf.DUMMYFUNCTION("""COMPUTED_VALUE"""),"FELTCRAFT BUTTERFLY HEARTS")</f>
        <v>FELTCRAFT BUTTERFLY HEARTS</v>
      </c>
      <c r="F754" s="1">
        <f ca="1">IFERROR(__xludf.DUMMYFUNCTION("""COMPUTED_VALUE"""),2)</f>
        <v>2</v>
      </c>
      <c r="G754" s="1">
        <f ca="1">IFERROR(__xludf.DUMMYFUNCTION("""COMPUTED_VALUE"""),1.45)</f>
        <v>1.45</v>
      </c>
      <c r="J754" s="1" t="str">
        <f ca="1">IFERROR(__xludf.DUMMYFUNCTION("""COMPUTED_VALUE"""),"STRAWBERRY CERAMIC TRINKET BOX")</f>
        <v>STRAWBERRY CERAMIC TRINKET BOX</v>
      </c>
      <c r="K754" s="1">
        <f ca="1">IFERROR(__xludf.DUMMYFUNCTION("""COMPUTED_VALUE"""),3)</f>
        <v>3</v>
      </c>
      <c r="L754" s="1">
        <f ca="1">IFERROR(__xludf.DUMMYFUNCTION("""COMPUTED_VALUE"""),1.25)</f>
        <v>1.25</v>
      </c>
      <c r="T754" s="1">
        <f ca="1">IFERROR(__xludf.DUMMYFUNCTION("""COMPUTED_VALUE"""),489536)</f>
        <v>489536</v>
      </c>
      <c r="U754" s="1">
        <f ca="1">IFERROR(__xludf.DUMMYFUNCTION("""COMPUTED_VALUE"""),3.75)</f>
        <v>3.75</v>
      </c>
    </row>
    <row r="755" spans="1:21" ht="12.75" x14ac:dyDescent="0.2">
      <c r="A755" s="3">
        <f ca="1">IFERROR(__xludf.DUMMYFUNCTION("""COMPUTED_VALUE"""),40148.5090277777)</f>
        <v>40148.509027777698</v>
      </c>
      <c r="B755" s="1">
        <f ca="1">IFERROR(__xludf.DUMMYFUNCTION("""COMPUTED_VALUE"""),0.85)</f>
        <v>0.85</v>
      </c>
      <c r="E755" s="1" t="str">
        <f ca="1">IFERROR(__xludf.DUMMYFUNCTION("""COMPUTED_VALUE"""),"CHRISTMAS CRAFT WHITE FAIRY")</f>
        <v>CHRISTMAS CRAFT WHITE FAIRY</v>
      </c>
      <c r="F755" s="1">
        <f ca="1">IFERROR(__xludf.DUMMYFUNCTION("""COMPUTED_VALUE"""),2)</f>
        <v>2</v>
      </c>
      <c r="G755" s="1">
        <f ca="1">IFERROR(__xludf.DUMMYFUNCTION("""COMPUTED_VALUE"""),1.45)</f>
        <v>1.45</v>
      </c>
      <c r="J755" s="1" t="str">
        <f ca="1">IFERROR(__xludf.DUMMYFUNCTION("""COMPUTED_VALUE"""),"CHARLOTTE BAG , PINK/WHITE SPOTS")</f>
        <v>CHARLOTTE BAG , PINK/WHITE SPOTS</v>
      </c>
      <c r="K755" s="1">
        <f ca="1">IFERROR(__xludf.DUMMYFUNCTION("""COMPUTED_VALUE"""),3)</f>
        <v>3</v>
      </c>
      <c r="L755" s="1">
        <f ca="1">IFERROR(__xludf.DUMMYFUNCTION("""COMPUTED_VALUE"""),0.85)</f>
        <v>0.85</v>
      </c>
      <c r="T755" s="1">
        <f ca="1">IFERROR(__xludf.DUMMYFUNCTION("""COMPUTED_VALUE"""),489536)</f>
        <v>489536</v>
      </c>
      <c r="U755" s="1">
        <f ca="1">IFERROR(__xludf.DUMMYFUNCTION("""COMPUTED_VALUE"""),2.55)</f>
        <v>2.5499999999999998</v>
      </c>
    </row>
    <row r="756" spans="1:21" ht="12.75" x14ac:dyDescent="0.2">
      <c r="A756" s="3">
        <f ca="1">IFERROR(__xludf.DUMMYFUNCTION("""COMPUTED_VALUE"""),40148.5090277777)</f>
        <v>40148.509027777698</v>
      </c>
      <c r="B756" s="1">
        <f ca="1">IFERROR(__xludf.DUMMYFUNCTION("""COMPUTED_VALUE"""),1.65)</f>
        <v>1.65</v>
      </c>
      <c r="E756" s="1" t="str">
        <f ca="1">IFERROR(__xludf.DUMMYFUNCTION("""COMPUTED_VALUE"""),"3 STRIPEY MICE FELTCRAFT")</f>
        <v>3 STRIPEY MICE FELTCRAFT</v>
      </c>
      <c r="F756" s="1">
        <f ca="1">IFERROR(__xludf.DUMMYFUNCTION("""COMPUTED_VALUE"""),2)</f>
        <v>2</v>
      </c>
      <c r="G756" s="1">
        <f ca="1">IFERROR(__xludf.DUMMYFUNCTION("""COMPUTED_VALUE"""),1.95)</f>
        <v>1.95</v>
      </c>
      <c r="J756" s="1" t="str">
        <f ca="1">IFERROR(__xludf.DUMMYFUNCTION("""COMPUTED_VALUE"""),"LUNCH BAG  BLACK SKULL.")</f>
        <v>LUNCH BAG  BLACK SKULL.</v>
      </c>
      <c r="K756" s="1">
        <f ca="1">IFERROR(__xludf.DUMMYFUNCTION("""COMPUTED_VALUE"""),3)</f>
        <v>3</v>
      </c>
      <c r="L756" s="1">
        <f ca="1">IFERROR(__xludf.DUMMYFUNCTION("""COMPUTED_VALUE"""),1.65)</f>
        <v>1.65</v>
      </c>
      <c r="T756" s="1">
        <f ca="1">IFERROR(__xludf.DUMMYFUNCTION("""COMPUTED_VALUE"""),489536)</f>
        <v>489536</v>
      </c>
      <c r="U756" s="1">
        <f ca="1">IFERROR(__xludf.DUMMYFUNCTION("""COMPUTED_VALUE"""),4.94999999999999)</f>
        <v>4.9499999999999904</v>
      </c>
    </row>
    <row r="757" spans="1:21" ht="12.75" x14ac:dyDescent="0.2">
      <c r="A757" s="3">
        <f ca="1">IFERROR(__xludf.DUMMYFUNCTION("""COMPUTED_VALUE"""),40148.5090277777)</f>
        <v>40148.509027777698</v>
      </c>
      <c r="B757" s="1">
        <f ca="1">IFERROR(__xludf.DUMMYFUNCTION("""COMPUTED_VALUE"""),5.45)</f>
        <v>5.45</v>
      </c>
      <c r="E757" s="1" t="str">
        <f ca="1">IFERROR(__xludf.DUMMYFUNCTION("""COMPUTED_VALUE"""),"STRAWBERRY LUNCHBOX WITH CUTLERY")</f>
        <v>STRAWBERRY LUNCHBOX WITH CUTLERY</v>
      </c>
      <c r="F757" s="1">
        <f ca="1">IFERROR(__xludf.DUMMYFUNCTION("""COMPUTED_VALUE"""),2)</f>
        <v>2</v>
      </c>
      <c r="G757" s="1">
        <f ca="1">IFERROR(__xludf.DUMMYFUNCTION("""COMPUTED_VALUE"""),2.55)</f>
        <v>2.5499999999999998</v>
      </c>
      <c r="J757" s="1" t="str">
        <f ca="1">IFERROR(__xludf.DUMMYFUNCTION("""COMPUTED_VALUE"""),"LARGE CAMPHOR WOOD FIELD MUSHROOM")</f>
        <v>LARGE CAMPHOR WOOD FIELD MUSHROOM</v>
      </c>
      <c r="K757" s="1">
        <f ca="1">IFERROR(__xludf.DUMMYFUNCTION("""COMPUTED_VALUE"""),2)</f>
        <v>2</v>
      </c>
      <c r="L757" s="1">
        <f ca="1">IFERROR(__xludf.DUMMYFUNCTION("""COMPUTED_VALUE"""),5.45)</f>
        <v>5.45</v>
      </c>
      <c r="T757" s="1">
        <f ca="1">IFERROR(__xludf.DUMMYFUNCTION("""COMPUTED_VALUE"""),489536)</f>
        <v>489536</v>
      </c>
      <c r="U757" s="1">
        <f ca="1">IFERROR(__xludf.DUMMYFUNCTION("""COMPUTED_VALUE"""),10.9)</f>
        <v>10.9</v>
      </c>
    </row>
    <row r="758" spans="1:21" ht="12.75" x14ac:dyDescent="0.2">
      <c r="A758" s="3">
        <f ca="1">IFERROR(__xludf.DUMMYFUNCTION("""COMPUTED_VALUE"""),40148.5090277777)</f>
        <v>40148.509027777698</v>
      </c>
      <c r="B758" s="1">
        <f ca="1">IFERROR(__xludf.DUMMYFUNCTION("""COMPUTED_VALUE"""),1.95)</f>
        <v>1.95</v>
      </c>
      <c r="E758" s="1" t="str">
        <f ca="1">IFERROR(__xludf.DUMMYFUNCTION("""COMPUTED_VALUE"""),"RETRO RED SPOTTY WASHING UP GLOVES")</f>
        <v>RETRO RED SPOTTY WASHING UP GLOVES</v>
      </c>
      <c r="F758" s="1">
        <f ca="1">IFERROR(__xludf.DUMMYFUNCTION("""COMPUTED_VALUE"""),2)</f>
        <v>2</v>
      </c>
      <c r="G758" s="1">
        <f ca="1">IFERROR(__xludf.DUMMYFUNCTION("""COMPUTED_VALUE"""),2.1)</f>
        <v>2.1</v>
      </c>
      <c r="J758" s="1" t="str">
        <f ca="1">IFERROR(__xludf.DUMMYFUNCTION("""COMPUTED_VALUE"""),"ENGLISH ROSE GARDEN SECATEURS")</f>
        <v>ENGLISH ROSE GARDEN SECATEURS</v>
      </c>
      <c r="K758" s="1">
        <f ca="1">IFERROR(__xludf.DUMMYFUNCTION("""COMPUTED_VALUE"""),2)</f>
        <v>2</v>
      </c>
      <c r="L758" s="1">
        <f ca="1">IFERROR(__xludf.DUMMYFUNCTION("""COMPUTED_VALUE"""),1.95)</f>
        <v>1.95</v>
      </c>
      <c r="T758" s="1">
        <f ca="1">IFERROR(__xludf.DUMMYFUNCTION("""COMPUTED_VALUE"""),489536)</f>
        <v>489536</v>
      </c>
      <c r="U758" s="1">
        <f ca="1">IFERROR(__xludf.DUMMYFUNCTION("""COMPUTED_VALUE"""),3.9)</f>
        <v>3.9</v>
      </c>
    </row>
    <row r="759" spans="1:21" ht="12.75" x14ac:dyDescent="0.2">
      <c r="A759" s="3">
        <f ca="1">IFERROR(__xludf.DUMMYFUNCTION("""COMPUTED_VALUE"""),40148.5090277777)</f>
        <v>40148.509027777698</v>
      </c>
      <c r="B759" s="1">
        <f ca="1">IFERROR(__xludf.DUMMYFUNCTION("""COMPUTED_VALUE"""),1.65)</f>
        <v>1.65</v>
      </c>
      <c r="E759" s="1" t="str">
        <f ca="1">IFERROR(__xludf.DUMMYFUNCTION("""COMPUTED_VALUE"""),"WHITE BELL HONEYCOMB PAPER GARLAND")</f>
        <v>WHITE BELL HONEYCOMB PAPER GARLAND</v>
      </c>
      <c r="F759" s="1">
        <f ca="1">IFERROR(__xludf.DUMMYFUNCTION("""COMPUTED_VALUE"""),2)</f>
        <v>2</v>
      </c>
      <c r="G759" s="1">
        <f ca="1">IFERROR(__xludf.DUMMYFUNCTION("""COMPUTED_VALUE"""),1.65)</f>
        <v>1.65</v>
      </c>
      <c r="J759" s="1" t="str">
        <f ca="1">IFERROR(__xludf.DUMMYFUNCTION("""COMPUTED_VALUE"""),"ENGLISH ROSE TORCH")</f>
        <v>ENGLISH ROSE TORCH</v>
      </c>
      <c r="K759" s="1">
        <f ca="1">IFERROR(__xludf.DUMMYFUNCTION("""COMPUTED_VALUE"""),2)</f>
        <v>2</v>
      </c>
      <c r="L759" s="1">
        <f ca="1">IFERROR(__xludf.DUMMYFUNCTION("""COMPUTED_VALUE"""),1.65)</f>
        <v>1.65</v>
      </c>
      <c r="T759" s="1">
        <f ca="1">IFERROR(__xludf.DUMMYFUNCTION("""COMPUTED_VALUE"""),489536)</f>
        <v>489536</v>
      </c>
      <c r="U759" s="1">
        <f ca="1">IFERROR(__xludf.DUMMYFUNCTION("""COMPUTED_VALUE"""),3.3)</f>
        <v>3.3</v>
      </c>
    </row>
    <row r="760" spans="1:21" ht="12.75" x14ac:dyDescent="0.2">
      <c r="A760" s="3">
        <f ca="1">IFERROR(__xludf.DUMMYFUNCTION("""COMPUTED_VALUE"""),40148.5090277777)</f>
        <v>40148.509027777698</v>
      </c>
      <c r="B760" s="1">
        <f ca="1">IFERROR(__xludf.DUMMYFUNCTION("""COMPUTED_VALUE"""),1.65)</f>
        <v>1.65</v>
      </c>
      <c r="E760" s="1" t="str">
        <f ca="1">IFERROR(__xludf.DUMMYFUNCTION("""COMPUTED_VALUE"""),"FELTCRAFT DOLL ROSIE")</f>
        <v>FELTCRAFT DOLL ROSIE</v>
      </c>
      <c r="F760" s="1">
        <f ca="1">IFERROR(__xludf.DUMMYFUNCTION("""COMPUTED_VALUE"""),1)</f>
        <v>1</v>
      </c>
      <c r="G760" s="1">
        <f ca="1">IFERROR(__xludf.DUMMYFUNCTION("""COMPUTED_VALUE"""),2.95)</f>
        <v>2.95</v>
      </c>
      <c r="J760" s="1" t="str">
        <f ca="1">IFERROR(__xludf.DUMMYFUNCTION("""COMPUTED_VALUE"""),"WHITE DOVE HONEYCOMB PAPER GARLAND")</f>
        <v>WHITE DOVE HONEYCOMB PAPER GARLAND</v>
      </c>
      <c r="K760" s="1">
        <f ca="1">IFERROR(__xludf.DUMMYFUNCTION("""COMPUTED_VALUE"""),2)</f>
        <v>2</v>
      </c>
      <c r="L760" s="1">
        <f ca="1">IFERROR(__xludf.DUMMYFUNCTION("""COMPUTED_VALUE"""),1.65)</f>
        <v>1.65</v>
      </c>
      <c r="T760" s="1">
        <f ca="1">IFERROR(__xludf.DUMMYFUNCTION("""COMPUTED_VALUE"""),489536)</f>
        <v>489536</v>
      </c>
      <c r="U760" s="1">
        <f ca="1">IFERROR(__xludf.DUMMYFUNCTION("""COMPUTED_VALUE"""),3.3)</f>
        <v>3.3</v>
      </c>
    </row>
    <row r="761" spans="1:21" ht="12.75" x14ac:dyDescent="0.2">
      <c r="A761" s="3">
        <f ca="1">IFERROR(__xludf.DUMMYFUNCTION("""COMPUTED_VALUE"""),40148.5090277777)</f>
        <v>40148.509027777698</v>
      </c>
      <c r="B761" s="1">
        <f ca="1">IFERROR(__xludf.DUMMYFUNCTION("""COMPUTED_VALUE"""),2.95)</f>
        <v>2.95</v>
      </c>
      <c r="E761" s="1" t="str">
        <f ca="1">IFERROR(__xludf.DUMMYFUNCTION("""COMPUTED_VALUE"""),"LARGE HEART MEASURING SPOONS")</f>
        <v>LARGE HEART MEASURING SPOONS</v>
      </c>
      <c r="F761" s="1">
        <f ca="1">IFERROR(__xludf.DUMMYFUNCTION("""COMPUTED_VALUE"""),1)</f>
        <v>1</v>
      </c>
      <c r="G761" s="1">
        <f ca="1">IFERROR(__xludf.DUMMYFUNCTION("""COMPUTED_VALUE"""),1.65)</f>
        <v>1.65</v>
      </c>
      <c r="J761" s="1" t="str">
        <f ca="1">IFERROR(__xludf.DUMMYFUNCTION("""COMPUTED_VALUE"""),"SET OF 12 LILY BOTANICAL T-LIGHTS")</f>
        <v>SET OF 12 LILY BOTANICAL T-LIGHTS</v>
      </c>
      <c r="K761" s="1">
        <f ca="1">IFERROR(__xludf.DUMMYFUNCTION("""COMPUTED_VALUE"""),2)</f>
        <v>2</v>
      </c>
      <c r="L761" s="1">
        <f ca="1">IFERROR(__xludf.DUMMYFUNCTION("""COMPUTED_VALUE"""),2.95)</f>
        <v>2.95</v>
      </c>
      <c r="T761" s="1">
        <f ca="1">IFERROR(__xludf.DUMMYFUNCTION("""COMPUTED_VALUE"""),489536)</f>
        <v>489536</v>
      </c>
      <c r="U761" s="1">
        <f ca="1">IFERROR(__xludf.DUMMYFUNCTION("""COMPUTED_VALUE"""),5.9)</f>
        <v>5.9</v>
      </c>
    </row>
    <row r="762" spans="1:21" ht="12.75" x14ac:dyDescent="0.2">
      <c r="A762" s="3">
        <f ca="1">IFERROR(__xludf.DUMMYFUNCTION("""COMPUTED_VALUE"""),40148.5090277777)</f>
        <v>40148.509027777698</v>
      </c>
      <c r="B762" s="1">
        <f ca="1">IFERROR(__xludf.DUMMYFUNCTION("""COMPUTED_VALUE"""),3.45)</f>
        <v>3.45</v>
      </c>
      <c r="E762" s="1" t="str">
        <f ca="1">IFERROR(__xludf.DUMMYFUNCTION("""COMPUTED_VALUE"""),"GLASS CHICKEN BUTTER DISH")</f>
        <v>GLASS CHICKEN BUTTER DISH</v>
      </c>
      <c r="F762" s="1">
        <f ca="1">IFERROR(__xludf.DUMMYFUNCTION("""COMPUTED_VALUE"""),1)</f>
        <v>1</v>
      </c>
      <c r="G762" s="1">
        <f ca="1">IFERROR(__xludf.DUMMYFUNCTION("""COMPUTED_VALUE"""),1.65)</f>
        <v>1.65</v>
      </c>
      <c r="J762" s="1" t="str">
        <f ca="1">IFERROR(__xludf.DUMMYFUNCTION("""COMPUTED_VALUE"""),"GREY HEART HOT WATER BOTTLE")</f>
        <v>GREY HEART HOT WATER BOTTLE</v>
      </c>
      <c r="K762" s="1">
        <f ca="1">IFERROR(__xludf.DUMMYFUNCTION("""COMPUTED_VALUE"""),2)</f>
        <v>2</v>
      </c>
      <c r="L762" s="1">
        <f ca="1">IFERROR(__xludf.DUMMYFUNCTION("""COMPUTED_VALUE"""),3.45)</f>
        <v>3.45</v>
      </c>
      <c r="T762" s="1">
        <f ca="1">IFERROR(__xludf.DUMMYFUNCTION("""COMPUTED_VALUE"""),489536)</f>
        <v>489536</v>
      </c>
      <c r="U762" s="1">
        <f ca="1">IFERROR(__xludf.DUMMYFUNCTION("""COMPUTED_VALUE"""),6.9)</f>
        <v>6.9</v>
      </c>
    </row>
    <row r="763" spans="1:21" ht="12.75" x14ac:dyDescent="0.2">
      <c r="A763" s="3">
        <f ca="1">IFERROR(__xludf.DUMMYFUNCTION("""COMPUTED_VALUE"""),40148.5090277777)</f>
        <v>40148.509027777698</v>
      </c>
      <c r="B763" s="1">
        <f ca="1">IFERROR(__xludf.DUMMYFUNCTION("""COMPUTED_VALUE"""),1.65)</f>
        <v>1.65</v>
      </c>
      <c r="E763" s="1" t="str">
        <f ca="1">IFERROR(__xludf.DUMMYFUNCTION("""COMPUTED_VALUE"""),"FRENCH ENAMEL CANDLEHOLDER")</f>
        <v>FRENCH ENAMEL CANDLEHOLDER</v>
      </c>
      <c r="F763" s="1">
        <f ca="1">IFERROR(__xludf.DUMMYFUNCTION("""COMPUTED_VALUE"""),1)</f>
        <v>1</v>
      </c>
      <c r="G763" s="1">
        <f ca="1">IFERROR(__xludf.DUMMYFUNCTION("""COMPUTED_VALUE"""),2.1)</f>
        <v>2.1</v>
      </c>
      <c r="J763" s="1" t="str">
        <f ca="1">IFERROR(__xludf.DUMMYFUNCTION("""COMPUTED_VALUE"""),"HEART FILIGREE DOVE LARGE")</f>
        <v>HEART FILIGREE DOVE LARGE</v>
      </c>
      <c r="K763" s="1">
        <f ca="1">IFERROR(__xludf.DUMMYFUNCTION("""COMPUTED_VALUE"""),2)</f>
        <v>2</v>
      </c>
      <c r="L763" s="1">
        <f ca="1">IFERROR(__xludf.DUMMYFUNCTION("""COMPUTED_VALUE"""),1.65)</f>
        <v>1.65</v>
      </c>
      <c r="T763" s="1">
        <f ca="1">IFERROR(__xludf.DUMMYFUNCTION("""COMPUTED_VALUE"""),489536)</f>
        <v>489536</v>
      </c>
      <c r="U763" s="1">
        <f ca="1">IFERROR(__xludf.DUMMYFUNCTION("""COMPUTED_VALUE"""),3.3)</f>
        <v>3.3</v>
      </c>
    </row>
    <row r="764" spans="1:21" ht="12.75" x14ac:dyDescent="0.2">
      <c r="A764" s="3">
        <f ca="1">IFERROR(__xludf.DUMMYFUNCTION("""COMPUTED_VALUE"""),40148.5090277777)</f>
        <v>40148.509027777698</v>
      </c>
      <c r="B764" s="1">
        <f ca="1">IFERROR(__xludf.DUMMYFUNCTION("""COMPUTED_VALUE"""),1.65)</f>
        <v>1.65</v>
      </c>
      <c r="E764" s="1" t="str">
        <f ca="1">IFERROR(__xludf.DUMMYFUNCTION("""COMPUTED_VALUE"""),"LUNCHBOX WITH CUTLERY RETROSPOT")</f>
        <v>LUNCHBOX WITH CUTLERY RETROSPOT</v>
      </c>
      <c r="F764" s="1">
        <f ca="1">IFERROR(__xludf.DUMMYFUNCTION("""COMPUTED_VALUE"""),1)</f>
        <v>1</v>
      </c>
      <c r="G764" s="1">
        <f ca="1">IFERROR(__xludf.DUMMYFUNCTION("""COMPUTED_VALUE"""),2.55)</f>
        <v>2.5499999999999998</v>
      </c>
      <c r="J764" s="1" t="str">
        <f ca="1">IFERROR(__xludf.DUMMYFUNCTION("""COMPUTED_VALUE"""),"SLATE TILE NATURAL HANGING")</f>
        <v>SLATE TILE NATURAL HANGING</v>
      </c>
      <c r="K764" s="1">
        <f ca="1">IFERROR(__xludf.DUMMYFUNCTION("""COMPUTED_VALUE"""),2)</f>
        <v>2</v>
      </c>
      <c r="L764" s="1">
        <f ca="1">IFERROR(__xludf.DUMMYFUNCTION("""COMPUTED_VALUE"""),1.65)</f>
        <v>1.65</v>
      </c>
      <c r="T764" s="1">
        <f ca="1">IFERROR(__xludf.DUMMYFUNCTION("""COMPUTED_VALUE"""),489536)</f>
        <v>489536</v>
      </c>
      <c r="U764" s="1">
        <f ca="1">IFERROR(__xludf.DUMMYFUNCTION("""COMPUTED_VALUE"""),3.3)</f>
        <v>3.3</v>
      </c>
    </row>
    <row r="765" spans="1:21" ht="12.75" x14ac:dyDescent="0.2">
      <c r="A765" s="3">
        <f ca="1">IFERROR(__xludf.DUMMYFUNCTION("""COMPUTED_VALUE"""),40148.5090277777)</f>
        <v>40148.509027777698</v>
      </c>
      <c r="B765" s="1">
        <f ca="1">IFERROR(__xludf.DUMMYFUNCTION("""COMPUTED_VALUE"""),1.25)</f>
        <v>1.25</v>
      </c>
      <c r="E765" s="1" t="str">
        <f ca="1">IFERROR(__xludf.DUMMYFUNCTION("""COMPUTED_VALUE"""),"FRENCH ENAMEL CANDLEHOLDER")</f>
        <v>FRENCH ENAMEL CANDLEHOLDER</v>
      </c>
      <c r="F765" s="1">
        <f ca="1">IFERROR(__xludf.DUMMYFUNCTION("""COMPUTED_VALUE"""),1)</f>
        <v>1</v>
      </c>
      <c r="G765" s="1">
        <f ca="1">IFERROR(__xludf.DUMMYFUNCTION("""COMPUTED_VALUE"""),2.1)</f>
        <v>2.1</v>
      </c>
      <c r="J765" s="1" t="str">
        <f ca="1">IFERROR(__xludf.DUMMYFUNCTION("""COMPUTED_VALUE"""),"VINTAGE HEADS AND TAILS CARD GAME")</f>
        <v>VINTAGE HEADS AND TAILS CARD GAME</v>
      </c>
      <c r="K765" s="1">
        <f ca="1">IFERROR(__xludf.DUMMYFUNCTION("""COMPUTED_VALUE"""),2)</f>
        <v>2</v>
      </c>
      <c r="L765" s="1">
        <f ca="1">IFERROR(__xludf.DUMMYFUNCTION("""COMPUTED_VALUE"""),1.25)</f>
        <v>1.25</v>
      </c>
      <c r="T765" s="1">
        <f ca="1">IFERROR(__xludf.DUMMYFUNCTION("""COMPUTED_VALUE"""),489536)</f>
        <v>489536</v>
      </c>
      <c r="U765" s="1">
        <f ca="1">IFERROR(__xludf.DUMMYFUNCTION("""COMPUTED_VALUE"""),2.5)</f>
        <v>2.5</v>
      </c>
    </row>
    <row r="766" spans="1:21" ht="12.75" x14ac:dyDescent="0.2">
      <c r="A766" s="3">
        <f ca="1">IFERROR(__xludf.DUMMYFUNCTION("""COMPUTED_VALUE"""),40148.5090277777)</f>
        <v>40148.509027777698</v>
      </c>
      <c r="B766" s="1">
        <f ca="1">IFERROR(__xludf.DUMMYFUNCTION("""COMPUTED_VALUE"""),0.42)</f>
        <v>0.42</v>
      </c>
      <c r="E766" s="1" t="str">
        <f ca="1">IFERROR(__xludf.DUMMYFUNCTION("""COMPUTED_VALUE"""),"GREEN GINGHAM FLOWER JEWELLERY BOX")</f>
        <v>GREEN GINGHAM FLOWER JEWELLERY BOX</v>
      </c>
      <c r="F766" s="1">
        <f ca="1">IFERROR(__xludf.DUMMYFUNCTION("""COMPUTED_VALUE"""),1)</f>
        <v>1</v>
      </c>
      <c r="G766" s="1">
        <f ca="1">IFERROR(__xludf.DUMMYFUNCTION("""COMPUTED_VALUE"""),1.65)</f>
        <v>1.65</v>
      </c>
      <c r="J766" s="1" t="str">
        <f ca="1">IFERROR(__xludf.DUMMYFUNCTION("""COMPUTED_VALUE"""),"SET 12 KIDS COLOUR  CHALK STICKS")</f>
        <v>SET 12 KIDS COLOUR  CHALK STICKS</v>
      </c>
      <c r="K766" s="1">
        <f ca="1">IFERROR(__xludf.DUMMYFUNCTION("""COMPUTED_VALUE"""),2)</f>
        <v>2</v>
      </c>
      <c r="L766" s="1">
        <f ca="1">IFERROR(__xludf.DUMMYFUNCTION("""COMPUTED_VALUE"""),0.42)</f>
        <v>0.42</v>
      </c>
      <c r="T766" s="1">
        <f ca="1">IFERROR(__xludf.DUMMYFUNCTION("""COMPUTED_VALUE"""),489536)</f>
        <v>489536</v>
      </c>
      <c r="U766" s="1">
        <f ca="1">IFERROR(__xludf.DUMMYFUNCTION("""COMPUTED_VALUE"""),0.84)</f>
        <v>0.84</v>
      </c>
    </row>
    <row r="767" spans="1:21" ht="12.75" x14ac:dyDescent="0.2">
      <c r="A767" s="3">
        <f ca="1">IFERROR(__xludf.DUMMYFUNCTION("""COMPUTED_VALUE"""),40148.5090277777)</f>
        <v>40148.509027777698</v>
      </c>
      <c r="B767" s="1">
        <f ca="1">IFERROR(__xludf.DUMMYFUNCTION("""COMPUTED_VALUE"""),2.95)</f>
        <v>2.95</v>
      </c>
      <c r="E767" s="1" t="str">
        <f ca="1">IFERROR(__xludf.DUMMYFUNCTION("""COMPUTED_VALUE"""),"WASH BAG VINTAGE ROSE PAISLEY")</f>
        <v>WASH BAG VINTAGE ROSE PAISLEY</v>
      </c>
      <c r="F767" s="1">
        <f ca="1">IFERROR(__xludf.DUMMYFUNCTION("""COMPUTED_VALUE"""),1)</f>
        <v>1</v>
      </c>
      <c r="G767" s="1">
        <f ca="1">IFERROR(__xludf.DUMMYFUNCTION("""COMPUTED_VALUE"""),2.55)</f>
        <v>2.5499999999999998</v>
      </c>
      <c r="J767" s="1" t="str">
        <f ca="1">IFERROR(__xludf.DUMMYFUNCTION("""COMPUTED_VALUE"""),"PAPER CHAIN KIT 50'S CHRISTMAS")</f>
        <v>PAPER CHAIN KIT 50'S CHRISTMAS</v>
      </c>
      <c r="K767" s="1">
        <f ca="1">IFERROR(__xludf.DUMMYFUNCTION("""COMPUTED_VALUE"""),2)</f>
        <v>2</v>
      </c>
      <c r="L767" s="1">
        <f ca="1">IFERROR(__xludf.DUMMYFUNCTION("""COMPUTED_VALUE"""),2.95)</f>
        <v>2.95</v>
      </c>
      <c r="T767" s="1">
        <f ca="1">IFERROR(__xludf.DUMMYFUNCTION("""COMPUTED_VALUE"""),489536)</f>
        <v>489536</v>
      </c>
      <c r="U767" s="1">
        <f ca="1">IFERROR(__xludf.DUMMYFUNCTION("""COMPUTED_VALUE"""),5.9)</f>
        <v>5.9</v>
      </c>
    </row>
    <row r="768" spans="1:21" ht="12.75" x14ac:dyDescent="0.2">
      <c r="A768" s="3">
        <f ca="1">IFERROR(__xludf.DUMMYFUNCTION("""COMPUTED_VALUE"""),40148.5090277777)</f>
        <v>40148.509027777698</v>
      </c>
      <c r="B768" s="1">
        <f ca="1">IFERROR(__xludf.DUMMYFUNCTION("""COMPUTED_VALUE"""),0.85)</f>
        <v>0.85</v>
      </c>
      <c r="E768" s="1" t="str">
        <f ca="1">IFERROR(__xludf.DUMMYFUNCTION("""COMPUTED_VALUE"""),"WASH BAG VINTAGE ROSE PAISLEY")</f>
        <v>WASH BAG VINTAGE ROSE PAISLEY</v>
      </c>
      <c r="F768" s="1">
        <f ca="1">IFERROR(__xludf.DUMMYFUNCTION("""COMPUTED_VALUE"""),1)</f>
        <v>1</v>
      </c>
      <c r="G768" s="1">
        <f ca="1">IFERROR(__xludf.DUMMYFUNCTION("""COMPUTED_VALUE"""),2.55)</f>
        <v>2.5499999999999998</v>
      </c>
      <c r="J768" s="1" t="str">
        <f ca="1">IFERROR(__xludf.DUMMYFUNCTION("""COMPUTED_VALUE"""),"VINTAGE DESIGN GIFT TAGS")</f>
        <v>VINTAGE DESIGN GIFT TAGS</v>
      </c>
      <c r="K768" s="1">
        <f ca="1">IFERROR(__xludf.DUMMYFUNCTION("""COMPUTED_VALUE"""),2)</f>
        <v>2</v>
      </c>
      <c r="L768" s="1">
        <f ca="1">IFERROR(__xludf.DUMMYFUNCTION("""COMPUTED_VALUE"""),0.85)</f>
        <v>0.85</v>
      </c>
      <c r="T768" s="1">
        <f ca="1">IFERROR(__xludf.DUMMYFUNCTION("""COMPUTED_VALUE"""),489536)</f>
        <v>489536</v>
      </c>
      <c r="U768" s="1">
        <f ca="1">IFERROR(__xludf.DUMMYFUNCTION("""COMPUTED_VALUE"""),1.7)</f>
        <v>1.7</v>
      </c>
    </row>
    <row r="769" spans="1:21" ht="12.75" x14ac:dyDescent="0.2">
      <c r="A769" s="3">
        <f ca="1">IFERROR(__xludf.DUMMYFUNCTION("""COMPUTED_VALUE"""),40148.5090277777)</f>
        <v>40148.509027777698</v>
      </c>
      <c r="B769" s="1">
        <f ca="1">IFERROR(__xludf.DUMMYFUNCTION("""COMPUTED_VALUE"""),1.95)</f>
        <v>1.95</v>
      </c>
      <c r="E769" s="1" t="str">
        <f ca="1">IFERROR(__xludf.DUMMYFUNCTION("""COMPUTED_VALUE"""),"RETRO PINK SPOT WASHING UP GLOVES")</f>
        <v>RETRO PINK SPOT WASHING UP GLOVES</v>
      </c>
      <c r="F769" s="1">
        <f ca="1">IFERROR(__xludf.DUMMYFUNCTION("""COMPUTED_VALUE"""),1)</f>
        <v>1</v>
      </c>
      <c r="G769" s="1">
        <f ca="1">IFERROR(__xludf.DUMMYFUNCTION("""COMPUTED_VALUE"""),2.1)</f>
        <v>2.1</v>
      </c>
      <c r="J769" s="1" t="str">
        <f ca="1">IFERROR(__xludf.DUMMYFUNCTION("""COMPUTED_VALUE"""),"SET OF THREE VINTAGE GIFT WRAPS")</f>
        <v>SET OF THREE VINTAGE GIFT WRAPS</v>
      </c>
      <c r="K769" s="1">
        <f ca="1">IFERROR(__xludf.DUMMYFUNCTION("""COMPUTED_VALUE"""),2)</f>
        <v>2</v>
      </c>
      <c r="L769" s="1">
        <f ca="1">IFERROR(__xludf.DUMMYFUNCTION("""COMPUTED_VALUE"""),1.95)</f>
        <v>1.95</v>
      </c>
      <c r="T769" s="1">
        <f ca="1">IFERROR(__xludf.DUMMYFUNCTION("""COMPUTED_VALUE"""),489536)</f>
        <v>489536</v>
      </c>
      <c r="U769" s="1">
        <f ca="1">IFERROR(__xludf.DUMMYFUNCTION("""COMPUTED_VALUE"""),3.9)</f>
        <v>3.9</v>
      </c>
    </row>
    <row r="770" spans="1:21" ht="12.75" x14ac:dyDescent="0.2">
      <c r="A770" s="3">
        <f ca="1">IFERROR(__xludf.DUMMYFUNCTION("""COMPUTED_VALUE"""),40148.5090277777)</f>
        <v>40148.509027777698</v>
      </c>
      <c r="B770" s="1">
        <f ca="1">IFERROR(__xludf.DUMMYFUNCTION("""COMPUTED_VALUE"""),3.75)</f>
        <v>3.75</v>
      </c>
      <c r="E770" s="1" t="str">
        <f ca="1">IFERROR(__xludf.DUMMYFUNCTION("""COMPUTED_VALUE"""),"BLUE WHITE SCARF HOT WATER BOTTLE")</f>
        <v>BLUE WHITE SCARF HOT WATER BOTTLE</v>
      </c>
      <c r="F770" s="1">
        <f ca="1">IFERROR(__xludf.DUMMYFUNCTION("""COMPUTED_VALUE"""),1)</f>
        <v>1</v>
      </c>
      <c r="G770" s="1">
        <f ca="1">IFERROR(__xludf.DUMMYFUNCTION("""COMPUTED_VALUE"""),3.95)</f>
        <v>3.95</v>
      </c>
      <c r="J770" s="1" t="str">
        <f ca="1">IFERROR(__xludf.DUMMYFUNCTION("""COMPUTED_VALUE"""),"BLACK LOVE BIRD T-LIGHT HOLDER")</f>
        <v>BLACK LOVE BIRD T-LIGHT HOLDER</v>
      </c>
      <c r="K770" s="1">
        <f ca="1">IFERROR(__xludf.DUMMYFUNCTION("""COMPUTED_VALUE"""),2)</f>
        <v>2</v>
      </c>
      <c r="L770" s="1">
        <f ca="1">IFERROR(__xludf.DUMMYFUNCTION("""COMPUTED_VALUE"""),3.75)</f>
        <v>3.75</v>
      </c>
      <c r="T770" s="1">
        <f ca="1">IFERROR(__xludf.DUMMYFUNCTION("""COMPUTED_VALUE"""),489536)</f>
        <v>489536</v>
      </c>
      <c r="U770" s="1">
        <f ca="1">IFERROR(__xludf.DUMMYFUNCTION("""COMPUTED_VALUE"""),7.5)</f>
        <v>7.5</v>
      </c>
    </row>
    <row r="771" spans="1:21" ht="12.75" x14ac:dyDescent="0.2">
      <c r="A771" s="3">
        <f ca="1">IFERROR(__xludf.DUMMYFUNCTION("""COMPUTED_VALUE"""),40148.5090277777)</f>
        <v>40148.509027777698</v>
      </c>
      <c r="B771" s="1">
        <f ca="1">IFERROR(__xludf.DUMMYFUNCTION("""COMPUTED_VALUE"""),1.25)</f>
        <v>1.25</v>
      </c>
      <c r="E771" s="1" t="str">
        <f ca="1">IFERROR(__xludf.DUMMYFUNCTION("""COMPUTED_VALUE"""),"RED WHITE SCARF  HOT WATER BOTTLE")</f>
        <v>RED WHITE SCARF  HOT WATER BOTTLE</v>
      </c>
      <c r="F771" s="1">
        <f ca="1">IFERROR(__xludf.DUMMYFUNCTION("""COMPUTED_VALUE"""),1)</f>
        <v>1</v>
      </c>
      <c r="G771" s="1">
        <f ca="1">IFERROR(__xludf.DUMMYFUNCTION("""COMPUTED_VALUE"""),3.95)</f>
        <v>3.95</v>
      </c>
      <c r="J771" s="1" t="str">
        <f ca="1">IFERROR(__xludf.DUMMYFUNCTION("""COMPUTED_VALUE"""),"RED SPOTTY BOWL")</f>
        <v>RED SPOTTY BOWL</v>
      </c>
      <c r="K771" s="1">
        <f ca="1">IFERROR(__xludf.DUMMYFUNCTION("""COMPUTED_VALUE"""),2)</f>
        <v>2</v>
      </c>
      <c r="L771" s="1">
        <f ca="1">IFERROR(__xludf.DUMMYFUNCTION("""COMPUTED_VALUE"""),1.25)</f>
        <v>1.25</v>
      </c>
      <c r="T771" s="1">
        <f ca="1">IFERROR(__xludf.DUMMYFUNCTION("""COMPUTED_VALUE"""),489536)</f>
        <v>489536</v>
      </c>
      <c r="U771" s="1">
        <f ca="1">IFERROR(__xludf.DUMMYFUNCTION("""COMPUTED_VALUE"""),2.5)</f>
        <v>2.5</v>
      </c>
    </row>
    <row r="772" spans="1:21" ht="12.75" x14ac:dyDescent="0.2">
      <c r="A772" s="3">
        <f ca="1">IFERROR(__xludf.DUMMYFUNCTION("""COMPUTED_VALUE"""),40148.5090277777)</f>
        <v>40148.509027777698</v>
      </c>
      <c r="B772" s="1">
        <f ca="1">IFERROR(__xludf.DUMMYFUNCTION("""COMPUTED_VALUE"""),1.65)</f>
        <v>1.65</v>
      </c>
      <c r="E772" s="1" t="str">
        <f ca="1">IFERROR(__xludf.DUMMYFUNCTION("""COMPUTED_VALUE"""),"FELTCRAFT DOLL ROSIE")</f>
        <v>FELTCRAFT DOLL ROSIE</v>
      </c>
      <c r="F772" s="1">
        <f ca="1">IFERROR(__xludf.DUMMYFUNCTION("""COMPUTED_VALUE"""),1)</f>
        <v>1</v>
      </c>
      <c r="G772" s="1">
        <f ca="1">IFERROR(__xludf.DUMMYFUNCTION("""COMPUTED_VALUE"""),2.95)</f>
        <v>2.95</v>
      </c>
      <c r="J772" s="1" t="str">
        <f ca="1">IFERROR(__xludf.DUMMYFUNCTION("""COMPUTED_VALUE"""),"PHOTO CUBE")</f>
        <v>PHOTO CUBE</v>
      </c>
      <c r="K772" s="1">
        <f ca="1">IFERROR(__xludf.DUMMYFUNCTION("""COMPUTED_VALUE"""),2)</f>
        <v>2</v>
      </c>
      <c r="L772" s="1">
        <f ca="1">IFERROR(__xludf.DUMMYFUNCTION("""COMPUTED_VALUE"""),1.65)</f>
        <v>1.65</v>
      </c>
      <c r="T772" s="1">
        <f ca="1">IFERROR(__xludf.DUMMYFUNCTION("""COMPUTED_VALUE"""),489536)</f>
        <v>489536</v>
      </c>
      <c r="U772" s="1">
        <f ca="1">IFERROR(__xludf.DUMMYFUNCTION("""COMPUTED_VALUE"""),3.3)</f>
        <v>3.3</v>
      </c>
    </row>
    <row r="773" spans="1:21" ht="12.75" x14ac:dyDescent="0.2">
      <c r="A773" s="3">
        <f ca="1">IFERROR(__xludf.DUMMYFUNCTION("""COMPUTED_VALUE"""),40148.5090277777)</f>
        <v>40148.509027777698</v>
      </c>
      <c r="B773" s="1">
        <f ca="1">IFERROR(__xludf.DUMMYFUNCTION("""COMPUTED_VALUE"""),1.95)</f>
        <v>1.95</v>
      </c>
      <c r="E773" s="1" t="str">
        <f ca="1">IFERROR(__xludf.DUMMYFUNCTION("""COMPUTED_VALUE"""),"FELTCRAFT DOLL EMILY")</f>
        <v>FELTCRAFT DOLL EMILY</v>
      </c>
      <c r="F773" s="1">
        <f ca="1">IFERROR(__xludf.DUMMYFUNCTION("""COMPUTED_VALUE"""),1)</f>
        <v>1</v>
      </c>
      <c r="G773" s="1">
        <f ca="1">IFERROR(__xludf.DUMMYFUNCTION("""COMPUTED_VALUE"""),2.95)</f>
        <v>2.95</v>
      </c>
      <c r="J773" s="1" t="str">
        <f ca="1">IFERROR(__xludf.DUMMYFUNCTION("""COMPUTED_VALUE"""),"3 STRIPEY MICE FELTCRAFT")</f>
        <v>3 STRIPEY MICE FELTCRAFT</v>
      </c>
      <c r="K773" s="1">
        <f ca="1">IFERROR(__xludf.DUMMYFUNCTION("""COMPUTED_VALUE"""),2)</f>
        <v>2</v>
      </c>
      <c r="L773" s="1">
        <f ca="1">IFERROR(__xludf.DUMMYFUNCTION("""COMPUTED_VALUE"""),1.95)</f>
        <v>1.95</v>
      </c>
      <c r="T773" s="1">
        <f ca="1">IFERROR(__xludf.DUMMYFUNCTION("""COMPUTED_VALUE"""),489536)</f>
        <v>489536</v>
      </c>
      <c r="U773" s="1">
        <f ca="1">IFERROR(__xludf.DUMMYFUNCTION("""COMPUTED_VALUE"""),3.9)</f>
        <v>3.9</v>
      </c>
    </row>
    <row r="774" spans="1:21" ht="12.75" x14ac:dyDescent="0.2">
      <c r="A774" s="3">
        <f ca="1">IFERROR(__xludf.DUMMYFUNCTION("""COMPUTED_VALUE"""),40148.5090277777)</f>
        <v>40148.509027777698</v>
      </c>
      <c r="B774" s="1">
        <f ca="1">IFERROR(__xludf.DUMMYFUNCTION("""COMPUTED_VALUE"""),1.45)</f>
        <v>1.45</v>
      </c>
      <c r="E774" s="1" t="str">
        <f ca="1">IFERROR(__xludf.DUMMYFUNCTION("""COMPUTED_VALUE"""),"ASSORTED SANSKRIT MINI NOTEBOOK")</f>
        <v>ASSORTED SANSKRIT MINI NOTEBOOK</v>
      </c>
      <c r="F774" s="1">
        <f ca="1">IFERROR(__xludf.DUMMYFUNCTION("""COMPUTED_VALUE"""),18)</f>
        <v>18</v>
      </c>
      <c r="G774" s="1">
        <f ca="1">IFERROR(__xludf.DUMMYFUNCTION("""COMPUTED_VALUE"""),1.25)</f>
        <v>1.25</v>
      </c>
      <c r="J774" s="1" t="str">
        <f ca="1">IFERROR(__xludf.DUMMYFUNCTION("""COMPUTED_VALUE"""),"FELTCRAFT BUTTERFLY HEARTS")</f>
        <v>FELTCRAFT BUTTERFLY HEARTS</v>
      </c>
      <c r="K774" s="1">
        <f ca="1">IFERROR(__xludf.DUMMYFUNCTION("""COMPUTED_VALUE"""),2)</f>
        <v>2</v>
      </c>
      <c r="L774" s="1">
        <f ca="1">IFERROR(__xludf.DUMMYFUNCTION("""COMPUTED_VALUE"""),1.45)</f>
        <v>1.45</v>
      </c>
      <c r="T774" s="1">
        <f ca="1">IFERROR(__xludf.DUMMYFUNCTION("""COMPUTED_VALUE"""),489536)</f>
        <v>489536</v>
      </c>
      <c r="U774" s="1">
        <f ca="1">IFERROR(__xludf.DUMMYFUNCTION("""COMPUTED_VALUE"""),2.9)</f>
        <v>2.9</v>
      </c>
    </row>
    <row r="775" spans="1:21" ht="12.75" x14ac:dyDescent="0.2">
      <c r="A775" s="3">
        <f ca="1">IFERROR(__xludf.DUMMYFUNCTION("""COMPUTED_VALUE"""),40148.5090277777)</f>
        <v>40148.509027777698</v>
      </c>
      <c r="B775" s="1">
        <f ca="1">IFERROR(__xludf.DUMMYFUNCTION("""COMPUTED_VALUE"""),1.25)</f>
        <v>1.25</v>
      </c>
      <c r="E775" s="1" t="str">
        <f ca="1">IFERROR(__xludf.DUMMYFUNCTION("""COMPUTED_VALUE"""),"TRADITIONAL CHRISTMAS RIBBONS")</f>
        <v>TRADITIONAL CHRISTMAS RIBBONS</v>
      </c>
      <c r="F775" s="1">
        <f ca="1">IFERROR(__xludf.DUMMYFUNCTION("""COMPUTED_VALUE"""),12)</f>
        <v>12</v>
      </c>
      <c r="G775" s="1">
        <f ca="1">IFERROR(__xludf.DUMMYFUNCTION("""COMPUTED_VALUE"""),1.25)</f>
        <v>1.25</v>
      </c>
      <c r="J775" s="1" t="str">
        <f ca="1">IFERROR(__xludf.DUMMYFUNCTION("""COMPUTED_VALUE"""),"VINTAGE HEADS AND TAILS CARD GAME")</f>
        <v>VINTAGE HEADS AND TAILS CARD GAME</v>
      </c>
      <c r="K775" s="1">
        <f ca="1">IFERROR(__xludf.DUMMYFUNCTION("""COMPUTED_VALUE"""),2)</f>
        <v>2</v>
      </c>
      <c r="L775" s="1">
        <f ca="1">IFERROR(__xludf.DUMMYFUNCTION("""COMPUTED_VALUE"""),1.25)</f>
        <v>1.25</v>
      </c>
      <c r="T775" s="1">
        <f ca="1">IFERROR(__xludf.DUMMYFUNCTION("""COMPUTED_VALUE"""),489536)</f>
        <v>489536</v>
      </c>
      <c r="U775" s="1">
        <f ca="1">IFERROR(__xludf.DUMMYFUNCTION("""COMPUTED_VALUE"""),2.5)</f>
        <v>2.5</v>
      </c>
    </row>
    <row r="776" spans="1:21" ht="12.75" x14ac:dyDescent="0.2">
      <c r="A776" s="3">
        <f ca="1">IFERROR(__xludf.DUMMYFUNCTION("""COMPUTED_VALUE"""),40148.5090277777)</f>
        <v>40148.509027777698</v>
      </c>
      <c r="B776" s="1">
        <f ca="1">IFERROR(__xludf.DUMMYFUNCTION("""COMPUTED_VALUE"""),2.25)</f>
        <v>2.25</v>
      </c>
      <c r="E776" s="1" t="str">
        <f ca="1">IFERROR(__xludf.DUMMYFUNCTION("""COMPUTED_VALUE"""),"LUSH GREENS RIBBONS")</f>
        <v>LUSH GREENS RIBBONS</v>
      </c>
      <c r="F776" s="1">
        <f ca="1">IFERROR(__xludf.DUMMYFUNCTION("""COMPUTED_VALUE"""),12)</f>
        <v>12</v>
      </c>
      <c r="G776" s="1">
        <f ca="1">IFERROR(__xludf.DUMMYFUNCTION("""COMPUTED_VALUE"""),1.25)</f>
        <v>1.25</v>
      </c>
      <c r="J776" s="1" t="str">
        <f ca="1">IFERROR(__xludf.DUMMYFUNCTION("""COMPUTED_VALUE"""),"SAVE THE PLANET COTTON TOTE BAG")</f>
        <v>SAVE THE PLANET COTTON TOTE BAG</v>
      </c>
      <c r="K776" s="1">
        <f ca="1">IFERROR(__xludf.DUMMYFUNCTION("""COMPUTED_VALUE"""),2)</f>
        <v>2</v>
      </c>
      <c r="L776" s="1">
        <f ca="1">IFERROR(__xludf.DUMMYFUNCTION("""COMPUTED_VALUE"""),2.25)</f>
        <v>2.25</v>
      </c>
      <c r="T776" s="1">
        <f ca="1">IFERROR(__xludf.DUMMYFUNCTION("""COMPUTED_VALUE"""),489536)</f>
        <v>489536</v>
      </c>
      <c r="U776" s="1">
        <f ca="1">IFERROR(__xludf.DUMMYFUNCTION("""COMPUTED_VALUE"""),4.5)</f>
        <v>4.5</v>
      </c>
    </row>
    <row r="777" spans="1:21" ht="12.75" x14ac:dyDescent="0.2">
      <c r="A777" s="3">
        <f ca="1">IFERROR(__xludf.DUMMYFUNCTION("""COMPUTED_VALUE"""),40148.5090277777)</f>
        <v>40148.509027777698</v>
      </c>
      <c r="B777" s="1">
        <f ca="1">IFERROR(__xludf.DUMMYFUNCTION("""COMPUTED_VALUE"""),1.65)</f>
        <v>1.65</v>
      </c>
      <c r="E777" s="1" t="str">
        <f ca="1">IFERROR(__xludf.DUMMYFUNCTION("""COMPUTED_VALUE"""),"CHOCOLATE BOX RIBBONS")</f>
        <v>CHOCOLATE BOX RIBBONS</v>
      </c>
      <c r="F777" s="1">
        <f ca="1">IFERROR(__xludf.DUMMYFUNCTION("""COMPUTED_VALUE"""),12)</f>
        <v>12</v>
      </c>
      <c r="G777" s="1">
        <f ca="1">IFERROR(__xludf.DUMMYFUNCTION("""COMPUTED_VALUE"""),1.25)</f>
        <v>1.25</v>
      </c>
      <c r="J777" s="1" t="str">
        <f ca="1">IFERROR(__xludf.DUMMYFUNCTION("""COMPUTED_VALUE"""),"SLATE TILE NATURAL HANGING")</f>
        <v>SLATE TILE NATURAL HANGING</v>
      </c>
      <c r="K777" s="1">
        <f ca="1">IFERROR(__xludf.DUMMYFUNCTION("""COMPUTED_VALUE"""),2)</f>
        <v>2</v>
      </c>
      <c r="L777" s="1">
        <f ca="1">IFERROR(__xludf.DUMMYFUNCTION("""COMPUTED_VALUE"""),1.65)</f>
        <v>1.65</v>
      </c>
      <c r="T777" s="1">
        <f ca="1">IFERROR(__xludf.DUMMYFUNCTION("""COMPUTED_VALUE"""),489536)</f>
        <v>489536</v>
      </c>
      <c r="U777" s="1">
        <f ca="1">IFERROR(__xludf.DUMMYFUNCTION("""COMPUTED_VALUE"""),3.3)</f>
        <v>3.3</v>
      </c>
    </row>
    <row r="778" spans="1:21" ht="12.75" x14ac:dyDescent="0.2">
      <c r="A778" s="3">
        <f ca="1">IFERROR(__xludf.DUMMYFUNCTION("""COMPUTED_VALUE"""),40148.5090277777)</f>
        <v>40148.509027777698</v>
      </c>
      <c r="B778" s="1">
        <f ca="1">IFERROR(__xludf.DUMMYFUNCTION("""COMPUTED_VALUE"""),2.25)</f>
        <v>2.25</v>
      </c>
      <c r="E778" s="1" t="str">
        <f ca="1">IFERROR(__xludf.DUMMYFUNCTION("""COMPUTED_VALUE"""),"WASH BAG VINTAGE ROSE PAISLEY")</f>
        <v>WASH BAG VINTAGE ROSE PAISLEY</v>
      </c>
      <c r="F778" s="1">
        <f ca="1">IFERROR(__xludf.DUMMYFUNCTION("""COMPUTED_VALUE"""),6)</f>
        <v>6</v>
      </c>
      <c r="G778" s="1">
        <f ca="1">IFERROR(__xludf.DUMMYFUNCTION("""COMPUTED_VALUE"""),2.55)</f>
        <v>2.5499999999999998</v>
      </c>
      <c r="J778" s="1" t="str">
        <f ca="1">IFERROR(__xludf.DUMMYFUNCTION("""COMPUTED_VALUE"""),"WOODLAND DESIGN  COTTON TOTE BAG")</f>
        <v>WOODLAND DESIGN  COTTON TOTE BAG</v>
      </c>
      <c r="K778" s="1">
        <f ca="1">IFERROR(__xludf.DUMMYFUNCTION("""COMPUTED_VALUE"""),2)</f>
        <v>2</v>
      </c>
      <c r="L778" s="1">
        <f ca="1">IFERROR(__xludf.DUMMYFUNCTION("""COMPUTED_VALUE"""),2.25)</f>
        <v>2.25</v>
      </c>
      <c r="T778" s="1">
        <f ca="1">IFERROR(__xludf.DUMMYFUNCTION("""COMPUTED_VALUE"""),489536)</f>
        <v>489536</v>
      </c>
      <c r="U778" s="1">
        <f ca="1">IFERROR(__xludf.DUMMYFUNCTION("""COMPUTED_VALUE"""),4.5)</f>
        <v>4.5</v>
      </c>
    </row>
    <row r="779" spans="1:21" ht="12.75" x14ac:dyDescent="0.2">
      <c r="A779" s="3">
        <f ca="1">IFERROR(__xludf.DUMMYFUNCTION("""COMPUTED_VALUE"""),40148.5090277777)</f>
        <v>40148.509027777698</v>
      </c>
      <c r="B779" s="1">
        <f ca="1">IFERROR(__xludf.DUMMYFUNCTION("""COMPUTED_VALUE"""),1.65)</f>
        <v>1.65</v>
      </c>
      <c r="E779" s="1" t="str">
        <f ca="1">IFERROR(__xludf.DUMMYFUNCTION("""COMPUTED_VALUE"""),"4 WILDFLOWER BOTANICAL CANDLES")</f>
        <v>4 WILDFLOWER BOTANICAL CANDLES</v>
      </c>
      <c r="F779" s="1">
        <f ca="1">IFERROR(__xludf.DUMMYFUNCTION("""COMPUTED_VALUE"""),6)</f>
        <v>6</v>
      </c>
      <c r="G779" s="1">
        <f ca="1">IFERROR(__xludf.DUMMYFUNCTION("""COMPUTED_VALUE"""),3.75)</f>
        <v>3.75</v>
      </c>
      <c r="J779" s="1" t="str">
        <f ca="1">IFERROR(__xludf.DUMMYFUNCTION("""COMPUTED_VALUE"""),"SKULL SHOULDER BAG")</f>
        <v>SKULL SHOULDER BAG</v>
      </c>
      <c r="K779" s="1">
        <f ca="1">IFERROR(__xludf.DUMMYFUNCTION("""COMPUTED_VALUE"""),2)</f>
        <v>2</v>
      </c>
      <c r="L779" s="1">
        <f ca="1">IFERROR(__xludf.DUMMYFUNCTION("""COMPUTED_VALUE"""),1.65)</f>
        <v>1.65</v>
      </c>
      <c r="T779" s="1">
        <f ca="1">IFERROR(__xludf.DUMMYFUNCTION("""COMPUTED_VALUE"""),489536)</f>
        <v>489536</v>
      </c>
      <c r="U779" s="1">
        <f ca="1">IFERROR(__xludf.DUMMYFUNCTION("""COMPUTED_VALUE"""),3.3)</f>
        <v>3.3</v>
      </c>
    </row>
    <row r="780" spans="1:21" ht="12.75" x14ac:dyDescent="0.2">
      <c r="A780" s="3">
        <f ca="1">IFERROR(__xludf.DUMMYFUNCTION("""COMPUTED_VALUE"""),40148.5090277777)</f>
        <v>40148.509027777698</v>
      </c>
      <c r="B780" s="1">
        <f ca="1">IFERROR(__xludf.DUMMYFUNCTION("""COMPUTED_VALUE"""),1.25)</f>
        <v>1.25</v>
      </c>
      <c r="E780" s="1" t="str">
        <f ca="1">IFERROR(__xludf.DUMMYFUNCTION("""COMPUTED_VALUE"""),"4 LAVENDER BOTANICAL DINNER CANDLES")</f>
        <v>4 LAVENDER BOTANICAL DINNER CANDLES</v>
      </c>
      <c r="F780" s="1">
        <f ca="1">IFERROR(__xludf.DUMMYFUNCTION("""COMPUTED_VALUE"""),6)</f>
        <v>6</v>
      </c>
      <c r="G780" s="1">
        <f ca="1">IFERROR(__xludf.DUMMYFUNCTION("""COMPUTED_VALUE"""),3.75)</f>
        <v>3.75</v>
      </c>
      <c r="J780" s="1" t="str">
        <f ca="1">IFERROR(__xludf.DUMMYFUNCTION("""COMPUTED_VALUE"""),"PORCELAIN T-LIGHT HOLDERS ASSORTED")</f>
        <v>PORCELAIN T-LIGHT HOLDERS ASSORTED</v>
      </c>
      <c r="K780" s="1">
        <f ca="1">IFERROR(__xludf.DUMMYFUNCTION("""COMPUTED_VALUE"""),2)</f>
        <v>2</v>
      </c>
      <c r="L780" s="1">
        <f ca="1">IFERROR(__xludf.DUMMYFUNCTION("""COMPUTED_VALUE"""),1.25)</f>
        <v>1.25</v>
      </c>
      <c r="T780" s="1">
        <f ca="1">IFERROR(__xludf.DUMMYFUNCTION("""COMPUTED_VALUE"""),489536)</f>
        <v>489536</v>
      </c>
      <c r="U780" s="1">
        <f ca="1">IFERROR(__xludf.DUMMYFUNCTION("""COMPUTED_VALUE"""),2.5)</f>
        <v>2.5</v>
      </c>
    </row>
    <row r="781" spans="1:21" ht="12.75" x14ac:dyDescent="0.2">
      <c r="A781" s="3">
        <f ca="1">IFERROR(__xludf.DUMMYFUNCTION("""COMPUTED_VALUE"""),40148.5090277777)</f>
        <v>40148.509027777698</v>
      </c>
      <c r="B781" s="1">
        <f ca="1">IFERROR(__xludf.DUMMYFUNCTION("""COMPUTED_VALUE"""),3.75)</f>
        <v>3.75</v>
      </c>
      <c r="E781" s="1" t="str">
        <f ca="1">IFERROR(__xludf.DUMMYFUNCTION("""COMPUTED_VALUE"""),"4 VANILLA BOTANICAL CANDLES")</f>
        <v>4 VANILLA BOTANICAL CANDLES</v>
      </c>
      <c r="F781" s="1">
        <f ca="1">IFERROR(__xludf.DUMMYFUNCTION("""COMPUTED_VALUE"""),6)</f>
        <v>6</v>
      </c>
      <c r="G781" s="1">
        <f ca="1">IFERROR(__xludf.DUMMYFUNCTION("""COMPUTED_VALUE"""),3.75)</f>
        <v>3.75</v>
      </c>
      <c r="J781" s="1" t="str">
        <f ca="1">IFERROR(__xludf.DUMMYFUNCTION("""COMPUTED_VALUE"""),"FULL ENGLISH BREAKFAST PLATE")</f>
        <v>FULL ENGLISH BREAKFAST PLATE</v>
      </c>
      <c r="K781" s="1">
        <f ca="1">IFERROR(__xludf.DUMMYFUNCTION("""COMPUTED_VALUE"""),1)</f>
        <v>1</v>
      </c>
      <c r="L781" s="1">
        <f ca="1">IFERROR(__xludf.DUMMYFUNCTION("""COMPUTED_VALUE"""),3.75)</f>
        <v>3.75</v>
      </c>
      <c r="T781" s="1">
        <f ca="1">IFERROR(__xludf.DUMMYFUNCTION("""COMPUTED_VALUE"""),489536)</f>
        <v>489536</v>
      </c>
      <c r="U781" s="1">
        <f ca="1">IFERROR(__xludf.DUMMYFUNCTION("""COMPUTED_VALUE"""),3.75)</f>
        <v>3.75</v>
      </c>
    </row>
    <row r="782" spans="1:21" ht="12.75" x14ac:dyDescent="0.2">
      <c r="A782" s="3">
        <f ca="1">IFERROR(__xludf.DUMMYFUNCTION("""COMPUTED_VALUE"""),40148.5090277777)</f>
        <v>40148.509027777698</v>
      </c>
      <c r="B782" s="1">
        <f ca="1">IFERROR(__xludf.DUMMYFUNCTION("""COMPUTED_VALUE"""),2.1)</f>
        <v>2.1</v>
      </c>
      <c r="E782" s="1" t="str">
        <f ca="1">IFERROR(__xludf.DUMMYFUNCTION("""COMPUTED_VALUE"""),"SET 12 WILDFLOWER BOTANICAL T-LIGHT")</f>
        <v>SET 12 WILDFLOWER BOTANICAL T-LIGHT</v>
      </c>
      <c r="F782" s="1">
        <f ca="1">IFERROR(__xludf.DUMMYFUNCTION("""COMPUTED_VALUE"""),6)</f>
        <v>6</v>
      </c>
      <c r="G782" s="1">
        <f ca="1">IFERROR(__xludf.DUMMYFUNCTION("""COMPUTED_VALUE"""),2.95)</f>
        <v>2.95</v>
      </c>
      <c r="J782" s="1" t="str">
        <f ca="1">IFERROR(__xludf.DUMMYFUNCTION("""COMPUTED_VALUE"""),"UNION JACK FLAG PASSPORT COVER")</f>
        <v>UNION JACK FLAG PASSPORT COVER</v>
      </c>
      <c r="K782" s="1">
        <f ca="1">IFERROR(__xludf.DUMMYFUNCTION("""COMPUTED_VALUE"""),1)</f>
        <v>1</v>
      </c>
      <c r="L782" s="1">
        <f ca="1">IFERROR(__xludf.DUMMYFUNCTION("""COMPUTED_VALUE"""),2.1)</f>
        <v>2.1</v>
      </c>
      <c r="T782" s="1">
        <f ca="1">IFERROR(__xludf.DUMMYFUNCTION("""COMPUTED_VALUE"""),489536)</f>
        <v>489536</v>
      </c>
      <c r="U782" s="1">
        <f ca="1">IFERROR(__xludf.DUMMYFUNCTION("""COMPUTED_VALUE"""),2.1)</f>
        <v>2.1</v>
      </c>
    </row>
    <row r="783" spans="1:21" ht="12.75" x14ac:dyDescent="0.2">
      <c r="A783" s="3">
        <f ca="1">IFERROR(__xludf.DUMMYFUNCTION("""COMPUTED_VALUE"""),40148.5090277777)</f>
        <v>40148.509027777698</v>
      </c>
      <c r="B783" s="1">
        <f ca="1">IFERROR(__xludf.DUMMYFUNCTION("""COMPUTED_VALUE"""),6.75)</f>
        <v>6.75</v>
      </c>
      <c r="E783" s="1" t="str">
        <f ca="1">IFERROR(__xludf.DUMMYFUNCTION("""COMPUTED_VALUE"""),"GIN + TONIC DIET METAL SIGN")</f>
        <v>GIN + TONIC DIET METAL SIGN</v>
      </c>
      <c r="F783" s="1">
        <f ca="1">IFERROR(__xludf.DUMMYFUNCTION("""COMPUTED_VALUE"""),6)</f>
        <v>6</v>
      </c>
      <c r="G783" s="1">
        <f ca="1">IFERROR(__xludf.DUMMYFUNCTION("""COMPUTED_VALUE"""),2.1)</f>
        <v>2.1</v>
      </c>
      <c r="J783" s="1" t="str">
        <f ca="1">IFERROR(__xludf.DUMMYFUNCTION("""COMPUTED_VALUE"""),"DOOR MAT TOPIARY")</f>
        <v>DOOR MAT TOPIARY</v>
      </c>
      <c r="K783" s="1">
        <f ca="1">IFERROR(__xludf.DUMMYFUNCTION("""COMPUTED_VALUE"""),1)</f>
        <v>1</v>
      </c>
      <c r="L783" s="1">
        <f ca="1">IFERROR(__xludf.DUMMYFUNCTION("""COMPUTED_VALUE"""),6.75)</f>
        <v>6.75</v>
      </c>
      <c r="T783" s="1">
        <f ca="1">IFERROR(__xludf.DUMMYFUNCTION("""COMPUTED_VALUE"""),489536)</f>
        <v>489536</v>
      </c>
      <c r="U783" s="1">
        <f ca="1">IFERROR(__xludf.DUMMYFUNCTION("""COMPUTED_VALUE"""),6.75)</f>
        <v>6.75</v>
      </c>
    </row>
    <row r="784" spans="1:21" ht="12.75" x14ac:dyDescent="0.2">
      <c r="A784" s="3">
        <f ca="1">IFERROR(__xludf.DUMMYFUNCTION("""COMPUTED_VALUE"""),40148.5090277777)</f>
        <v>40148.509027777698</v>
      </c>
      <c r="B784" s="1">
        <f ca="1">IFERROR(__xludf.DUMMYFUNCTION("""COMPUTED_VALUE"""),2.95)</f>
        <v>2.95</v>
      </c>
      <c r="E784" s="1" t="str">
        <f ca="1">IFERROR(__xludf.DUMMYFUNCTION("""COMPUTED_VALUE"""),"OPEN CLOSED METAL SIGN")</f>
        <v>OPEN CLOSED METAL SIGN</v>
      </c>
      <c r="F784" s="1">
        <f ca="1">IFERROR(__xludf.DUMMYFUNCTION("""COMPUTED_VALUE"""),2)</f>
        <v>2</v>
      </c>
      <c r="G784" s="1">
        <f ca="1">IFERROR(__xludf.DUMMYFUNCTION("""COMPUTED_VALUE"""),4.95)</f>
        <v>4.95</v>
      </c>
      <c r="J784" s="1" t="str">
        <f ca="1">IFERROR(__xludf.DUMMYFUNCTION("""COMPUTED_VALUE"""),"RED STAR CARD HOLDER")</f>
        <v>RED STAR CARD HOLDER</v>
      </c>
      <c r="K784" s="1">
        <f ca="1">IFERROR(__xludf.DUMMYFUNCTION("""COMPUTED_VALUE"""),1)</f>
        <v>1</v>
      </c>
      <c r="L784" s="1">
        <f ca="1">IFERROR(__xludf.DUMMYFUNCTION("""COMPUTED_VALUE"""),2.95)</f>
        <v>2.95</v>
      </c>
      <c r="T784" s="1">
        <f ca="1">IFERROR(__xludf.DUMMYFUNCTION("""COMPUTED_VALUE"""),489536)</f>
        <v>489536</v>
      </c>
      <c r="U784" s="1">
        <f ca="1">IFERROR(__xludf.DUMMYFUNCTION("""COMPUTED_VALUE"""),2.95)</f>
        <v>2.95</v>
      </c>
    </row>
    <row r="785" spans="1:21" ht="12.75" x14ac:dyDescent="0.2">
      <c r="A785" s="3">
        <f ca="1">IFERROR(__xludf.DUMMYFUNCTION("""COMPUTED_VALUE"""),40148.5090277777)</f>
        <v>40148.509027777698</v>
      </c>
      <c r="B785" s="1">
        <f ca="1">IFERROR(__xludf.DUMMYFUNCTION("""COMPUTED_VALUE"""),1.25)</f>
        <v>1.25</v>
      </c>
      <c r="E785" s="1" t="str">
        <f ca="1">IFERROR(__xludf.DUMMYFUNCTION("""COMPUTED_VALUE"""),"WHITE SKULL HOT WATER BOTTLE")</f>
        <v>WHITE SKULL HOT WATER BOTTLE</v>
      </c>
      <c r="F785" s="1">
        <f ca="1">IFERROR(__xludf.DUMMYFUNCTION("""COMPUTED_VALUE"""),10)</f>
        <v>10</v>
      </c>
      <c r="G785" s="1">
        <f ca="1">IFERROR(__xludf.DUMMYFUNCTION("""COMPUTED_VALUE"""),3.75)</f>
        <v>3.75</v>
      </c>
      <c r="J785" s="1" t="str">
        <f ca="1">IFERROR(__xludf.DUMMYFUNCTION("""COMPUTED_VALUE"""),"CHRISTMAS HANGING TREE WITH BELL")</f>
        <v>CHRISTMAS HANGING TREE WITH BELL</v>
      </c>
      <c r="K785" s="1">
        <f ca="1">IFERROR(__xludf.DUMMYFUNCTION("""COMPUTED_VALUE"""),1)</f>
        <v>1</v>
      </c>
      <c r="L785" s="1">
        <f ca="1">IFERROR(__xludf.DUMMYFUNCTION("""COMPUTED_VALUE"""),1.25)</f>
        <v>1.25</v>
      </c>
      <c r="T785" s="1">
        <f ca="1">IFERROR(__xludf.DUMMYFUNCTION("""COMPUTED_VALUE"""),489536)</f>
        <v>489536</v>
      </c>
      <c r="U785" s="1">
        <f ca="1">IFERROR(__xludf.DUMMYFUNCTION("""COMPUTED_VALUE"""),1.25)</f>
        <v>1.25</v>
      </c>
    </row>
    <row r="786" spans="1:21" ht="12.75" x14ac:dyDescent="0.2">
      <c r="A786" s="3">
        <f ca="1">IFERROR(__xludf.DUMMYFUNCTION("""COMPUTED_VALUE"""),40148.5090277777)</f>
        <v>40148.509027777698</v>
      </c>
      <c r="B786" s="1">
        <f ca="1">IFERROR(__xludf.DUMMYFUNCTION("""COMPUTED_VALUE"""),1.25)</f>
        <v>1.25</v>
      </c>
      <c r="E786" s="1" t="str">
        <f ca="1">IFERROR(__xludf.DUMMYFUNCTION("""COMPUTED_VALUE"""),"FAIRY CAKE CANDLES")</f>
        <v>FAIRY CAKE CANDLES</v>
      </c>
      <c r="F786" s="1">
        <f ca="1">IFERROR(__xludf.DUMMYFUNCTION("""COMPUTED_VALUE"""),9)</f>
        <v>9</v>
      </c>
      <c r="G786" s="1">
        <f ca="1">IFERROR(__xludf.DUMMYFUNCTION("""COMPUTED_VALUE"""),1.49)</f>
        <v>1.49</v>
      </c>
      <c r="J786" s="1" t="str">
        <f ca="1">IFERROR(__xludf.DUMMYFUNCTION("""COMPUTED_VALUE"""),"CHRISTMAS HANGING TREE WITH BELL")</f>
        <v>CHRISTMAS HANGING TREE WITH BELL</v>
      </c>
      <c r="K786" s="1">
        <f ca="1">IFERROR(__xludf.DUMMYFUNCTION("""COMPUTED_VALUE"""),1)</f>
        <v>1</v>
      </c>
      <c r="L786" s="1">
        <f ca="1">IFERROR(__xludf.DUMMYFUNCTION("""COMPUTED_VALUE"""),1.25)</f>
        <v>1.25</v>
      </c>
      <c r="T786" s="1">
        <f ca="1">IFERROR(__xludf.DUMMYFUNCTION("""COMPUTED_VALUE"""),489536)</f>
        <v>489536</v>
      </c>
      <c r="U786" s="1">
        <f ca="1">IFERROR(__xludf.DUMMYFUNCTION("""COMPUTED_VALUE"""),1.25)</f>
        <v>1.25</v>
      </c>
    </row>
    <row r="787" spans="1:21" ht="12.75" x14ac:dyDescent="0.2">
      <c r="A787" s="3">
        <f ca="1">IFERROR(__xludf.DUMMYFUNCTION("""COMPUTED_VALUE"""),40148.5090277777)</f>
        <v>40148.509027777698</v>
      </c>
      <c r="B787" s="1">
        <f ca="1">IFERROR(__xludf.DUMMYFUNCTION("""COMPUTED_VALUE"""),1.65)</f>
        <v>1.65</v>
      </c>
      <c r="E787" s="1" t="str">
        <f ca="1">IFERROR(__xludf.DUMMYFUNCTION("""COMPUTED_VALUE"""),"SCOTTIE DOG HOT WATER BOTTLE")</f>
        <v>SCOTTIE DOG HOT WATER BOTTLE</v>
      </c>
      <c r="F787" s="1">
        <f ca="1">IFERROR(__xludf.DUMMYFUNCTION("""COMPUTED_VALUE"""),8)</f>
        <v>8</v>
      </c>
      <c r="G787" s="1">
        <f ca="1">IFERROR(__xludf.DUMMYFUNCTION("""COMPUTED_VALUE"""),4.95)</f>
        <v>4.95</v>
      </c>
      <c r="J787" s="1" t="str">
        <f ca="1">IFERROR(__xludf.DUMMYFUNCTION("""COMPUTED_VALUE"""),"6 RIBBONS ELEGANT CHRISTMAS")</f>
        <v>6 RIBBONS ELEGANT CHRISTMAS</v>
      </c>
      <c r="K787" s="1">
        <f ca="1">IFERROR(__xludf.DUMMYFUNCTION("""COMPUTED_VALUE"""),1)</f>
        <v>1</v>
      </c>
      <c r="L787" s="1">
        <f ca="1">IFERROR(__xludf.DUMMYFUNCTION("""COMPUTED_VALUE"""),1.65)</f>
        <v>1.65</v>
      </c>
      <c r="T787" s="1">
        <f ca="1">IFERROR(__xludf.DUMMYFUNCTION("""COMPUTED_VALUE"""),489536)</f>
        <v>489536</v>
      </c>
      <c r="U787" s="1">
        <f ca="1">IFERROR(__xludf.DUMMYFUNCTION("""COMPUTED_VALUE"""),1.65)</f>
        <v>1.65</v>
      </c>
    </row>
    <row r="788" spans="1:21" ht="12.75" x14ac:dyDescent="0.2">
      <c r="A788" s="3">
        <f ca="1">IFERROR(__xludf.DUMMYFUNCTION("""COMPUTED_VALUE"""),40148.5090277777)</f>
        <v>40148.509027777698</v>
      </c>
      <c r="B788" s="1">
        <f ca="1">IFERROR(__xludf.DUMMYFUNCTION("""COMPUTED_VALUE"""),2.95)</f>
        <v>2.95</v>
      </c>
      <c r="E788" s="1" t="str">
        <f ca="1">IFERROR(__xludf.DUMMYFUNCTION("""COMPUTED_VALUE"""),"GREEN 3 PIECE MINI DOTS CUTLERY SET")</f>
        <v>GREEN 3 PIECE MINI DOTS CUTLERY SET</v>
      </c>
      <c r="F788" s="1">
        <f ca="1">IFERROR(__xludf.DUMMYFUNCTION("""COMPUTED_VALUE"""),6)</f>
        <v>6</v>
      </c>
      <c r="G788" s="1">
        <f ca="1">IFERROR(__xludf.DUMMYFUNCTION("""COMPUTED_VALUE"""),3.75)</f>
        <v>3.75</v>
      </c>
      <c r="J788" s="1" t="str">
        <f ca="1">IFERROR(__xludf.DUMMYFUNCTION("""COMPUTED_VALUE"""),"PAPER CHAIN KIT 50'S CHRISTMAS")</f>
        <v>PAPER CHAIN KIT 50'S CHRISTMAS</v>
      </c>
      <c r="K788" s="1">
        <f ca="1">IFERROR(__xludf.DUMMYFUNCTION("""COMPUTED_VALUE"""),1)</f>
        <v>1</v>
      </c>
      <c r="L788" s="1">
        <f ca="1">IFERROR(__xludf.DUMMYFUNCTION("""COMPUTED_VALUE"""),2.95)</f>
        <v>2.95</v>
      </c>
      <c r="T788" s="1">
        <f ca="1">IFERROR(__xludf.DUMMYFUNCTION("""COMPUTED_VALUE"""),489536)</f>
        <v>489536</v>
      </c>
      <c r="U788" s="1">
        <f ca="1">IFERROR(__xludf.DUMMYFUNCTION("""COMPUTED_VALUE"""),2.95)</f>
        <v>2.95</v>
      </c>
    </row>
    <row r="789" spans="1:21" ht="12.75" x14ac:dyDescent="0.2">
      <c r="A789" s="3">
        <f ca="1">IFERROR(__xludf.DUMMYFUNCTION("""COMPUTED_VALUE"""),40148.5090277777)</f>
        <v>40148.509027777698</v>
      </c>
      <c r="B789" s="1">
        <f ca="1">IFERROR(__xludf.DUMMYFUNCTION("""COMPUTED_VALUE"""),2.95)</f>
        <v>2.95</v>
      </c>
      <c r="E789" s="1" t="str">
        <f ca="1">IFERROR(__xludf.DUMMYFUNCTION("""COMPUTED_VALUE"""),"PINK 3 PIECE MINI DOTS CUTLERY SET")</f>
        <v>PINK 3 PIECE MINI DOTS CUTLERY SET</v>
      </c>
      <c r="F789" s="1">
        <f ca="1">IFERROR(__xludf.DUMMYFUNCTION("""COMPUTED_VALUE"""),6)</f>
        <v>6</v>
      </c>
      <c r="G789" s="1">
        <f ca="1">IFERROR(__xludf.DUMMYFUNCTION("""COMPUTED_VALUE"""),3.75)</f>
        <v>3.75</v>
      </c>
      <c r="J789" s="1" t="str">
        <f ca="1">IFERROR(__xludf.DUMMYFUNCTION("""COMPUTED_VALUE"""),"PINK STRIPE HOT WATER BOTTLE")</f>
        <v>PINK STRIPE HOT WATER BOTTLE</v>
      </c>
      <c r="K789" s="1">
        <f ca="1">IFERROR(__xludf.DUMMYFUNCTION("""COMPUTED_VALUE"""),1)</f>
        <v>1</v>
      </c>
      <c r="L789" s="1">
        <f ca="1">IFERROR(__xludf.DUMMYFUNCTION("""COMPUTED_VALUE"""),2.95)</f>
        <v>2.95</v>
      </c>
      <c r="T789" s="1">
        <f ca="1">IFERROR(__xludf.DUMMYFUNCTION("""COMPUTED_VALUE"""),489536)</f>
        <v>489536</v>
      </c>
      <c r="U789" s="1">
        <f ca="1">IFERROR(__xludf.DUMMYFUNCTION("""COMPUTED_VALUE"""),2.95)</f>
        <v>2.95</v>
      </c>
    </row>
    <row r="790" spans="1:21" ht="12.75" x14ac:dyDescent="0.2">
      <c r="A790" s="3">
        <f ca="1">IFERROR(__xludf.DUMMYFUNCTION("""COMPUTED_VALUE"""),40148.5090277777)</f>
        <v>40148.509027777698</v>
      </c>
      <c r="B790" s="1">
        <f ca="1">IFERROR(__xludf.DUMMYFUNCTION("""COMPUTED_VALUE"""),2.1)</f>
        <v>2.1</v>
      </c>
      <c r="E790" s="1" t="str">
        <f ca="1">IFERROR(__xludf.DUMMYFUNCTION("""COMPUTED_VALUE"""),"RED 3 PIECE MINI DOTS CUTLERY SET")</f>
        <v>RED 3 PIECE MINI DOTS CUTLERY SET</v>
      </c>
      <c r="F790" s="1">
        <f ca="1">IFERROR(__xludf.DUMMYFUNCTION("""COMPUTED_VALUE"""),6)</f>
        <v>6</v>
      </c>
      <c r="G790" s="1">
        <f ca="1">IFERROR(__xludf.DUMMYFUNCTION("""COMPUTED_VALUE"""),3.75)</f>
        <v>3.75</v>
      </c>
      <c r="J790" s="1" t="str">
        <f ca="1">IFERROR(__xludf.DUMMYFUNCTION("""COMPUTED_VALUE"""),"SET/6 IVORY BIRD T-LIGHT CANDLES")</f>
        <v>SET/6 IVORY BIRD T-LIGHT CANDLES</v>
      </c>
      <c r="K790" s="1">
        <f ca="1">IFERROR(__xludf.DUMMYFUNCTION("""COMPUTED_VALUE"""),1)</f>
        <v>1</v>
      </c>
      <c r="L790" s="1">
        <f ca="1">IFERROR(__xludf.DUMMYFUNCTION("""COMPUTED_VALUE"""),2.1)</f>
        <v>2.1</v>
      </c>
      <c r="T790" s="1">
        <f ca="1">IFERROR(__xludf.DUMMYFUNCTION("""COMPUTED_VALUE"""),489536)</f>
        <v>489536</v>
      </c>
      <c r="U790" s="1">
        <f ca="1">IFERROR(__xludf.DUMMYFUNCTION("""COMPUTED_VALUE"""),2.1)</f>
        <v>2.1</v>
      </c>
    </row>
    <row r="791" spans="1:21" ht="12.75" x14ac:dyDescent="0.2">
      <c r="A791" s="3">
        <f ca="1">IFERROR(__xludf.DUMMYFUNCTION("""COMPUTED_VALUE"""),40148.5090277777)</f>
        <v>40148.509027777698</v>
      </c>
      <c r="B791" s="1">
        <f ca="1">IFERROR(__xludf.DUMMYFUNCTION("""COMPUTED_VALUE"""),1.95)</f>
        <v>1.95</v>
      </c>
      <c r="E791" s="1" t="str">
        <f ca="1">IFERROR(__xludf.DUMMYFUNCTION("""COMPUTED_VALUE"""),"BLUE 3 PIECE MINI DOTS CUTLERY SET")</f>
        <v>BLUE 3 PIECE MINI DOTS CUTLERY SET</v>
      </c>
      <c r="F791" s="1">
        <f ca="1">IFERROR(__xludf.DUMMYFUNCTION("""COMPUTED_VALUE"""),6)</f>
        <v>6</v>
      </c>
      <c r="G791" s="1">
        <f ca="1">IFERROR(__xludf.DUMMYFUNCTION("""COMPUTED_VALUE"""),3.75)</f>
        <v>3.75</v>
      </c>
      <c r="J791" s="1" t="str">
        <f ca="1">IFERROR(__xludf.DUMMYFUNCTION("""COMPUTED_VALUE"""),"SET/6 SILVER REINDEER T-LIGHTS")</f>
        <v>SET/6 SILVER REINDEER T-LIGHTS</v>
      </c>
      <c r="K791" s="1">
        <f ca="1">IFERROR(__xludf.DUMMYFUNCTION("""COMPUTED_VALUE"""),1)</f>
        <v>1</v>
      </c>
      <c r="L791" s="1">
        <f ca="1">IFERROR(__xludf.DUMMYFUNCTION("""COMPUTED_VALUE"""),1.95)</f>
        <v>1.95</v>
      </c>
      <c r="T791" s="1">
        <f ca="1">IFERROR(__xludf.DUMMYFUNCTION("""COMPUTED_VALUE"""),489536)</f>
        <v>489536</v>
      </c>
      <c r="U791" s="1">
        <f ca="1">IFERROR(__xludf.DUMMYFUNCTION("""COMPUTED_VALUE"""),1.95)</f>
        <v>1.95</v>
      </c>
    </row>
    <row r="792" spans="1:21" ht="12.75" x14ac:dyDescent="0.2">
      <c r="A792" s="3">
        <f ca="1">IFERROR(__xludf.DUMMYFUNCTION("""COMPUTED_VALUE"""),40148.5090277777)</f>
        <v>40148.509027777698</v>
      </c>
      <c r="B792" s="1">
        <f ca="1">IFERROR(__xludf.DUMMYFUNCTION("""COMPUTED_VALUE"""),1.69)</f>
        <v>1.69</v>
      </c>
      <c r="E792" s="1" t="str">
        <f ca="1">IFERROR(__xludf.DUMMYFUNCTION("""COMPUTED_VALUE"""),"TOXIC AREA  DOOR HANGER")</f>
        <v>TOXIC AREA  DOOR HANGER</v>
      </c>
      <c r="F792" s="1">
        <f ca="1">IFERROR(__xludf.DUMMYFUNCTION("""COMPUTED_VALUE"""),4)</f>
        <v>4</v>
      </c>
      <c r="G792" s="1">
        <f ca="1">IFERROR(__xludf.DUMMYFUNCTION("""COMPUTED_VALUE"""),1.45)</f>
        <v>1.45</v>
      </c>
      <c r="J792" s="1" t="str">
        <f ca="1">IFERROR(__xludf.DUMMYFUNCTION("""COMPUTED_VALUE"""),"SET/6 BLACK SNOWFLAKE T-LIGHTS")</f>
        <v>SET/6 BLACK SNOWFLAKE T-LIGHTS</v>
      </c>
      <c r="K792" s="1">
        <f ca="1">IFERROR(__xludf.DUMMYFUNCTION("""COMPUTED_VALUE"""),1)</f>
        <v>1</v>
      </c>
      <c r="L792" s="1">
        <f ca="1">IFERROR(__xludf.DUMMYFUNCTION("""COMPUTED_VALUE"""),1.69)</f>
        <v>1.69</v>
      </c>
      <c r="T792" s="1">
        <f ca="1">IFERROR(__xludf.DUMMYFUNCTION("""COMPUTED_VALUE"""),489536)</f>
        <v>489536</v>
      </c>
      <c r="U792" s="1">
        <f ca="1">IFERROR(__xludf.DUMMYFUNCTION("""COMPUTED_VALUE"""),1.69)</f>
        <v>1.69</v>
      </c>
    </row>
    <row r="793" spans="1:21" ht="12.75" x14ac:dyDescent="0.2">
      <c r="A793" s="3">
        <f ca="1">IFERROR(__xludf.DUMMYFUNCTION("""COMPUTED_VALUE"""),40148.5090277777)</f>
        <v>40148.509027777698</v>
      </c>
      <c r="B793" s="1">
        <f ca="1">IFERROR(__xludf.DUMMYFUNCTION("""COMPUTED_VALUE"""),0.42)</f>
        <v>0.42</v>
      </c>
      <c r="E793" s="1" t="str">
        <f ca="1">IFERROR(__xludf.DUMMYFUNCTION("""COMPUTED_VALUE"""),"CHOCOLATE BOX RIBBONS")</f>
        <v>CHOCOLATE BOX RIBBONS</v>
      </c>
      <c r="F793" s="1">
        <f ca="1">IFERROR(__xludf.DUMMYFUNCTION("""COMPUTED_VALUE"""),3)</f>
        <v>3</v>
      </c>
      <c r="G793" s="1">
        <f ca="1">IFERROR(__xludf.DUMMYFUNCTION("""COMPUTED_VALUE"""),1.25)</f>
        <v>1.25</v>
      </c>
      <c r="J793" s="1" t="str">
        <f ca="1">IFERROR(__xludf.DUMMYFUNCTION("""COMPUTED_VALUE"""),"RAIN HAT WITH RED SPOTS")</f>
        <v>RAIN HAT WITH RED SPOTS</v>
      </c>
      <c r="K793" s="1">
        <f ca="1">IFERROR(__xludf.DUMMYFUNCTION("""COMPUTED_VALUE"""),1)</f>
        <v>1</v>
      </c>
      <c r="L793" s="1">
        <f ca="1">IFERROR(__xludf.DUMMYFUNCTION("""COMPUTED_VALUE"""),0.42)</f>
        <v>0.42</v>
      </c>
      <c r="T793" s="1">
        <f ca="1">IFERROR(__xludf.DUMMYFUNCTION("""COMPUTED_VALUE"""),489536)</f>
        <v>489536</v>
      </c>
      <c r="U793" s="1">
        <f ca="1">IFERROR(__xludf.DUMMYFUNCTION("""COMPUTED_VALUE"""),0.42)</f>
        <v>0.42</v>
      </c>
    </row>
    <row r="794" spans="1:21" ht="12.75" x14ac:dyDescent="0.2">
      <c r="A794" s="3">
        <f ca="1">IFERROR(__xludf.DUMMYFUNCTION("""COMPUTED_VALUE"""),40148.5090277777)</f>
        <v>40148.509027777698</v>
      </c>
      <c r="B794" s="1">
        <f ca="1">IFERROR(__xludf.DUMMYFUNCTION("""COMPUTED_VALUE"""),2.1)</f>
        <v>2.1</v>
      </c>
      <c r="E794" s="1" t="str">
        <f ca="1">IFERROR(__xludf.DUMMYFUNCTION("""COMPUTED_VALUE"""),"SET OF THREE 50'S GIFT WRAPS")</f>
        <v>SET OF THREE 50'S GIFT WRAPS</v>
      </c>
      <c r="F794" s="1">
        <f ca="1">IFERROR(__xludf.DUMMYFUNCTION("""COMPUTED_VALUE"""),3)</f>
        <v>3</v>
      </c>
      <c r="G794" s="1">
        <f ca="1">IFERROR(__xludf.DUMMYFUNCTION("""COMPUTED_VALUE"""),1.95)</f>
        <v>1.95</v>
      </c>
      <c r="J794" s="1" t="str">
        <f ca="1">IFERROR(__xludf.DUMMYFUNCTION("""COMPUTED_VALUE"""),"RETRO BLUE SPOTTY WASHING UP GLOVES")</f>
        <v>RETRO BLUE SPOTTY WASHING UP GLOVES</v>
      </c>
      <c r="K794" s="1">
        <f ca="1">IFERROR(__xludf.DUMMYFUNCTION("""COMPUTED_VALUE"""),1)</f>
        <v>1</v>
      </c>
      <c r="L794" s="1">
        <f ca="1">IFERROR(__xludf.DUMMYFUNCTION("""COMPUTED_VALUE"""),2.1)</f>
        <v>2.1</v>
      </c>
      <c r="T794" s="1">
        <f ca="1">IFERROR(__xludf.DUMMYFUNCTION("""COMPUTED_VALUE"""),489536)</f>
        <v>489536</v>
      </c>
      <c r="U794" s="1">
        <f ca="1">IFERROR(__xludf.DUMMYFUNCTION("""COMPUTED_VALUE"""),2.1)</f>
        <v>2.1</v>
      </c>
    </row>
    <row r="795" spans="1:21" ht="12.75" x14ac:dyDescent="0.2">
      <c r="A795" s="3">
        <f ca="1">IFERROR(__xludf.DUMMYFUNCTION("""COMPUTED_VALUE"""),40148.5090277777)</f>
        <v>40148.509027777698</v>
      </c>
      <c r="B795" s="1">
        <f ca="1">IFERROR(__xludf.DUMMYFUNCTION("""COMPUTED_VALUE"""),2.1)</f>
        <v>2.1</v>
      </c>
      <c r="E795" s="1" t="str">
        <f ca="1">IFERROR(__xludf.DUMMYFUNCTION("""COMPUTED_VALUE"""),"RIBBON REEL HEARTS DESIGN")</f>
        <v>RIBBON REEL HEARTS DESIGN</v>
      </c>
      <c r="F795" s="1">
        <f ca="1">IFERROR(__xludf.DUMMYFUNCTION("""COMPUTED_VALUE"""),2)</f>
        <v>2</v>
      </c>
      <c r="G795" s="1">
        <f ca="1">IFERROR(__xludf.DUMMYFUNCTION("""COMPUTED_VALUE"""),1.65)</f>
        <v>1.65</v>
      </c>
      <c r="J795" s="1" t="str">
        <f ca="1">IFERROR(__xludf.DUMMYFUNCTION("""COMPUTED_VALUE"""),"RETRO RED SPOTTY WASHING UP GLOVES")</f>
        <v>RETRO RED SPOTTY WASHING UP GLOVES</v>
      </c>
      <c r="K795" s="1">
        <f ca="1">IFERROR(__xludf.DUMMYFUNCTION("""COMPUTED_VALUE"""),1)</f>
        <v>1</v>
      </c>
      <c r="L795" s="1">
        <f ca="1">IFERROR(__xludf.DUMMYFUNCTION("""COMPUTED_VALUE"""),2.1)</f>
        <v>2.1</v>
      </c>
      <c r="T795" s="1">
        <f ca="1">IFERROR(__xludf.DUMMYFUNCTION("""COMPUTED_VALUE"""),489536)</f>
        <v>489536</v>
      </c>
      <c r="U795" s="1">
        <f ca="1">IFERROR(__xludf.DUMMYFUNCTION("""COMPUTED_VALUE"""),2.1)</f>
        <v>2.1</v>
      </c>
    </row>
    <row r="796" spans="1:21" ht="12.75" x14ac:dyDescent="0.2">
      <c r="A796" s="3">
        <f ca="1">IFERROR(__xludf.DUMMYFUNCTION("""COMPUTED_VALUE"""),40148.5090277777)</f>
        <v>40148.509027777698</v>
      </c>
      <c r="B796" s="1">
        <f ca="1">IFERROR(__xludf.DUMMYFUNCTION("""COMPUTED_VALUE"""),1.65)</f>
        <v>1.65</v>
      </c>
      <c r="E796" s="1" t="str">
        <f ca="1">IFERROR(__xludf.DUMMYFUNCTION("""COMPUTED_VALUE"""),"SET/4 BADGES WOODLAND ANIMAL")</f>
        <v>SET/4 BADGES WOODLAND ANIMAL</v>
      </c>
      <c r="F796" s="1">
        <f ca="1">IFERROR(__xludf.DUMMYFUNCTION("""COMPUTED_VALUE"""),2)</f>
        <v>2</v>
      </c>
      <c r="G796" s="1">
        <f ca="1">IFERROR(__xludf.DUMMYFUNCTION("""COMPUTED_VALUE"""),1.25)</f>
        <v>1.25</v>
      </c>
      <c r="J796" s="1" t="str">
        <f ca="1">IFERROR(__xludf.DUMMYFUNCTION("""COMPUTED_VALUE"""),"WISE MAN STAR SHAPE EGG PAN")</f>
        <v>WISE MAN STAR SHAPE EGG PAN</v>
      </c>
      <c r="K796" s="1">
        <f ca="1">IFERROR(__xludf.DUMMYFUNCTION("""COMPUTED_VALUE"""),1)</f>
        <v>1</v>
      </c>
      <c r="L796" s="1">
        <f ca="1">IFERROR(__xludf.DUMMYFUNCTION("""COMPUTED_VALUE"""),1.65)</f>
        <v>1.65</v>
      </c>
      <c r="T796" s="1">
        <f ca="1">IFERROR(__xludf.DUMMYFUNCTION("""COMPUTED_VALUE"""),489536)</f>
        <v>489536</v>
      </c>
      <c r="U796" s="1">
        <f ca="1">IFERROR(__xludf.DUMMYFUNCTION("""COMPUTED_VALUE"""),1.65)</f>
        <v>1.65</v>
      </c>
    </row>
    <row r="797" spans="1:21" ht="12.75" x14ac:dyDescent="0.2">
      <c r="A797" s="3">
        <f ca="1">IFERROR(__xludf.DUMMYFUNCTION("""COMPUTED_VALUE"""),40148.5090277777)</f>
        <v>40148.509027777698</v>
      </c>
      <c r="B797" s="1">
        <f ca="1">IFERROR(__xludf.DUMMYFUNCTION("""COMPUTED_VALUE"""),2.1)</f>
        <v>2.1</v>
      </c>
      <c r="E797" s="1" t="str">
        <f ca="1">IFERROR(__xludf.DUMMYFUNCTION("""COMPUTED_VALUE"""),"BRIGHT BLUES RIBBONS")</f>
        <v>BRIGHT BLUES RIBBONS</v>
      </c>
      <c r="F797" s="1">
        <f ca="1">IFERROR(__xludf.DUMMYFUNCTION("""COMPUTED_VALUE"""),2)</f>
        <v>2</v>
      </c>
      <c r="G797" s="1">
        <f ca="1">IFERROR(__xludf.DUMMYFUNCTION("""COMPUTED_VALUE"""),1.25)</f>
        <v>1.25</v>
      </c>
      <c r="J797" s="1" t="str">
        <f ca="1">IFERROR(__xludf.DUMMYFUNCTION("""COMPUTED_VALUE"""),"PINK UNION JACK  PASSPORT COVER")</f>
        <v>PINK UNION JACK  PASSPORT COVER</v>
      </c>
      <c r="K797" s="1">
        <f ca="1">IFERROR(__xludf.DUMMYFUNCTION("""COMPUTED_VALUE"""),1)</f>
        <v>1</v>
      </c>
      <c r="L797" s="1">
        <f ca="1">IFERROR(__xludf.DUMMYFUNCTION("""COMPUTED_VALUE"""),2.1)</f>
        <v>2.1</v>
      </c>
      <c r="T797" s="1">
        <f ca="1">IFERROR(__xludf.DUMMYFUNCTION("""COMPUTED_VALUE"""),489536)</f>
        <v>489536</v>
      </c>
      <c r="U797" s="1">
        <f ca="1">IFERROR(__xludf.DUMMYFUNCTION("""COMPUTED_VALUE"""),2.1)</f>
        <v>2.1</v>
      </c>
    </row>
    <row r="798" spans="1:21" ht="12.75" x14ac:dyDescent="0.2">
      <c r="A798" s="3">
        <f ca="1">IFERROR(__xludf.DUMMYFUNCTION("""COMPUTED_VALUE"""),40148.5090277777)</f>
        <v>40148.509027777698</v>
      </c>
      <c r="B798" s="1">
        <f ca="1">IFERROR(__xludf.DUMMYFUNCTION("""COMPUTED_VALUE"""),1.65)</f>
        <v>1.65</v>
      </c>
      <c r="E798" s="1" t="str">
        <f ca="1">IFERROR(__xludf.DUMMYFUNCTION("""COMPUTED_VALUE"""),"PAPER CHAIN KIT 50'S CHRISTMAS")</f>
        <v>PAPER CHAIN KIT 50'S CHRISTMAS</v>
      </c>
      <c r="F798" s="1">
        <f ca="1">IFERROR(__xludf.DUMMYFUNCTION("""COMPUTED_VALUE"""),2)</f>
        <v>2</v>
      </c>
      <c r="G798" s="1">
        <f ca="1">IFERROR(__xludf.DUMMYFUNCTION("""COMPUTED_VALUE"""),2.95)</f>
        <v>2.95</v>
      </c>
      <c r="J798" s="1" t="str">
        <f ca="1">IFERROR(__xludf.DUMMYFUNCTION("""COMPUTED_VALUE"""),"CHOCOLATE CALCULATOR")</f>
        <v>CHOCOLATE CALCULATOR</v>
      </c>
      <c r="K798" s="1">
        <f ca="1">IFERROR(__xludf.DUMMYFUNCTION("""COMPUTED_VALUE"""),1)</f>
        <v>1</v>
      </c>
      <c r="L798" s="1">
        <f ca="1">IFERROR(__xludf.DUMMYFUNCTION("""COMPUTED_VALUE"""),1.65)</f>
        <v>1.65</v>
      </c>
      <c r="T798" s="1">
        <f ca="1">IFERROR(__xludf.DUMMYFUNCTION("""COMPUTED_VALUE"""),489536)</f>
        <v>489536</v>
      </c>
      <c r="U798" s="1">
        <f ca="1">IFERROR(__xludf.DUMMYFUNCTION("""COMPUTED_VALUE"""),1.65)</f>
        <v>1.65</v>
      </c>
    </row>
    <row r="799" spans="1:21" ht="12.75" x14ac:dyDescent="0.2">
      <c r="A799" s="3">
        <f ca="1">IFERROR(__xludf.DUMMYFUNCTION("""COMPUTED_VALUE"""),40148.5090277777)</f>
        <v>40148.509027777698</v>
      </c>
      <c r="B799" s="1">
        <f ca="1">IFERROR(__xludf.DUMMYFUNCTION("""COMPUTED_VALUE"""),2.95)</f>
        <v>2.95</v>
      </c>
      <c r="E799" s="1" t="str">
        <f ca="1">IFERROR(__xludf.DUMMYFUNCTION("""COMPUTED_VALUE"""),"FELTCRAFT DOLL ROSIE")</f>
        <v>FELTCRAFT DOLL ROSIE</v>
      </c>
      <c r="F799" s="1">
        <f ca="1">IFERROR(__xludf.DUMMYFUNCTION("""COMPUTED_VALUE"""),2)</f>
        <v>2</v>
      </c>
      <c r="G799" s="1">
        <f ca="1">IFERROR(__xludf.DUMMYFUNCTION("""COMPUTED_VALUE"""),2.95)</f>
        <v>2.95</v>
      </c>
      <c r="J799" s="1" t="str">
        <f ca="1">IFERROR(__xludf.DUMMYFUNCTION("""COMPUTED_VALUE"""),"BLUE CHARLIE+LOLA PERSONAL DOORSIGN")</f>
        <v>BLUE CHARLIE+LOLA PERSONAL DOORSIGN</v>
      </c>
      <c r="K799" s="1">
        <f ca="1">IFERROR(__xludf.DUMMYFUNCTION("""COMPUTED_VALUE"""),1)</f>
        <v>1</v>
      </c>
      <c r="L799" s="1">
        <f ca="1">IFERROR(__xludf.DUMMYFUNCTION("""COMPUTED_VALUE"""),2.95)</f>
        <v>2.95</v>
      </c>
      <c r="T799" s="1">
        <f ca="1">IFERROR(__xludf.DUMMYFUNCTION("""COMPUTED_VALUE"""),489536)</f>
        <v>489536</v>
      </c>
      <c r="U799" s="1">
        <f ca="1">IFERROR(__xludf.DUMMYFUNCTION("""COMPUTED_VALUE"""),2.95)</f>
        <v>2.95</v>
      </c>
    </row>
    <row r="800" spans="1:21" ht="12.75" x14ac:dyDescent="0.2">
      <c r="A800" s="3">
        <f ca="1">IFERROR(__xludf.DUMMYFUNCTION("""COMPUTED_VALUE"""),40148.5090277777)</f>
        <v>40148.509027777698</v>
      </c>
      <c r="B800" s="1">
        <f ca="1">IFERROR(__xludf.DUMMYFUNCTION("""COMPUTED_VALUE"""),2.95)</f>
        <v>2.95</v>
      </c>
      <c r="E800" s="1" t="str">
        <f ca="1">IFERROR(__xludf.DUMMYFUNCTION("""COMPUTED_VALUE"""),"FELTCRAFT DOLL MOLLY")</f>
        <v>FELTCRAFT DOLL MOLLY</v>
      </c>
      <c r="F800" s="1">
        <f ca="1">IFERROR(__xludf.DUMMYFUNCTION("""COMPUTED_VALUE"""),2)</f>
        <v>2</v>
      </c>
      <c r="G800" s="1">
        <f ca="1">IFERROR(__xludf.DUMMYFUNCTION("""COMPUTED_VALUE"""),2.95)</f>
        <v>2.95</v>
      </c>
      <c r="J800" s="1" t="str">
        <f ca="1">IFERROR(__xludf.DUMMYFUNCTION("""COMPUTED_VALUE"""),"RED CHARLIE+LOLA PERSONAL DOORSIGN")</f>
        <v>RED CHARLIE+LOLA PERSONAL DOORSIGN</v>
      </c>
      <c r="K800" s="1">
        <f ca="1">IFERROR(__xludf.DUMMYFUNCTION("""COMPUTED_VALUE"""),1)</f>
        <v>1</v>
      </c>
      <c r="L800" s="1">
        <f ca="1">IFERROR(__xludf.DUMMYFUNCTION("""COMPUTED_VALUE"""),2.95)</f>
        <v>2.95</v>
      </c>
      <c r="T800" s="1">
        <f ca="1">IFERROR(__xludf.DUMMYFUNCTION("""COMPUTED_VALUE"""),489536)</f>
        <v>489536</v>
      </c>
      <c r="U800" s="1">
        <f ca="1">IFERROR(__xludf.DUMMYFUNCTION("""COMPUTED_VALUE"""),2.95)</f>
        <v>2.95</v>
      </c>
    </row>
    <row r="801" spans="1:21" ht="12.75" x14ac:dyDescent="0.2">
      <c r="A801" s="3">
        <f ca="1">IFERROR(__xludf.DUMMYFUNCTION("""COMPUTED_VALUE"""),40148.5090277777)</f>
        <v>40148.509027777698</v>
      </c>
      <c r="B801" s="1">
        <f ca="1">IFERROR(__xludf.DUMMYFUNCTION("""COMPUTED_VALUE"""),1.25)</f>
        <v>1.25</v>
      </c>
      <c r="E801" s="1" t="str">
        <f ca="1">IFERROR(__xludf.DUMMYFUNCTION("""COMPUTED_VALUE"""),"FELTCRAFT DOLL MARIA")</f>
        <v>FELTCRAFT DOLL MARIA</v>
      </c>
      <c r="F801" s="1">
        <f ca="1">IFERROR(__xludf.DUMMYFUNCTION("""COMPUTED_VALUE"""),2)</f>
        <v>2</v>
      </c>
      <c r="G801" s="1">
        <f ca="1">IFERROR(__xludf.DUMMYFUNCTION("""COMPUTED_VALUE"""),2.95)</f>
        <v>2.95</v>
      </c>
      <c r="J801" s="1" t="str">
        <f ca="1">IFERROR(__xludf.DUMMYFUNCTION("""COMPUTED_VALUE"""),"SET OF 6 CAKE CHOPSTICKS")</f>
        <v>SET OF 6 CAKE CHOPSTICKS</v>
      </c>
      <c r="K801" s="1">
        <f ca="1">IFERROR(__xludf.DUMMYFUNCTION("""COMPUTED_VALUE"""),1)</f>
        <v>1</v>
      </c>
      <c r="L801" s="1">
        <f ca="1">IFERROR(__xludf.DUMMYFUNCTION("""COMPUTED_VALUE"""),1.25)</f>
        <v>1.25</v>
      </c>
      <c r="T801" s="1">
        <f ca="1">IFERROR(__xludf.DUMMYFUNCTION("""COMPUTED_VALUE"""),489536)</f>
        <v>489536</v>
      </c>
      <c r="U801" s="1">
        <f ca="1">IFERROR(__xludf.DUMMYFUNCTION("""COMPUTED_VALUE"""),1.25)</f>
        <v>1.25</v>
      </c>
    </row>
    <row r="802" spans="1:21" ht="12.75" x14ac:dyDescent="0.2">
      <c r="A802" s="3">
        <f ca="1">IFERROR(__xludf.DUMMYFUNCTION("""COMPUTED_VALUE"""),40148.5090277777)</f>
        <v>40148.509027777698</v>
      </c>
      <c r="B802" s="1">
        <f ca="1">IFERROR(__xludf.DUMMYFUNCTION("""COMPUTED_VALUE"""),1.25)</f>
        <v>1.25</v>
      </c>
      <c r="E802" s="1" t="str">
        <f ca="1">IFERROR(__xludf.DUMMYFUNCTION("""COMPUTED_VALUE"""),"URBAN BLACK RIBBONS")</f>
        <v>URBAN BLACK RIBBONS</v>
      </c>
      <c r="F802" s="1">
        <f ca="1">IFERROR(__xludf.DUMMYFUNCTION("""COMPUTED_VALUE"""),1)</f>
        <v>1</v>
      </c>
      <c r="G802" s="1">
        <f ca="1">IFERROR(__xludf.DUMMYFUNCTION("""COMPUTED_VALUE"""),1.25)</f>
        <v>1.25</v>
      </c>
      <c r="J802" s="1" t="str">
        <f ca="1">IFERROR(__xludf.DUMMYFUNCTION("""COMPUTED_VALUE"""),"FEATHER DUSTER, COAL BLACK")</f>
        <v>FEATHER DUSTER, COAL BLACK</v>
      </c>
      <c r="K802" s="1">
        <f ca="1">IFERROR(__xludf.DUMMYFUNCTION("""COMPUTED_VALUE"""),1)</f>
        <v>1</v>
      </c>
      <c r="L802" s="1">
        <f ca="1">IFERROR(__xludf.DUMMYFUNCTION("""COMPUTED_VALUE"""),1.25)</f>
        <v>1.25</v>
      </c>
      <c r="T802" s="1">
        <f ca="1">IFERROR(__xludf.DUMMYFUNCTION("""COMPUTED_VALUE"""),489536)</f>
        <v>489536</v>
      </c>
      <c r="U802" s="1">
        <f ca="1">IFERROR(__xludf.DUMMYFUNCTION("""COMPUTED_VALUE"""),1.25)</f>
        <v>1.25</v>
      </c>
    </row>
    <row r="803" spans="1:21" ht="12.75" x14ac:dyDescent="0.2">
      <c r="A803" s="3">
        <f ca="1">IFERROR(__xludf.DUMMYFUNCTION("""COMPUTED_VALUE"""),40148.5090277777)</f>
        <v>40148.509027777698</v>
      </c>
      <c r="B803" s="1">
        <f ca="1">IFERROR(__xludf.DUMMYFUNCTION("""COMPUTED_VALUE"""),0.95)</f>
        <v>0.95</v>
      </c>
      <c r="E803" s="1" t="str">
        <f ca="1">IFERROR(__xludf.DUMMYFUNCTION("""COMPUTED_VALUE"""),"LETS GO SHOPPING COTTON TOTE BAG")</f>
        <v>LETS GO SHOPPING COTTON TOTE BAG</v>
      </c>
      <c r="F803" s="1">
        <f ca="1">IFERROR(__xludf.DUMMYFUNCTION("""COMPUTED_VALUE"""),1)</f>
        <v>1</v>
      </c>
      <c r="G803" s="1">
        <f ca="1">IFERROR(__xludf.DUMMYFUNCTION("""COMPUTED_VALUE"""),2.25)</f>
        <v>2.25</v>
      </c>
      <c r="J803" s="1" t="str">
        <f ca="1">IFERROR(__xludf.DUMMYFUNCTION("""COMPUTED_VALUE"""),"REX CASH+CARRY JUMBO SHOPPER")</f>
        <v>REX CASH+CARRY JUMBO SHOPPER</v>
      </c>
      <c r="K803" s="1">
        <f ca="1">IFERROR(__xludf.DUMMYFUNCTION("""COMPUTED_VALUE"""),1)</f>
        <v>1</v>
      </c>
      <c r="L803" s="1">
        <f ca="1">IFERROR(__xludf.DUMMYFUNCTION("""COMPUTED_VALUE"""),0.95)</f>
        <v>0.95</v>
      </c>
      <c r="T803" s="1">
        <f ca="1">IFERROR(__xludf.DUMMYFUNCTION("""COMPUTED_VALUE"""),489536)</f>
        <v>489536</v>
      </c>
      <c r="U803" s="1">
        <f ca="1">IFERROR(__xludf.DUMMYFUNCTION("""COMPUTED_VALUE"""),0.95)</f>
        <v>0.95</v>
      </c>
    </row>
    <row r="804" spans="1:21" ht="12.75" x14ac:dyDescent="0.2">
      <c r="A804" s="3">
        <f ca="1">IFERROR(__xludf.DUMMYFUNCTION("""COMPUTED_VALUE"""),40148.5090277777)</f>
        <v>40148.509027777698</v>
      </c>
      <c r="B804" s="1">
        <f ca="1">IFERROR(__xludf.DUMMYFUNCTION("""COMPUTED_VALUE"""),2.55)</f>
        <v>2.5499999999999998</v>
      </c>
      <c r="E804" s="1" t="str">
        <f ca="1">IFERROR(__xludf.DUMMYFUNCTION("""COMPUTED_VALUE"""),"RABBIT  DESIGN  COTTON TOTE BAG")</f>
        <v>RABBIT  DESIGN  COTTON TOTE BAG</v>
      </c>
      <c r="F804" s="1">
        <f ca="1">IFERROR(__xludf.DUMMYFUNCTION("""COMPUTED_VALUE"""),1)</f>
        <v>1</v>
      </c>
      <c r="G804" s="1">
        <f ca="1">IFERROR(__xludf.DUMMYFUNCTION("""COMPUTED_VALUE"""),2.25)</f>
        <v>2.25</v>
      </c>
      <c r="J804" s="1" t="str">
        <f ca="1">IFERROR(__xludf.DUMMYFUNCTION("""COMPUTED_VALUE"""),"CROCHET BEAR WITH BLUE STRIPES")</f>
        <v>CROCHET BEAR WITH BLUE STRIPES</v>
      </c>
      <c r="K804" s="1">
        <f ca="1">IFERROR(__xludf.DUMMYFUNCTION("""COMPUTED_VALUE"""),1)</f>
        <v>1</v>
      </c>
      <c r="L804" s="1">
        <f ca="1">IFERROR(__xludf.DUMMYFUNCTION("""COMPUTED_VALUE"""),2.55)</f>
        <v>2.5499999999999998</v>
      </c>
      <c r="T804" s="1">
        <f ca="1">IFERROR(__xludf.DUMMYFUNCTION("""COMPUTED_VALUE"""),489536)</f>
        <v>489536</v>
      </c>
      <c r="U804" s="1">
        <f ca="1">IFERROR(__xludf.DUMMYFUNCTION("""COMPUTED_VALUE"""),2.55)</f>
        <v>2.5499999999999998</v>
      </c>
    </row>
    <row r="805" spans="1:21" ht="12.75" x14ac:dyDescent="0.2">
      <c r="A805" s="3">
        <f ca="1">IFERROR(__xludf.DUMMYFUNCTION("""COMPUTED_VALUE"""),40148.5090277777)</f>
        <v>40148.509027777698</v>
      </c>
      <c r="B805" s="1">
        <f ca="1">IFERROR(__xludf.DUMMYFUNCTION("""COMPUTED_VALUE"""),1.25)</f>
        <v>1.25</v>
      </c>
      <c r="E805" s="1" t="str">
        <f ca="1">IFERROR(__xludf.DUMMYFUNCTION("""COMPUTED_VALUE"""),"HAND OPEN SHAPE DECO.WHITE")</f>
        <v>HAND OPEN SHAPE DECO.WHITE</v>
      </c>
      <c r="F805" s="1">
        <f ca="1">IFERROR(__xludf.DUMMYFUNCTION("""COMPUTED_VALUE"""),-6)</f>
        <v>-6</v>
      </c>
      <c r="G805" s="1">
        <f ca="1">IFERROR(__xludf.DUMMYFUNCTION("""COMPUTED_VALUE"""),3.49)</f>
        <v>3.49</v>
      </c>
      <c r="J805" s="1" t="str">
        <f ca="1">IFERROR(__xludf.DUMMYFUNCTION("""COMPUTED_VALUE"""),"SMALL SKULL WINDMILL")</f>
        <v>SMALL SKULL WINDMILL</v>
      </c>
      <c r="K805" s="1">
        <f ca="1">IFERROR(__xludf.DUMMYFUNCTION("""COMPUTED_VALUE"""),1)</f>
        <v>1</v>
      </c>
      <c r="L805" s="1">
        <f ca="1">IFERROR(__xludf.DUMMYFUNCTION("""COMPUTED_VALUE"""),1.25)</f>
        <v>1.25</v>
      </c>
      <c r="T805" s="1">
        <f ca="1">IFERROR(__xludf.DUMMYFUNCTION("""COMPUTED_VALUE"""),489536)</f>
        <v>489536</v>
      </c>
      <c r="U805" s="1">
        <f ca="1">IFERROR(__xludf.DUMMYFUNCTION("""COMPUTED_VALUE"""),1.25)</f>
        <v>1.25</v>
      </c>
    </row>
    <row r="806" spans="1:21" ht="12.75" x14ac:dyDescent="0.2">
      <c r="A806" s="3">
        <f ca="1">IFERROR(__xludf.DUMMYFUNCTION("""COMPUTED_VALUE"""),40148.5090277777)</f>
        <v>40148.509027777698</v>
      </c>
      <c r="B806" s="1">
        <f ca="1">IFERROR(__xludf.DUMMYFUNCTION("""COMPUTED_VALUE"""),0.85)</f>
        <v>0.85</v>
      </c>
      <c r="E806" s="1" t="str">
        <f ca="1">IFERROR(__xludf.DUMMYFUNCTION("""COMPUTED_VALUE"""),"HAND OPEN SHAPE BLACK")</f>
        <v>HAND OPEN SHAPE BLACK</v>
      </c>
      <c r="F806" s="1">
        <f ca="1">IFERROR(__xludf.DUMMYFUNCTION("""COMPUTED_VALUE"""),-2)</f>
        <v>-2</v>
      </c>
      <c r="G806" s="1">
        <f ca="1">IFERROR(__xludf.DUMMYFUNCTION("""COMPUTED_VALUE"""),2.95)</f>
        <v>2.95</v>
      </c>
      <c r="J806" s="1" t="str">
        <f ca="1">IFERROR(__xludf.DUMMYFUNCTION("""COMPUTED_VALUE"""),"POPCORN HOLDER , SMALL ")</f>
        <v xml:space="preserve">POPCORN HOLDER , SMALL </v>
      </c>
      <c r="K806" s="1">
        <f ca="1">IFERROR(__xludf.DUMMYFUNCTION("""COMPUTED_VALUE"""),1)</f>
        <v>1</v>
      </c>
      <c r="L806" s="1">
        <f ca="1">IFERROR(__xludf.DUMMYFUNCTION("""COMPUTED_VALUE"""),0.85)</f>
        <v>0.85</v>
      </c>
      <c r="T806" s="1">
        <f ca="1">IFERROR(__xludf.DUMMYFUNCTION("""COMPUTED_VALUE"""),489536)</f>
        <v>489536</v>
      </c>
      <c r="U806" s="1">
        <f ca="1">IFERROR(__xludf.DUMMYFUNCTION("""COMPUTED_VALUE"""),0.85)</f>
        <v>0.85</v>
      </c>
    </row>
    <row r="807" spans="1:21" ht="12.75" x14ac:dyDescent="0.2">
      <c r="A807" s="3">
        <f ca="1">IFERROR(__xludf.DUMMYFUNCTION("""COMPUTED_VALUE"""),40148.5090277777)</f>
        <v>40148.509027777698</v>
      </c>
      <c r="B807" s="1">
        <f ca="1">IFERROR(__xludf.DUMMYFUNCTION("""COMPUTED_VALUE"""),3.75)</f>
        <v>3.75</v>
      </c>
      <c r="E807" s="1" t="str">
        <f ca="1">IFERROR(__xludf.DUMMYFUNCTION("""COMPUTED_VALUE"""),"ANTIQUE LILY FAIRY LIGHTS")</f>
        <v>ANTIQUE LILY FAIRY LIGHTS</v>
      </c>
      <c r="F807" s="1">
        <f ca="1">IFERROR(__xludf.DUMMYFUNCTION("""COMPUTED_VALUE"""),-3)</f>
        <v>-3</v>
      </c>
      <c r="G807" s="1">
        <f ca="1">IFERROR(__xludf.DUMMYFUNCTION("""COMPUTED_VALUE"""),4.25)</f>
        <v>4.25</v>
      </c>
      <c r="J807" s="1" t="str">
        <f ca="1">IFERROR(__xludf.DUMMYFUNCTION("""COMPUTED_VALUE"""),"PIZZA PLATE IN BOX")</f>
        <v>PIZZA PLATE IN BOX</v>
      </c>
      <c r="K807" s="1">
        <f ca="1">IFERROR(__xludf.DUMMYFUNCTION("""COMPUTED_VALUE"""),1)</f>
        <v>1</v>
      </c>
      <c r="L807" s="1">
        <f ca="1">IFERROR(__xludf.DUMMYFUNCTION("""COMPUTED_VALUE"""),3.75)</f>
        <v>3.75</v>
      </c>
      <c r="T807" s="1">
        <f ca="1">IFERROR(__xludf.DUMMYFUNCTION("""COMPUTED_VALUE"""),489536)</f>
        <v>489536</v>
      </c>
      <c r="U807" s="1">
        <f ca="1">IFERROR(__xludf.DUMMYFUNCTION("""COMPUTED_VALUE"""),3.75)</f>
        <v>3.75</v>
      </c>
    </row>
    <row r="808" spans="1:21" ht="12.75" x14ac:dyDescent="0.2">
      <c r="A808" s="3">
        <f ca="1">IFERROR(__xludf.DUMMYFUNCTION("""COMPUTED_VALUE"""),40148.5090277777)</f>
        <v>40148.509027777698</v>
      </c>
      <c r="B808" s="1">
        <f ca="1">IFERROR(__xludf.DUMMYFUNCTION("""COMPUTED_VALUE"""),1.45)</f>
        <v>1.45</v>
      </c>
      <c r="E808" s="1" t="str">
        <f ca="1">IFERROR(__xludf.DUMMYFUNCTION("""COMPUTED_VALUE"""),"FIRST AID TIN")</f>
        <v>FIRST AID TIN</v>
      </c>
      <c r="F808" s="1">
        <f ca="1">IFERROR(__xludf.DUMMYFUNCTION("""COMPUTED_VALUE"""),-6)</f>
        <v>-6</v>
      </c>
      <c r="G808" s="1">
        <f ca="1">IFERROR(__xludf.DUMMYFUNCTION("""COMPUTED_VALUE"""),3.25)</f>
        <v>3.25</v>
      </c>
      <c r="J808" s="1" t="str">
        <f ca="1">IFERROR(__xludf.DUMMYFUNCTION("""COMPUTED_VALUE"""),"72 ROUND PINK DOILIES")</f>
        <v>72 ROUND PINK DOILIES</v>
      </c>
      <c r="K808" s="1">
        <f ca="1">IFERROR(__xludf.DUMMYFUNCTION("""COMPUTED_VALUE"""),1)</f>
        <v>1</v>
      </c>
      <c r="L808" s="1">
        <f ca="1">IFERROR(__xludf.DUMMYFUNCTION("""COMPUTED_VALUE"""),1.45)</f>
        <v>1.45</v>
      </c>
      <c r="T808" s="1">
        <f ca="1">IFERROR(__xludf.DUMMYFUNCTION("""COMPUTED_VALUE"""),489536)</f>
        <v>489536</v>
      </c>
      <c r="U808" s="1">
        <f ca="1">IFERROR(__xludf.DUMMYFUNCTION("""COMPUTED_VALUE"""),1.45)</f>
        <v>1.45</v>
      </c>
    </row>
    <row r="809" spans="1:21" ht="12.75" x14ac:dyDescent="0.2">
      <c r="A809" s="3">
        <f ca="1">IFERROR(__xludf.DUMMYFUNCTION("""COMPUTED_VALUE"""),40148.5090277777)</f>
        <v>40148.509027777698</v>
      </c>
      <c r="B809" s="1">
        <f ca="1">IFERROR(__xludf.DUMMYFUNCTION("""COMPUTED_VALUE"""),4.95)</f>
        <v>4.95</v>
      </c>
      <c r="E809" s="1" t="str">
        <f ca="1">IFERROR(__xludf.DUMMYFUNCTION("""COMPUTED_VALUE"""),"LAVENDER SCENTED FABRIC HEART")</f>
        <v>LAVENDER SCENTED FABRIC HEART</v>
      </c>
      <c r="F809" s="1">
        <f ca="1">IFERROR(__xludf.DUMMYFUNCTION("""COMPUTED_VALUE"""),15)</f>
        <v>15</v>
      </c>
      <c r="G809" s="1">
        <f ca="1">IFERROR(__xludf.DUMMYFUNCTION("""COMPUTED_VALUE"""),1.25)</f>
        <v>1.25</v>
      </c>
      <c r="J809" s="1" t="str">
        <f ca="1">IFERROR(__xludf.DUMMYFUNCTION("""COMPUTED_VALUE"""),"RETRO SPOT TEA SET CERAMIC 11 PC")</f>
        <v>RETRO SPOT TEA SET CERAMIC 11 PC</v>
      </c>
      <c r="K809" s="1">
        <f ca="1">IFERROR(__xludf.DUMMYFUNCTION("""COMPUTED_VALUE"""),1)</f>
        <v>1</v>
      </c>
      <c r="L809" s="1">
        <f ca="1">IFERROR(__xludf.DUMMYFUNCTION("""COMPUTED_VALUE"""),4.95)</f>
        <v>4.95</v>
      </c>
      <c r="T809" s="1">
        <f ca="1">IFERROR(__xludf.DUMMYFUNCTION("""COMPUTED_VALUE"""),489536)</f>
        <v>489536</v>
      </c>
      <c r="U809" s="1">
        <f ca="1">IFERROR(__xludf.DUMMYFUNCTION("""COMPUTED_VALUE"""),4.95)</f>
        <v>4.95</v>
      </c>
    </row>
    <row r="810" spans="1:21" ht="12.75" x14ac:dyDescent="0.2">
      <c r="A810" s="3">
        <f ca="1">IFERROR(__xludf.DUMMYFUNCTION("""COMPUTED_VALUE"""),40148.5090277777)</f>
        <v>40148.509027777698</v>
      </c>
      <c r="B810" s="1">
        <f ca="1">IFERROR(__xludf.DUMMYFUNCTION("""COMPUTED_VALUE"""),1.95)</f>
        <v>1.95</v>
      </c>
      <c r="E810" s="1" t="str">
        <f ca="1">IFERROR(__xludf.DUMMYFUNCTION("""COMPUTED_VALUE"""),"POTTERING MUG")</f>
        <v>POTTERING MUG</v>
      </c>
      <c r="F810" s="1">
        <f ca="1">IFERROR(__xludf.DUMMYFUNCTION("""COMPUTED_VALUE"""),6)</f>
        <v>6</v>
      </c>
      <c r="G810" s="1">
        <f ca="1">IFERROR(__xludf.DUMMYFUNCTION("""COMPUTED_VALUE"""),1.25)</f>
        <v>1.25</v>
      </c>
      <c r="J810" s="1" t="str">
        <f ca="1">IFERROR(__xludf.DUMMYFUNCTION("""COMPUTED_VALUE"""),"SET OF 20 KIDS COOKIE CUTTERS")</f>
        <v>SET OF 20 KIDS COOKIE CUTTERS</v>
      </c>
      <c r="K810" s="1">
        <f ca="1">IFERROR(__xludf.DUMMYFUNCTION("""COMPUTED_VALUE"""),1)</f>
        <v>1</v>
      </c>
      <c r="L810" s="1">
        <f ca="1">IFERROR(__xludf.DUMMYFUNCTION("""COMPUTED_VALUE"""),1.95)</f>
        <v>1.95</v>
      </c>
      <c r="T810" s="1">
        <f ca="1">IFERROR(__xludf.DUMMYFUNCTION("""COMPUTED_VALUE"""),489536)</f>
        <v>489536</v>
      </c>
      <c r="U810" s="1">
        <f ca="1">IFERROR(__xludf.DUMMYFUNCTION("""COMPUTED_VALUE"""),1.95)</f>
        <v>1.95</v>
      </c>
    </row>
    <row r="811" spans="1:21" ht="12.75" x14ac:dyDescent="0.2">
      <c r="A811" s="3">
        <f ca="1">IFERROR(__xludf.DUMMYFUNCTION("""COMPUTED_VALUE"""),40148.5090277777)</f>
        <v>40148.509027777698</v>
      </c>
      <c r="B811" s="1">
        <f ca="1">IFERROR(__xludf.DUMMYFUNCTION("""COMPUTED_VALUE"""),1.25)</f>
        <v>1.25</v>
      </c>
      <c r="E811" s="1" t="str">
        <f ca="1">IFERROR(__xludf.DUMMYFUNCTION("""COMPUTED_VALUE"""),"ANTIQUE SILVER TEA GLASS ETCHED")</f>
        <v>ANTIQUE SILVER TEA GLASS ETCHED</v>
      </c>
      <c r="F811" s="1">
        <f ca="1">IFERROR(__xludf.DUMMYFUNCTION("""COMPUTED_VALUE"""),6)</f>
        <v>6</v>
      </c>
      <c r="G811" s="1">
        <f ca="1">IFERROR(__xludf.DUMMYFUNCTION("""COMPUTED_VALUE"""),1.25)</f>
        <v>1.25</v>
      </c>
      <c r="J811" s="1" t="str">
        <f ca="1">IFERROR(__xludf.DUMMYFUNCTION("""COMPUTED_VALUE"""),"STRAWBERRY BATH SPONGE")</f>
        <v>STRAWBERRY BATH SPONGE</v>
      </c>
      <c r="K811" s="1">
        <f ca="1">IFERROR(__xludf.DUMMYFUNCTION("""COMPUTED_VALUE"""),1)</f>
        <v>1</v>
      </c>
      <c r="L811" s="1">
        <f ca="1">IFERROR(__xludf.DUMMYFUNCTION("""COMPUTED_VALUE"""),1.25)</f>
        <v>1.25</v>
      </c>
      <c r="T811" s="1">
        <f ca="1">IFERROR(__xludf.DUMMYFUNCTION("""COMPUTED_VALUE"""),489536)</f>
        <v>489536</v>
      </c>
      <c r="U811" s="1">
        <f ca="1">IFERROR(__xludf.DUMMYFUNCTION("""COMPUTED_VALUE"""),1.25)</f>
        <v>1.25</v>
      </c>
    </row>
    <row r="812" spans="1:21" ht="12.75" x14ac:dyDescent="0.2">
      <c r="A812" s="3">
        <f ca="1">IFERROR(__xludf.DUMMYFUNCTION("""COMPUTED_VALUE"""),40148.5090277777)</f>
        <v>40148.509027777698</v>
      </c>
      <c r="B812" s="1">
        <f ca="1">IFERROR(__xludf.DUMMYFUNCTION("""COMPUTED_VALUE"""),1.25)</f>
        <v>1.25</v>
      </c>
      <c r="E812" s="1" t="str">
        <f ca="1">IFERROR(__xludf.DUMMYFUNCTION("""COMPUTED_VALUE"""),"SET OF THREE VINTAGE GIFT WRAPS")</f>
        <v>SET OF THREE VINTAGE GIFT WRAPS</v>
      </c>
      <c r="F812" s="1">
        <f ca="1">IFERROR(__xludf.DUMMYFUNCTION("""COMPUTED_VALUE"""),6)</f>
        <v>6</v>
      </c>
      <c r="G812" s="1">
        <f ca="1">IFERROR(__xludf.DUMMYFUNCTION("""COMPUTED_VALUE"""),1.95)</f>
        <v>1.95</v>
      </c>
      <c r="J812" s="1" t="str">
        <f ca="1">IFERROR(__xludf.DUMMYFUNCTION("""COMPUTED_VALUE"""),"WATERMELON BATH SPONGE")</f>
        <v>WATERMELON BATH SPONGE</v>
      </c>
      <c r="K812" s="1">
        <f ca="1">IFERROR(__xludf.DUMMYFUNCTION("""COMPUTED_VALUE"""),1)</f>
        <v>1</v>
      </c>
      <c r="L812" s="1">
        <f ca="1">IFERROR(__xludf.DUMMYFUNCTION("""COMPUTED_VALUE"""),1.25)</f>
        <v>1.25</v>
      </c>
      <c r="T812" s="1">
        <f ca="1">IFERROR(__xludf.DUMMYFUNCTION("""COMPUTED_VALUE"""),489536)</f>
        <v>489536</v>
      </c>
      <c r="U812" s="1">
        <f ca="1">IFERROR(__xludf.DUMMYFUNCTION("""COMPUTED_VALUE"""),1.25)</f>
        <v>1.25</v>
      </c>
    </row>
    <row r="813" spans="1:21" ht="12.75" x14ac:dyDescent="0.2">
      <c r="A813" s="3">
        <f ca="1">IFERROR(__xludf.DUMMYFUNCTION("""COMPUTED_VALUE"""),40148.5090277777)</f>
        <v>40148.509027777698</v>
      </c>
      <c r="B813" s="1">
        <f ca="1">IFERROR(__xludf.DUMMYFUNCTION("""COMPUTED_VALUE"""),1.25)</f>
        <v>1.25</v>
      </c>
      <c r="E813" s="1" t="str">
        <f ca="1">IFERROR(__xludf.DUMMYFUNCTION("""COMPUTED_VALUE"""),"RIBBON REEL STRIPES DESIGN")</f>
        <v>RIBBON REEL STRIPES DESIGN</v>
      </c>
      <c r="F813" s="1">
        <f ca="1">IFERROR(__xludf.DUMMYFUNCTION("""COMPUTED_VALUE"""),5)</f>
        <v>5</v>
      </c>
      <c r="G813" s="1">
        <f ca="1">IFERROR(__xludf.DUMMYFUNCTION("""COMPUTED_VALUE"""),1.65)</f>
        <v>1.65</v>
      </c>
      <c r="J813" s="1" t="str">
        <f ca="1">IFERROR(__xludf.DUMMYFUNCTION("""COMPUTED_VALUE"""),"SANDWICH BATH SPONGE")</f>
        <v>SANDWICH BATH SPONGE</v>
      </c>
      <c r="K813" s="1">
        <f ca="1">IFERROR(__xludf.DUMMYFUNCTION("""COMPUTED_VALUE"""),1)</f>
        <v>1</v>
      </c>
      <c r="L813" s="1">
        <f ca="1">IFERROR(__xludf.DUMMYFUNCTION("""COMPUTED_VALUE"""),1.25)</f>
        <v>1.25</v>
      </c>
      <c r="T813" s="1">
        <f ca="1">IFERROR(__xludf.DUMMYFUNCTION("""COMPUTED_VALUE"""),489536)</f>
        <v>489536</v>
      </c>
      <c r="U813" s="1">
        <f ca="1">IFERROR(__xludf.DUMMYFUNCTION("""COMPUTED_VALUE"""),1.25)</f>
        <v>1.25</v>
      </c>
    </row>
    <row r="814" spans="1:21" ht="12.75" x14ac:dyDescent="0.2">
      <c r="A814" s="3">
        <f ca="1">IFERROR(__xludf.DUMMYFUNCTION("""COMPUTED_VALUE"""),40148.5090277777)</f>
        <v>40148.509027777698</v>
      </c>
      <c r="B814" s="1">
        <f ca="1">IFERROR(__xludf.DUMMYFUNCTION("""COMPUTED_VALUE"""),0.42)</f>
        <v>0.42</v>
      </c>
      <c r="E814" s="1" t="str">
        <f ca="1">IFERROR(__xludf.DUMMYFUNCTION("""COMPUTED_VALUE"""),"36 PENCILS TUBE RED SPOTTY")</f>
        <v>36 PENCILS TUBE RED SPOTTY</v>
      </c>
      <c r="F814" s="1">
        <f ca="1">IFERROR(__xludf.DUMMYFUNCTION("""COMPUTED_VALUE"""),4)</f>
        <v>4</v>
      </c>
      <c r="G814" s="1">
        <f ca="1">IFERROR(__xludf.DUMMYFUNCTION("""COMPUTED_VALUE"""),1.25)</f>
        <v>1.25</v>
      </c>
      <c r="J814" s="1" t="str">
        <f ca="1">IFERROR(__xludf.DUMMYFUNCTION("""COMPUTED_VALUE"""),"ASS COL SMALL SAND FROG P'WEIGHT")</f>
        <v>ASS COL SMALL SAND FROG P'WEIGHT</v>
      </c>
      <c r="K814" s="1">
        <f ca="1">IFERROR(__xludf.DUMMYFUNCTION("""COMPUTED_VALUE"""),1)</f>
        <v>1</v>
      </c>
      <c r="L814" s="1">
        <f ca="1">IFERROR(__xludf.DUMMYFUNCTION("""COMPUTED_VALUE"""),0.42)</f>
        <v>0.42</v>
      </c>
      <c r="T814" s="1">
        <f ca="1">IFERROR(__xludf.DUMMYFUNCTION("""COMPUTED_VALUE"""),489536)</f>
        <v>489536</v>
      </c>
      <c r="U814" s="1">
        <f ca="1">IFERROR(__xludf.DUMMYFUNCTION("""COMPUTED_VALUE"""),0.42)</f>
        <v>0.42</v>
      </c>
    </row>
    <row r="815" spans="1:21" ht="12.75" x14ac:dyDescent="0.2">
      <c r="A815" s="3">
        <f ca="1">IFERROR(__xludf.DUMMYFUNCTION("""COMPUTED_VALUE"""),40148.5090277777)</f>
        <v>40148.509027777698</v>
      </c>
      <c r="B815" s="1">
        <f ca="1">IFERROR(__xludf.DUMMYFUNCTION("""COMPUTED_VALUE"""),2.95)</f>
        <v>2.95</v>
      </c>
      <c r="E815" s="1" t="str">
        <f ca="1">IFERROR(__xludf.DUMMYFUNCTION("""COMPUTED_VALUE"""),"WOODEN PICTURE FRAME WHITE FINISH")</f>
        <v>WOODEN PICTURE FRAME WHITE FINISH</v>
      </c>
      <c r="F815" s="1">
        <f ca="1">IFERROR(__xludf.DUMMYFUNCTION("""COMPUTED_VALUE"""),4)</f>
        <v>4</v>
      </c>
      <c r="G815" s="1">
        <f ca="1">IFERROR(__xludf.DUMMYFUNCTION("""COMPUTED_VALUE"""),2.55)</f>
        <v>2.5499999999999998</v>
      </c>
      <c r="J815" s="1" t="str">
        <f ca="1">IFERROR(__xludf.DUMMYFUNCTION("""COMPUTED_VALUE"""),"S/6 WOODEN SKITTLES IN COTTON BAG")</f>
        <v>S/6 WOODEN SKITTLES IN COTTON BAG</v>
      </c>
      <c r="K815" s="1">
        <f ca="1">IFERROR(__xludf.DUMMYFUNCTION("""COMPUTED_VALUE"""),1)</f>
        <v>1</v>
      </c>
      <c r="L815" s="1">
        <f ca="1">IFERROR(__xludf.DUMMYFUNCTION("""COMPUTED_VALUE"""),2.95)</f>
        <v>2.95</v>
      </c>
      <c r="T815" s="1">
        <f ca="1">IFERROR(__xludf.DUMMYFUNCTION("""COMPUTED_VALUE"""),489536)</f>
        <v>489536</v>
      </c>
      <c r="U815" s="1">
        <f ca="1">IFERROR(__xludf.DUMMYFUNCTION("""COMPUTED_VALUE"""),2.95)</f>
        <v>2.95</v>
      </c>
    </row>
    <row r="816" spans="1:21" ht="12.75" x14ac:dyDescent="0.2">
      <c r="A816" s="3">
        <f ca="1">IFERROR(__xludf.DUMMYFUNCTION("""COMPUTED_VALUE"""),40148.5090277777)</f>
        <v>40148.509027777698</v>
      </c>
      <c r="B816" s="1">
        <f ca="1">IFERROR(__xludf.DUMMYFUNCTION("""COMPUTED_VALUE"""),2.55)</f>
        <v>2.5499999999999998</v>
      </c>
      <c r="E816" s="1" t="str">
        <f ca="1">IFERROR(__xludf.DUMMYFUNCTION("""COMPUTED_VALUE"""),"HAND OVER THE CHOCOLATE   SIGN")</f>
        <v>HAND OVER THE CHOCOLATE   SIGN</v>
      </c>
      <c r="F816" s="1">
        <f ca="1">IFERROR(__xludf.DUMMYFUNCTION("""COMPUTED_VALUE"""),4)</f>
        <v>4</v>
      </c>
      <c r="G816" s="1">
        <f ca="1">IFERROR(__xludf.DUMMYFUNCTION("""COMPUTED_VALUE"""),2.1)</f>
        <v>2.1</v>
      </c>
      <c r="J816" s="1" t="str">
        <f ca="1">IFERROR(__xludf.DUMMYFUNCTION("""COMPUTED_VALUE"""),"LUNCHBOX WITH CUTLERY FAIRY CAKES")</f>
        <v>LUNCHBOX WITH CUTLERY FAIRY CAKES</v>
      </c>
      <c r="K816" s="1">
        <f ca="1">IFERROR(__xludf.DUMMYFUNCTION("""COMPUTED_VALUE"""),1)</f>
        <v>1</v>
      </c>
      <c r="L816" s="1">
        <f ca="1">IFERROR(__xludf.DUMMYFUNCTION("""COMPUTED_VALUE"""),2.55)</f>
        <v>2.5499999999999998</v>
      </c>
      <c r="T816" s="1">
        <f ca="1">IFERROR(__xludf.DUMMYFUNCTION("""COMPUTED_VALUE"""),489536)</f>
        <v>489536</v>
      </c>
      <c r="U816" s="1">
        <f ca="1">IFERROR(__xludf.DUMMYFUNCTION("""COMPUTED_VALUE"""),2.55)</f>
        <v>2.5499999999999998</v>
      </c>
    </row>
    <row r="817" spans="1:21" ht="12.75" x14ac:dyDescent="0.2">
      <c r="A817" s="3">
        <f ca="1">IFERROR(__xludf.DUMMYFUNCTION("""COMPUTED_VALUE"""),40148.5090277777)</f>
        <v>40148.509027777698</v>
      </c>
      <c r="B817" s="1">
        <f ca="1">IFERROR(__xludf.DUMMYFUNCTION("""COMPUTED_VALUE"""),2.1)</f>
        <v>2.1</v>
      </c>
      <c r="E817" s="1" t="str">
        <f ca="1">IFERROR(__xludf.DUMMYFUNCTION("""COMPUTED_VALUE"""),"PINK STRIPE HOT WATER BOTTLE")</f>
        <v>PINK STRIPE HOT WATER BOTTLE</v>
      </c>
      <c r="F817" s="1">
        <f ca="1">IFERROR(__xludf.DUMMYFUNCTION("""COMPUTED_VALUE"""),4)</f>
        <v>4</v>
      </c>
      <c r="G817" s="1">
        <f ca="1">IFERROR(__xludf.DUMMYFUNCTION("""COMPUTED_VALUE"""),2.95)</f>
        <v>2.95</v>
      </c>
      <c r="J817" s="1" t="str">
        <f ca="1">IFERROR(__xludf.DUMMYFUNCTION("""COMPUTED_VALUE"""),"SET/6 PINK BIRD T-LIGHT CANDLES")</f>
        <v>SET/6 PINK BIRD T-LIGHT CANDLES</v>
      </c>
      <c r="K817" s="1">
        <f ca="1">IFERROR(__xludf.DUMMYFUNCTION("""COMPUTED_VALUE"""),1)</f>
        <v>1</v>
      </c>
      <c r="L817" s="1">
        <f ca="1">IFERROR(__xludf.DUMMYFUNCTION("""COMPUTED_VALUE"""),2.1)</f>
        <v>2.1</v>
      </c>
      <c r="T817" s="1">
        <f ca="1">IFERROR(__xludf.DUMMYFUNCTION("""COMPUTED_VALUE"""),489536)</f>
        <v>489536</v>
      </c>
      <c r="U817" s="1">
        <f ca="1">IFERROR(__xludf.DUMMYFUNCTION("""COMPUTED_VALUE"""),2.1)</f>
        <v>2.1</v>
      </c>
    </row>
    <row r="818" spans="1:21" ht="12.75" x14ac:dyDescent="0.2">
      <c r="A818" s="3">
        <f ca="1">IFERROR(__xludf.DUMMYFUNCTION("""COMPUTED_VALUE"""),40148.5090277777)</f>
        <v>40148.509027777698</v>
      </c>
      <c r="B818" s="1">
        <f ca="1">IFERROR(__xludf.DUMMYFUNCTION("""COMPUTED_VALUE"""),1.25)</f>
        <v>1.25</v>
      </c>
      <c r="E818" s="1" t="str">
        <f ca="1">IFERROR(__xludf.DUMMYFUNCTION("""COMPUTED_VALUE"""),"ROSE FOLKART HEART DECORATIONS")</f>
        <v>ROSE FOLKART HEART DECORATIONS</v>
      </c>
      <c r="F818" s="1">
        <f ca="1">IFERROR(__xludf.DUMMYFUNCTION("""COMPUTED_VALUE"""),4)</f>
        <v>4</v>
      </c>
      <c r="G818" s="1">
        <f ca="1">IFERROR(__xludf.DUMMYFUNCTION("""COMPUTED_VALUE"""),1.25)</f>
        <v>1.25</v>
      </c>
      <c r="J818" s="1" t="str">
        <f ca="1">IFERROR(__xludf.DUMMYFUNCTION("""COMPUTED_VALUE"""),"VANILLA INCENSE IN TIN")</f>
        <v>VANILLA INCENSE IN TIN</v>
      </c>
      <c r="K818" s="1">
        <f ca="1">IFERROR(__xludf.DUMMYFUNCTION("""COMPUTED_VALUE"""),1)</f>
        <v>1</v>
      </c>
      <c r="L818" s="1">
        <f ca="1">IFERROR(__xludf.DUMMYFUNCTION("""COMPUTED_VALUE"""),1.25)</f>
        <v>1.25</v>
      </c>
      <c r="T818" s="1">
        <f ca="1">IFERROR(__xludf.DUMMYFUNCTION("""COMPUTED_VALUE"""),489536)</f>
        <v>489536</v>
      </c>
      <c r="U818" s="1">
        <f ca="1">IFERROR(__xludf.DUMMYFUNCTION("""COMPUTED_VALUE"""),1.25)</f>
        <v>1.25</v>
      </c>
    </row>
    <row r="819" spans="1:21" ht="12.75" x14ac:dyDescent="0.2">
      <c r="A819" s="3">
        <f ca="1">IFERROR(__xludf.DUMMYFUNCTION("""COMPUTED_VALUE"""),40148.5090277777)</f>
        <v>40148.509027777698</v>
      </c>
      <c r="B819" s="1">
        <f ca="1">IFERROR(__xludf.DUMMYFUNCTION("""COMPUTED_VALUE"""),3.75)</f>
        <v>3.75</v>
      </c>
      <c r="E819" s="1" t="str">
        <f ca="1">IFERROR(__xludf.DUMMYFUNCTION("""COMPUTED_VALUE"""),"WHITE HANGING HEART T-LIGHT HOLDER")</f>
        <v>WHITE HANGING HEART T-LIGHT HOLDER</v>
      </c>
      <c r="F819" s="1">
        <f ca="1">IFERROR(__xludf.DUMMYFUNCTION("""COMPUTED_VALUE"""),3)</f>
        <v>3</v>
      </c>
      <c r="G819" s="1">
        <f ca="1">IFERROR(__xludf.DUMMYFUNCTION("""COMPUTED_VALUE"""),2.95)</f>
        <v>2.95</v>
      </c>
      <c r="J819" s="1" t="str">
        <f ca="1">IFERROR(__xludf.DUMMYFUNCTION("""COMPUTED_VALUE"""),"CORONA MEXICAN TRAY")</f>
        <v>CORONA MEXICAN TRAY</v>
      </c>
      <c r="K819" s="1">
        <f ca="1">IFERROR(__xludf.DUMMYFUNCTION("""COMPUTED_VALUE"""),1)</f>
        <v>1</v>
      </c>
      <c r="L819" s="1">
        <f ca="1">IFERROR(__xludf.DUMMYFUNCTION("""COMPUTED_VALUE"""),3.75)</f>
        <v>3.75</v>
      </c>
      <c r="T819" s="1">
        <f ca="1">IFERROR(__xludf.DUMMYFUNCTION("""COMPUTED_VALUE"""),489536)</f>
        <v>489536</v>
      </c>
      <c r="U819" s="1">
        <f ca="1">IFERROR(__xludf.DUMMYFUNCTION("""COMPUTED_VALUE"""),3.75)</f>
        <v>3.75</v>
      </c>
    </row>
    <row r="820" spans="1:21" ht="12.75" x14ac:dyDescent="0.2">
      <c r="A820" s="3">
        <f ca="1">IFERROR(__xludf.DUMMYFUNCTION("""COMPUTED_VALUE"""),40148.5090277777)</f>
        <v>40148.509027777698</v>
      </c>
      <c r="B820" s="1">
        <f ca="1">IFERROR(__xludf.DUMMYFUNCTION("""COMPUTED_VALUE"""),1.25)</f>
        <v>1.25</v>
      </c>
      <c r="E820" s="1" t="str">
        <f ca="1">IFERROR(__xludf.DUMMYFUNCTION("""COMPUTED_VALUE"""),"RED SPOTTY SHOPPER BAG")</f>
        <v>RED SPOTTY SHOPPER BAG</v>
      </c>
      <c r="F820" s="1">
        <f ca="1">IFERROR(__xludf.DUMMYFUNCTION("""COMPUTED_VALUE"""),3)</f>
        <v>3</v>
      </c>
      <c r="G820" s="1">
        <f ca="1">IFERROR(__xludf.DUMMYFUNCTION("""COMPUTED_VALUE"""),1.25)</f>
        <v>1.25</v>
      </c>
      <c r="J820" s="1" t="str">
        <f ca="1">IFERROR(__xludf.DUMMYFUNCTION("""COMPUTED_VALUE"""),"PINK SPOTTY BOWL")</f>
        <v>PINK SPOTTY BOWL</v>
      </c>
      <c r="K820" s="1">
        <f ca="1">IFERROR(__xludf.DUMMYFUNCTION("""COMPUTED_VALUE"""),1)</f>
        <v>1</v>
      </c>
      <c r="L820" s="1">
        <f ca="1">IFERROR(__xludf.DUMMYFUNCTION("""COMPUTED_VALUE"""),1.25)</f>
        <v>1.25</v>
      </c>
      <c r="T820" s="1">
        <f ca="1">IFERROR(__xludf.DUMMYFUNCTION("""COMPUTED_VALUE"""),489536)</f>
        <v>489536</v>
      </c>
      <c r="U820" s="1">
        <f ca="1">IFERROR(__xludf.DUMMYFUNCTION("""COMPUTED_VALUE"""),1.25)</f>
        <v>1.25</v>
      </c>
    </row>
    <row r="821" spans="1:21" ht="12.75" x14ac:dyDescent="0.2">
      <c r="A821" s="3">
        <f ca="1">IFERROR(__xludf.DUMMYFUNCTION("""COMPUTED_VALUE"""),40148.5090277777)</f>
        <v>40148.509027777698</v>
      </c>
      <c r="B821" s="1">
        <f ca="1">IFERROR(__xludf.DUMMYFUNCTION("""COMPUTED_VALUE"""),1.25)</f>
        <v>1.25</v>
      </c>
      <c r="E821" s="1" t="str">
        <f ca="1">IFERROR(__xludf.DUMMYFUNCTION("""COMPUTED_VALUE"""),"SET OF THREE 50'S GIFT WRAPS")</f>
        <v>SET OF THREE 50'S GIFT WRAPS</v>
      </c>
      <c r="F821" s="1">
        <f ca="1">IFERROR(__xludf.DUMMYFUNCTION("""COMPUTED_VALUE"""),3)</f>
        <v>3</v>
      </c>
      <c r="G821" s="1">
        <f ca="1">IFERROR(__xludf.DUMMYFUNCTION("""COMPUTED_VALUE"""),1.95)</f>
        <v>1.95</v>
      </c>
      <c r="J821" s="1" t="str">
        <f ca="1">IFERROR(__xludf.DUMMYFUNCTION("""COMPUTED_VALUE"""),"BLUE SPOTTY BOWL")</f>
        <v>BLUE SPOTTY BOWL</v>
      </c>
      <c r="K821" s="1">
        <f ca="1">IFERROR(__xludf.DUMMYFUNCTION("""COMPUTED_VALUE"""),1)</f>
        <v>1</v>
      </c>
      <c r="L821" s="1">
        <f ca="1">IFERROR(__xludf.DUMMYFUNCTION("""COMPUTED_VALUE"""),1.25)</f>
        <v>1.25</v>
      </c>
      <c r="T821" s="1">
        <f ca="1">IFERROR(__xludf.DUMMYFUNCTION("""COMPUTED_VALUE"""),489536)</f>
        <v>489536</v>
      </c>
      <c r="U821" s="1">
        <f ca="1">IFERROR(__xludf.DUMMYFUNCTION("""COMPUTED_VALUE"""),1.25)</f>
        <v>1.25</v>
      </c>
    </row>
    <row r="822" spans="1:21" ht="12.75" x14ac:dyDescent="0.2">
      <c r="A822" s="3">
        <f ca="1">IFERROR(__xludf.DUMMYFUNCTION("""COMPUTED_VALUE"""),40148.5090277777)</f>
        <v>40148.509027777698</v>
      </c>
      <c r="B822" s="1">
        <f ca="1">IFERROR(__xludf.DUMMYFUNCTION("""COMPUTED_VALUE"""),1.25)</f>
        <v>1.25</v>
      </c>
      <c r="E822" s="1" t="str">
        <f ca="1">IFERROR(__xludf.DUMMYFUNCTION("""COMPUTED_VALUE"""),"BLUE ROSE FABRIC MIRROR")</f>
        <v>BLUE ROSE FABRIC MIRROR</v>
      </c>
      <c r="F822" s="1">
        <f ca="1">IFERROR(__xludf.DUMMYFUNCTION("""COMPUTED_VALUE"""),2)</f>
        <v>2</v>
      </c>
      <c r="G822" s="1">
        <f ca="1">IFERROR(__xludf.DUMMYFUNCTION("""COMPUTED_VALUE"""),1.25)</f>
        <v>1.25</v>
      </c>
      <c r="J822" s="1" t="str">
        <f ca="1">IFERROR(__xludf.DUMMYFUNCTION("""COMPUTED_VALUE"""),"12 MINI TOADSTOOL PEGS")</f>
        <v>12 MINI TOADSTOOL PEGS</v>
      </c>
      <c r="K822" s="1">
        <f ca="1">IFERROR(__xludf.DUMMYFUNCTION("""COMPUTED_VALUE"""),1)</f>
        <v>1</v>
      </c>
      <c r="L822" s="1">
        <f ca="1">IFERROR(__xludf.DUMMYFUNCTION("""COMPUTED_VALUE"""),1.25)</f>
        <v>1.25</v>
      </c>
      <c r="T822" s="1">
        <f ca="1">IFERROR(__xludf.DUMMYFUNCTION("""COMPUTED_VALUE"""),489536)</f>
        <v>489536</v>
      </c>
      <c r="U822" s="1">
        <f ca="1">IFERROR(__xludf.DUMMYFUNCTION("""COMPUTED_VALUE"""),1.25)</f>
        <v>1.25</v>
      </c>
    </row>
    <row r="823" spans="1:21" ht="12.75" x14ac:dyDescent="0.2">
      <c r="A823" s="3">
        <f ca="1">IFERROR(__xludf.DUMMYFUNCTION("""COMPUTED_VALUE"""),40148.5090277777)</f>
        <v>40148.509027777698</v>
      </c>
      <c r="B823" s="1">
        <f ca="1">IFERROR(__xludf.DUMMYFUNCTION("""COMPUTED_VALUE"""),1.45)</f>
        <v>1.45</v>
      </c>
      <c r="E823" s="1" t="str">
        <f ca="1">IFERROR(__xludf.DUMMYFUNCTION("""COMPUTED_VALUE"""),"PINK ROSE FABRIC MIRROR")</f>
        <v>PINK ROSE FABRIC MIRROR</v>
      </c>
      <c r="F823" s="1">
        <f ca="1">IFERROR(__xludf.DUMMYFUNCTION("""COMPUTED_VALUE"""),2)</f>
        <v>2</v>
      </c>
      <c r="G823" s="1">
        <f ca="1">IFERROR(__xludf.DUMMYFUNCTION("""COMPUTED_VALUE"""),1.25)</f>
        <v>1.25</v>
      </c>
      <c r="J823" s="1" t="str">
        <f ca="1">IFERROR(__xludf.DUMMYFUNCTION("""COMPUTED_VALUE"""),"CHRISTMAS CRAFT WHITE FAIRY")</f>
        <v>CHRISTMAS CRAFT WHITE FAIRY</v>
      </c>
      <c r="K823" s="1">
        <f ca="1">IFERROR(__xludf.DUMMYFUNCTION("""COMPUTED_VALUE"""),1)</f>
        <v>1</v>
      </c>
      <c r="L823" s="1">
        <f ca="1">IFERROR(__xludf.DUMMYFUNCTION("""COMPUTED_VALUE"""),1.45)</f>
        <v>1.45</v>
      </c>
      <c r="T823" s="1">
        <f ca="1">IFERROR(__xludf.DUMMYFUNCTION("""COMPUTED_VALUE"""),489536)</f>
        <v>489536</v>
      </c>
      <c r="U823" s="1">
        <f ca="1">IFERROR(__xludf.DUMMYFUNCTION("""COMPUTED_VALUE"""),1.45)</f>
        <v>1.45</v>
      </c>
    </row>
    <row r="824" spans="1:21" ht="12.75" x14ac:dyDescent="0.2">
      <c r="A824" s="3">
        <f ca="1">IFERROR(__xludf.DUMMYFUNCTION("""COMPUTED_VALUE"""),40148.5090277777)</f>
        <v>40148.509027777698</v>
      </c>
      <c r="B824" s="1">
        <f ca="1">IFERROR(__xludf.DUMMYFUNCTION("""COMPUTED_VALUE"""),1.45)</f>
        <v>1.45</v>
      </c>
      <c r="E824" s="1" t="str">
        <f ca="1">IFERROR(__xludf.DUMMYFUNCTION("""COMPUTED_VALUE"""),"36 PENCILS TUBE WOODLAND")</f>
        <v>36 PENCILS TUBE WOODLAND</v>
      </c>
      <c r="F824" s="1">
        <f ca="1">IFERROR(__xludf.DUMMYFUNCTION("""COMPUTED_VALUE"""),2)</f>
        <v>2</v>
      </c>
      <c r="G824" s="1">
        <f ca="1">IFERROR(__xludf.DUMMYFUNCTION("""COMPUTED_VALUE"""),1.25)</f>
        <v>1.25</v>
      </c>
      <c r="J824" s="1" t="str">
        <f ca="1">IFERROR(__xludf.DUMMYFUNCTION("""COMPUTED_VALUE"""),"CHRISTMAS CRAFT WHITE FAIRY")</f>
        <v>CHRISTMAS CRAFT WHITE FAIRY</v>
      </c>
      <c r="K824" s="1">
        <f ca="1">IFERROR(__xludf.DUMMYFUNCTION("""COMPUTED_VALUE"""),1)</f>
        <v>1</v>
      </c>
      <c r="L824" s="1">
        <f ca="1">IFERROR(__xludf.DUMMYFUNCTION("""COMPUTED_VALUE"""),1.45)</f>
        <v>1.45</v>
      </c>
      <c r="T824" s="1">
        <f ca="1">IFERROR(__xludf.DUMMYFUNCTION("""COMPUTED_VALUE"""),489536)</f>
        <v>489536</v>
      </c>
      <c r="U824" s="1">
        <f ca="1">IFERROR(__xludf.DUMMYFUNCTION("""COMPUTED_VALUE"""),1.45)</f>
        <v>1.45</v>
      </c>
    </row>
    <row r="825" spans="1:21" ht="12.75" x14ac:dyDescent="0.2">
      <c r="A825" s="3">
        <f ca="1">IFERROR(__xludf.DUMMYFUNCTION("""COMPUTED_VALUE"""),40148.5090277777)</f>
        <v>40148.509027777698</v>
      </c>
      <c r="B825" s="1">
        <f ca="1">IFERROR(__xludf.DUMMYFUNCTION("""COMPUTED_VALUE"""),1.25)</f>
        <v>1.25</v>
      </c>
      <c r="E825" s="1" t="str">
        <f ca="1">IFERROR(__xludf.DUMMYFUNCTION("""COMPUTED_VALUE"""),"36 PENCILS TUBE WOODLAND")</f>
        <v>36 PENCILS TUBE WOODLAND</v>
      </c>
      <c r="F825" s="1">
        <f ca="1">IFERROR(__xludf.DUMMYFUNCTION("""COMPUTED_VALUE"""),2)</f>
        <v>2</v>
      </c>
      <c r="G825" s="1">
        <f ca="1">IFERROR(__xludf.DUMMYFUNCTION("""COMPUTED_VALUE"""),1.25)</f>
        <v>1.25</v>
      </c>
      <c r="J825" s="1" t="str">
        <f ca="1">IFERROR(__xludf.DUMMYFUNCTION("""COMPUTED_VALUE"""),"TOAST ITS - FAIRY FLOWER")</f>
        <v>TOAST ITS - FAIRY FLOWER</v>
      </c>
      <c r="K825" s="1">
        <f ca="1">IFERROR(__xludf.DUMMYFUNCTION("""COMPUTED_VALUE"""),1)</f>
        <v>1</v>
      </c>
      <c r="L825" s="1">
        <f ca="1">IFERROR(__xludf.DUMMYFUNCTION("""COMPUTED_VALUE"""),1.25)</f>
        <v>1.25</v>
      </c>
      <c r="T825" s="1">
        <f ca="1">IFERROR(__xludf.DUMMYFUNCTION("""COMPUTED_VALUE"""),489536)</f>
        <v>489536</v>
      </c>
      <c r="U825" s="1">
        <f ca="1">IFERROR(__xludf.DUMMYFUNCTION("""COMPUTED_VALUE"""),1.25)</f>
        <v>1.25</v>
      </c>
    </row>
    <row r="826" spans="1:21" ht="12.75" x14ac:dyDescent="0.2">
      <c r="A826" s="3">
        <f ca="1">IFERROR(__xludf.DUMMYFUNCTION("""COMPUTED_VALUE"""),40148.5090277777)</f>
        <v>40148.509027777698</v>
      </c>
      <c r="B826" s="1">
        <f ca="1">IFERROR(__xludf.DUMMYFUNCTION("""COMPUTED_VALUE"""),1.25)</f>
        <v>1.25</v>
      </c>
      <c r="E826" s="1" t="str">
        <f ca="1">IFERROR(__xludf.DUMMYFUNCTION("""COMPUTED_VALUE"""),"CREAM HEART CARD HOLDER")</f>
        <v>CREAM HEART CARD HOLDER</v>
      </c>
      <c r="F826" s="1">
        <f ca="1">IFERROR(__xludf.DUMMYFUNCTION("""COMPUTED_VALUE"""),2)</f>
        <v>2</v>
      </c>
      <c r="G826" s="1">
        <f ca="1">IFERROR(__xludf.DUMMYFUNCTION("""COMPUTED_VALUE"""),3.95)</f>
        <v>3.95</v>
      </c>
      <c r="J826" s="1" t="str">
        <f ca="1">IFERROR(__xludf.DUMMYFUNCTION("""COMPUTED_VALUE"""),"TOAST ITS - DINOSAUR")</f>
        <v>TOAST ITS - DINOSAUR</v>
      </c>
      <c r="K826" s="1">
        <f ca="1">IFERROR(__xludf.DUMMYFUNCTION("""COMPUTED_VALUE"""),1)</f>
        <v>1</v>
      </c>
      <c r="L826" s="1">
        <f ca="1">IFERROR(__xludf.DUMMYFUNCTION("""COMPUTED_VALUE"""),1.25)</f>
        <v>1.25</v>
      </c>
      <c r="T826" s="1">
        <f ca="1">IFERROR(__xludf.DUMMYFUNCTION("""COMPUTED_VALUE"""),489536)</f>
        <v>489536</v>
      </c>
      <c r="U826" s="1">
        <f ca="1">IFERROR(__xludf.DUMMYFUNCTION("""COMPUTED_VALUE"""),1.25)</f>
        <v>1.25</v>
      </c>
    </row>
    <row r="827" spans="1:21" ht="12.75" x14ac:dyDescent="0.2">
      <c r="A827" s="3">
        <f ca="1">IFERROR(__xludf.DUMMYFUNCTION("""COMPUTED_VALUE"""),40148.5090277777)</f>
        <v>40148.509027777698</v>
      </c>
      <c r="B827" s="1">
        <f ca="1">IFERROR(__xludf.DUMMYFUNCTION("""COMPUTED_VALUE"""),1.95)</f>
        <v>1.95</v>
      </c>
      <c r="E827" s="1" t="str">
        <f ca="1">IFERROR(__xludf.DUMMYFUNCTION("""COMPUTED_VALUE"""),"KINGS CHOICE MUG")</f>
        <v>KINGS CHOICE MUG</v>
      </c>
      <c r="F827" s="1">
        <f ca="1">IFERROR(__xludf.DUMMYFUNCTION("""COMPUTED_VALUE"""),2)</f>
        <v>2</v>
      </c>
      <c r="G827" s="1">
        <f ca="1">IFERROR(__xludf.DUMMYFUNCTION("""COMPUTED_VALUE"""),1.25)</f>
        <v>1.25</v>
      </c>
      <c r="J827" s="1" t="str">
        <f ca="1">IFERROR(__xludf.DUMMYFUNCTION("""COMPUTED_VALUE"""),"COOK WITH WINE METAL SIGN")</f>
        <v>COOK WITH WINE METAL SIGN</v>
      </c>
      <c r="K827" s="1">
        <f ca="1">IFERROR(__xludf.DUMMYFUNCTION("""COMPUTED_VALUE"""),1)</f>
        <v>1</v>
      </c>
      <c r="L827" s="1">
        <f ca="1">IFERROR(__xludf.DUMMYFUNCTION("""COMPUTED_VALUE"""),1.95)</f>
        <v>1.95</v>
      </c>
      <c r="T827" s="1">
        <f ca="1">IFERROR(__xludf.DUMMYFUNCTION("""COMPUTED_VALUE"""),489536)</f>
        <v>489536</v>
      </c>
      <c r="U827" s="1">
        <f ca="1">IFERROR(__xludf.DUMMYFUNCTION("""COMPUTED_VALUE"""),1.95)</f>
        <v>1.95</v>
      </c>
    </row>
    <row r="828" spans="1:21" ht="12.75" x14ac:dyDescent="0.2">
      <c r="A828" s="3">
        <f ca="1">IFERROR(__xludf.DUMMYFUNCTION("""COMPUTED_VALUE"""),40148.5090277777)</f>
        <v>40148.509027777698</v>
      </c>
      <c r="B828" s="1">
        <f ca="1">IFERROR(__xludf.DUMMYFUNCTION("""COMPUTED_VALUE"""),4.95)</f>
        <v>4.95</v>
      </c>
      <c r="E828" s="1" t="str">
        <f ca="1">IFERROR(__xludf.DUMMYFUNCTION("""COMPUTED_VALUE"""),"ROSE FOLKART HEART DECORATIONS")</f>
        <v>ROSE FOLKART HEART DECORATIONS</v>
      </c>
      <c r="F828" s="1">
        <f ca="1">IFERROR(__xludf.DUMMYFUNCTION("""COMPUTED_VALUE"""),2)</f>
        <v>2</v>
      </c>
      <c r="G828" s="1">
        <f ca="1">IFERROR(__xludf.DUMMYFUNCTION("""COMPUTED_VALUE"""),1.25)</f>
        <v>1.25</v>
      </c>
      <c r="J828" s="1" t="str">
        <f ca="1">IFERROR(__xludf.DUMMYFUNCTION("""COMPUTED_VALUE"""),"GLASS STAR FROSTED T-LIGHT HOLDER")</f>
        <v>GLASS STAR FROSTED T-LIGHT HOLDER</v>
      </c>
      <c r="K828" s="1">
        <f ca="1">IFERROR(__xludf.DUMMYFUNCTION("""COMPUTED_VALUE"""),1)</f>
        <v>1</v>
      </c>
      <c r="L828" s="1">
        <f ca="1">IFERROR(__xludf.DUMMYFUNCTION("""COMPUTED_VALUE"""),4.95)</f>
        <v>4.95</v>
      </c>
      <c r="T828" s="1">
        <f ca="1">IFERROR(__xludf.DUMMYFUNCTION("""COMPUTED_VALUE"""),489536)</f>
        <v>489536</v>
      </c>
      <c r="U828" s="1">
        <f ca="1">IFERROR(__xludf.DUMMYFUNCTION("""COMPUTED_VALUE"""),4.95)</f>
        <v>4.95</v>
      </c>
    </row>
    <row r="829" spans="1:21" ht="12.75" x14ac:dyDescent="0.2">
      <c r="A829" s="3">
        <f ca="1">IFERROR(__xludf.DUMMYFUNCTION("""COMPUTED_VALUE"""),40148.5090277777)</f>
        <v>40148.509027777698</v>
      </c>
      <c r="B829" s="1">
        <f ca="1">IFERROR(__xludf.DUMMYFUNCTION("""COMPUTED_VALUE"""),0.42)</f>
        <v>0.42</v>
      </c>
      <c r="E829" s="1" t="str">
        <f ca="1">IFERROR(__xludf.DUMMYFUNCTION("""COMPUTED_VALUE"""),"CHRISTMAS CRAFT HEART DECORATIONS")</f>
        <v>CHRISTMAS CRAFT HEART DECORATIONS</v>
      </c>
      <c r="F829" s="1">
        <f ca="1">IFERROR(__xludf.DUMMYFUNCTION("""COMPUTED_VALUE"""),2)</f>
        <v>2</v>
      </c>
      <c r="G829" s="1">
        <f ca="1">IFERROR(__xludf.DUMMYFUNCTION("""COMPUTED_VALUE"""),2.1)</f>
        <v>2.1</v>
      </c>
      <c r="J829" s="1" t="str">
        <f ca="1">IFERROR(__xludf.DUMMYFUNCTION("""COMPUTED_VALUE"""),"ASS COL SMALL SAND FROG P'WEIGHT")</f>
        <v>ASS COL SMALL SAND FROG P'WEIGHT</v>
      </c>
      <c r="K829" s="1">
        <f ca="1">IFERROR(__xludf.DUMMYFUNCTION("""COMPUTED_VALUE"""),1)</f>
        <v>1</v>
      </c>
      <c r="L829" s="1">
        <f ca="1">IFERROR(__xludf.DUMMYFUNCTION("""COMPUTED_VALUE"""),0.42)</f>
        <v>0.42</v>
      </c>
      <c r="T829" s="1">
        <f ca="1">IFERROR(__xludf.DUMMYFUNCTION("""COMPUTED_VALUE"""),489536)</f>
        <v>489536</v>
      </c>
      <c r="U829" s="1">
        <f ca="1">IFERROR(__xludf.DUMMYFUNCTION("""COMPUTED_VALUE"""),0.42)</f>
        <v>0.42</v>
      </c>
    </row>
    <row r="830" spans="1:21" ht="12.75" x14ac:dyDescent="0.2">
      <c r="A830" s="3">
        <f ca="1">IFERROR(__xludf.DUMMYFUNCTION("""COMPUTED_VALUE"""),40148.5090277777)</f>
        <v>40148.509027777698</v>
      </c>
      <c r="B830" s="1">
        <f ca="1">IFERROR(__xludf.DUMMYFUNCTION("""COMPUTED_VALUE"""),2.55)</f>
        <v>2.5499999999999998</v>
      </c>
      <c r="E830" s="1" t="str">
        <f ca="1">IFERROR(__xludf.DUMMYFUNCTION("""COMPUTED_VALUE"""),"COSY SLIPPER SHOES LARGE RED")</f>
        <v>COSY SLIPPER SHOES LARGE RED</v>
      </c>
      <c r="F830" s="1">
        <f ca="1">IFERROR(__xludf.DUMMYFUNCTION("""COMPUTED_VALUE"""),2)</f>
        <v>2</v>
      </c>
      <c r="G830" s="1">
        <f ca="1">IFERROR(__xludf.DUMMYFUNCTION("""COMPUTED_VALUE"""),2.95)</f>
        <v>2.95</v>
      </c>
      <c r="J830" s="1" t="str">
        <f ca="1">IFERROR(__xludf.DUMMYFUNCTION("""COMPUTED_VALUE"""),"LUNCHBOX WITH CUTLERY FAIRY CAKES")</f>
        <v>LUNCHBOX WITH CUTLERY FAIRY CAKES</v>
      </c>
      <c r="K830" s="1">
        <f ca="1">IFERROR(__xludf.DUMMYFUNCTION("""COMPUTED_VALUE"""),1)</f>
        <v>1</v>
      </c>
      <c r="L830" s="1">
        <f ca="1">IFERROR(__xludf.DUMMYFUNCTION("""COMPUTED_VALUE"""),2.55)</f>
        <v>2.5499999999999998</v>
      </c>
      <c r="T830" s="1">
        <f ca="1">IFERROR(__xludf.DUMMYFUNCTION("""COMPUTED_VALUE"""),489536)</f>
        <v>489536</v>
      </c>
      <c r="U830" s="1">
        <f ca="1">IFERROR(__xludf.DUMMYFUNCTION("""COMPUTED_VALUE"""),2.55)</f>
        <v>2.5499999999999998</v>
      </c>
    </row>
    <row r="831" spans="1:21" ht="12.75" x14ac:dyDescent="0.2">
      <c r="A831" s="3">
        <f ca="1">IFERROR(__xludf.DUMMYFUNCTION("""COMPUTED_VALUE"""),40148.5090277777)</f>
        <v>40148.509027777698</v>
      </c>
      <c r="B831" s="1">
        <f ca="1">IFERROR(__xludf.DUMMYFUNCTION("""COMPUTED_VALUE"""),0.85)</f>
        <v>0.85</v>
      </c>
      <c r="E831" s="1" t="str">
        <f ca="1">IFERROR(__xludf.DUMMYFUNCTION("""COMPUTED_VALUE"""),"LARGE HEART MEASURING SPOONS")</f>
        <v>LARGE HEART MEASURING SPOONS</v>
      </c>
      <c r="F831" s="1">
        <f ca="1">IFERROR(__xludf.DUMMYFUNCTION("""COMPUTED_VALUE"""),2)</f>
        <v>2</v>
      </c>
      <c r="G831" s="1">
        <f ca="1">IFERROR(__xludf.DUMMYFUNCTION("""COMPUTED_VALUE"""),1.65)</f>
        <v>1.65</v>
      </c>
      <c r="J831" s="1" t="str">
        <f ca="1">IFERROR(__xludf.DUMMYFUNCTION("""COMPUTED_VALUE"""),"KIDS RAIN MAC BLUE")</f>
        <v>KIDS RAIN MAC BLUE</v>
      </c>
      <c r="K831" s="1">
        <f ca="1">IFERROR(__xludf.DUMMYFUNCTION("""COMPUTED_VALUE"""),1)</f>
        <v>1</v>
      </c>
      <c r="L831" s="1">
        <f ca="1">IFERROR(__xludf.DUMMYFUNCTION("""COMPUTED_VALUE"""),0.85)</f>
        <v>0.85</v>
      </c>
      <c r="T831" s="1">
        <f ca="1">IFERROR(__xludf.DUMMYFUNCTION("""COMPUTED_VALUE"""),489536)</f>
        <v>489536</v>
      </c>
      <c r="U831" s="1">
        <f ca="1">IFERROR(__xludf.DUMMYFUNCTION("""COMPUTED_VALUE"""),0.85)</f>
        <v>0.85</v>
      </c>
    </row>
    <row r="832" spans="1:21" ht="12.75" x14ac:dyDescent="0.2">
      <c r="A832" s="3">
        <f ca="1">IFERROR(__xludf.DUMMYFUNCTION("""COMPUTED_VALUE"""),40148.5090277777)</f>
        <v>40148.509027777698</v>
      </c>
      <c r="B832" s="1">
        <f ca="1">IFERROR(__xludf.DUMMYFUNCTION("""COMPUTED_VALUE"""),0.85)</f>
        <v>0.85</v>
      </c>
      <c r="E832" s="1" t="str">
        <f ca="1">IFERROR(__xludf.DUMMYFUNCTION("""COMPUTED_VALUE"""),"COSY SLIPPER SHOES SMALL  RED")</f>
        <v>COSY SLIPPER SHOES SMALL  RED</v>
      </c>
      <c r="F832" s="1">
        <f ca="1">IFERROR(__xludf.DUMMYFUNCTION("""COMPUTED_VALUE"""),2)</f>
        <v>2</v>
      </c>
      <c r="G832" s="1">
        <f ca="1">IFERROR(__xludf.DUMMYFUNCTION("""COMPUTED_VALUE"""),2.95)</f>
        <v>2.95</v>
      </c>
      <c r="J832" s="1" t="str">
        <f ca="1">IFERROR(__xludf.DUMMYFUNCTION("""COMPUTED_VALUE"""),"KIDS RAIN MAC PINK")</f>
        <v>KIDS RAIN MAC PINK</v>
      </c>
      <c r="K832" s="1">
        <f ca="1">IFERROR(__xludf.DUMMYFUNCTION("""COMPUTED_VALUE"""),1)</f>
        <v>1</v>
      </c>
      <c r="L832" s="1">
        <f ca="1">IFERROR(__xludf.DUMMYFUNCTION("""COMPUTED_VALUE"""),0.85)</f>
        <v>0.85</v>
      </c>
      <c r="T832" s="1">
        <f ca="1">IFERROR(__xludf.DUMMYFUNCTION("""COMPUTED_VALUE"""),489536)</f>
        <v>489536</v>
      </c>
      <c r="U832" s="1">
        <f ca="1">IFERROR(__xludf.DUMMYFUNCTION("""COMPUTED_VALUE"""),0.85)</f>
        <v>0.85</v>
      </c>
    </row>
    <row r="833" spans="1:21" ht="12.75" x14ac:dyDescent="0.2">
      <c r="A833" s="3">
        <f ca="1">IFERROR(__xludf.DUMMYFUNCTION("""COMPUTED_VALUE"""),40148.5090277777)</f>
        <v>40148.509027777698</v>
      </c>
      <c r="B833" s="1">
        <f ca="1">IFERROR(__xludf.DUMMYFUNCTION("""COMPUTED_VALUE"""),1.25)</f>
        <v>1.25</v>
      </c>
      <c r="E833" s="1" t="str">
        <f ca="1">IFERROR(__xludf.DUMMYFUNCTION("""COMPUTED_VALUE"""),"POCKET BAG PINK PAISELY BROWN SPOT")</f>
        <v>POCKET BAG PINK PAISELY BROWN SPOT</v>
      </c>
      <c r="F833" s="1">
        <f ca="1">IFERROR(__xludf.DUMMYFUNCTION("""COMPUTED_VALUE"""),2)</f>
        <v>2</v>
      </c>
      <c r="G833" s="1">
        <f ca="1">IFERROR(__xludf.DUMMYFUNCTION("""COMPUTED_VALUE"""),2.1)</f>
        <v>2.1</v>
      </c>
      <c r="J833" s="1" t="str">
        <f ca="1">IFERROR(__xludf.DUMMYFUNCTION("""COMPUTED_VALUE"""),"VIP LUGGAGE TAG")</f>
        <v>VIP LUGGAGE TAG</v>
      </c>
      <c r="K833" s="1">
        <f ca="1">IFERROR(__xludf.DUMMYFUNCTION("""COMPUTED_VALUE"""),1)</f>
        <v>1</v>
      </c>
      <c r="L833" s="1">
        <f ca="1">IFERROR(__xludf.DUMMYFUNCTION("""COMPUTED_VALUE"""),1.25)</f>
        <v>1.25</v>
      </c>
      <c r="T833" s="1">
        <f ca="1">IFERROR(__xludf.DUMMYFUNCTION("""COMPUTED_VALUE"""),489536)</f>
        <v>489536</v>
      </c>
      <c r="U833" s="1">
        <f ca="1">IFERROR(__xludf.DUMMYFUNCTION("""COMPUTED_VALUE"""),1.25)</f>
        <v>1.25</v>
      </c>
    </row>
    <row r="834" spans="1:21" ht="12.75" x14ac:dyDescent="0.2">
      <c r="A834" s="3">
        <f ca="1">IFERROR(__xludf.DUMMYFUNCTION("""COMPUTED_VALUE"""),40148.5090277777)</f>
        <v>40148.509027777698</v>
      </c>
      <c r="B834" s="1">
        <f ca="1">IFERROR(__xludf.DUMMYFUNCTION("""COMPUTED_VALUE"""),1.65)</f>
        <v>1.65</v>
      </c>
      <c r="E834" s="1" t="str">
        <f ca="1">IFERROR(__xludf.DUMMYFUNCTION("""COMPUTED_VALUE"""),"BABY MOUSE RED GINGHAM DRESS")</f>
        <v>BABY MOUSE RED GINGHAM DRESS</v>
      </c>
      <c r="F834" s="1">
        <f ca="1">IFERROR(__xludf.DUMMYFUNCTION("""COMPUTED_VALUE"""),2)</f>
        <v>2</v>
      </c>
      <c r="G834" s="1">
        <f ca="1">IFERROR(__xludf.DUMMYFUNCTION("""COMPUTED_VALUE"""),4.25)</f>
        <v>4.25</v>
      </c>
      <c r="J834" s="1" t="str">
        <f ca="1">IFERROR(__xludf.DUMMYFUNCTION("""COMPUTED_VALUE"""),"HI TEC ALPINE HAND WARMER")</f>
        <v>HI TEC ALPINE HAND WARMER</v>
      </c>
      <c r="K834" s="1">
        <f ca="1">IFERROR(__xludf.DUMMYFUNCTION("""COMPUTED_VALUE"""),1)</f>
        <v>1</v>
      </c>
      <c r="L834" s="1">
        <f ca="1">IFERROR(__xludf.DUMMYFUNCTION("""COMPUTED_VALUE"""),1.65)</f>
        <v>1.65</v>
      </c>
      <c r="T834" s="1">
        <f ca="1">IFERROR(__xludf.DUMMYFUNCTION("""COMPUTED_VALUE"""),489536)</f>
        <v>489536</v>
      </c>
      <c r="U834" s="1">
        <f ca="1">IFERROR(__xludf.DUMMYFUNCTION("""COMPUTED_VALUE"""),1.65)</f>
        <v>1.65</v>
      </c>
    </row>
    <row r="835" spans="1:21" ht="12.75" x14ac:dyDescent="0.2">
      <c r="A835" s="3">
        <f ca="1">IFERROR(__xludf.DUMMYFUNCTION("""COMPUTED_VALUE"""),40148.5090277777)</f>
        <v>40148.509027777698</v>
      </c>
      <c r="B835" s="1">
        <f ca="1">IFERROR(__xludf.DUMMYFUNCTION("""COMPUTED_VALUE"""),1.65)</f>
        <v>1.65</v>
      </c>
      <c r="E835" s="1" t="str">
        <f ca="1">IFERROR(__xludf.DUMMYFUNCTION("""COMPUTED_VALUE"""),"ROSE DU SUD CHILDS APRON")</f>
        <v>ROSE DU SUD CHILDS APRON</v>
      </c>
      <c r="F835" s="1">
        <f ca="1">IFERROR(__xludf.DUMMYFUNCTION("""COMPUTED_VALUE"""),2)</f>
        <v>2</v>
      </c>
      <c r="G835" s="1">
        <f ca="1">IFERROR(__xludf.DUMMYFUNCTION("""COMPUTED_VALUE"""),4.25)</f>
        <v>4.25</v>
      </c>
      <c r="J835" s="1" t="str">
        <f ca="1">IFERROR(__xludf.DUMMYFUNCTION("""COMPUTED_VALUE"""),"LOVE HEART POCKET WARMER")</f>
        <v>LOVE HEART POCKET WARMER</v>
      </c>
      <c r="K835" s="1">
        <f ca="1">IFERROR(__xludf.DUMMYFUNCTION("""COMPUTED_VALUE"""),1)</f>
        <v>1</v>
      </c>
      <c r="L835" s="1">
        <f ca="1">IFERROR(__xludf.DUMMYFUNCTION("""COMPUTED_VALUE"""),1.65)</f>
        <v>1.65</v>
      </c>
      <c r="T835" s="1">
        <f ca="1">IFERROR(__xludf.DUMMYFUNCTION("""COMPUTED_VALUE"""),489536)</f>
        <v>489536</v>
      </c>
      <c r="U835" s="1">
        <f ca="1">IFERROR(__xludf.DUMMYFUNCTION("""COMPUTED_VALUE"""),1.65)</f>
        <v>1.65</v>
      </c>
    </row>
    <row r="836" spans="1:21" ht="12.75" x14ac:dyDescent="0.2">
      <c r="A836" s="3">
        <f ca="1">IFERROR(__xludf.DUMMYFUNCTION("""COMPUTED_VALUE"""),40148.5090277777)</f>
        <v>40148.509027777698</v>
      </c>
      <c r="B836" s="1">
        <f ca="1">IFERROR(__xludf.DUMMYFUNCTION("""COMPUTED_VALUE"""),0.65)</f>
        <v>0.65</v>
      </c>
      <c r="E836" s="1" t="str">
        <f ca="1">IFERROR(__xludf.DUMMYFUNCTION("""COMPUTED_VALUE"""),"SET OF MEADOW  FLOWER STICKERS")</f>
        <v>SET OF MEADOW  FLOWER STICKERS</v>
      </c>
      <c r="F836" s="1">
        <f ca="1">IFERROR(__xludf.DUMMYFUNCTION("""COMPUTED_VALUE"""),2)</f>
        <v>2</v>
      </c>
      <c r="G836" s="1">
        <f ca="1">IFERROR(__xludf.DUMMYFUNCTION("""COMPUTED_VALUE"""),2.95)</f>
        <v>2.95</v>
      </c>
      <c r="J836" s="1" t="str">
        <f ca="1">IFERROR(__xludf.DUMMYFUNCTION("""COMPUTED_VALUE"""),"ASSORTED TUTTI FRUTTI BRACELET")</f>
        <v>ASSORTED TUTTI FRUTTI BRACELET</v>
      </c>
      <c r="K836" s="1">
        <f ca="1">IFERROR(__xludf.DUMMYFUNCTION("""COMPUTED_VALUE"""),1)</f>
        <v>1</v>
      </c>
      <c r="L836" s="1">
        <f ca="1">IFERROR(__xludf.DUMMYFUNCTION("""COMPUTED_VALUE"""),0.65)</f>
        <v>0.65</v>
      </c>
      <c r="T836" s="1">
        <f ca="1">IFERROR(__xludf.DUMMYFUNCTION("""COMPUTED_VALUE"""),489536)</f>
        <v>489536</v>
      </c>
      <c r="U836" s="1">
        <f ca="1">IFERROR(__xludf.DUMMYFUNCTION("""COMPUTED_VALUE"""),0.65)</f>
        <v>0.65</v>
      </c>
    </row>
    <row r="837" spans="1:21" ht="12.75" x14ac:dyDescent="0.2">
      <c r="A837" s="3">
        <f ca="1">IFERROR(__xludf.DUMMYFUNCTION("""COMPUTED_VALUE"""),40148.5090277777)</f>
        <v>40148.509027777698</v>
      </c>
      <c r="B837" s="1">
        <f ca="1">IFERROR(__xludf.DUMMYFUNCTION("""COMPUTED_VALUE"""),1.45)</f>
        <v>1.45</v>
      </c>
      <c r="E837" s="1" t="str">
        <f ca="1">IFERROR(__xludf.DUMMYFUNCTION("""COMPUTED_VALUE"""),"POTTERING IN THE SHED METAL SIGN")</f>
        <v>POTTERING IN THE SHED METAL SIGN</v>
      </c>
      <c r="F837" s="1">
        <f ca="1">IFERROR(__xludf.DUMMYFUNCTION("""COMPUTED_VALUE"""),2)</f>
        <v>2</v>
      </c>
      <c r="G837" s="1">
        <f ca="1">IFERROR(__xludf.DUMMYFUNCTION("""COMPUTED_VALUE"""),1.95)</f>
        <v>1.95</v>
      </c>
      <c r="J837" s="1" t="str">
        <f ca="1">IFERROR(__xludf.DUMMYFUNCTION("""COMPUTED_VALUE"""),"CHRISTMAS CRAFT WHITE FAIRY")</f>
        <v>CHRISTMAS CRAFT WHITE FAIRY</v>
      </c>
      <c r="K837" s="1">
        <f ca="1">IFERROR(__xludf.DUMMYFUNCTION("""COMPUTED_VALUE"""),1)</f>
        <v>1</v>
      </c>
      <c r="L837" s="1">
        <f ca="1">IFERROR(__xludf.DUMMYFUNCTION("""COMPUTED_VALUE"""),1.45)</f>
        <v>1.45</v>
      </c>
      <c r="T837" s="1">
        <f ca="1">IFERROR(__xludf.DUMMYFUNCTION("""COMPUTED_VALUE"""),489536)</f>
        <v>489536</v>
      </c>
      <c r="U837" s="1">
        <f ca="1">IFERROR(__xludf.DUMMYFUNCTION("""COMPUTED_VALUE"""),1.45)</f>
        <v>1.45</v>
      </c>
    </row>
    <row r="838" spans="1:21" ht="12.75" x14ac:dyDescent="0.2">
      <c r="A838" s="3">
        <f ca="1">IFERROR(__xludf.DUMMYFUNCTION("""COMPUTED_VALUE"""),40148.5090277777)</f>
        <v>40148.509027777698</v>
      </c>
      <c r="B838" s="1">
        <f ca="1">IFERROR(__xludf.DUMMYFUNCTION("""COMPUTED_VALUE"""),1.45)</f>
        <v>1.45</v>
      </c>
      <c r="E838" s="1" t="str">
        <f ca="1">IFERROR(__xludf.DUMMYFUNCTION("""COMPUTED_VALUE"""),"FAWN BLUE HOT WATER BOTTLE")</f>
        <v>FAWN BLUE HOT WATER BOTTLE</v>
      </c>
      <c r="F838" s="1">
        <f ca="1">IFERROR(__xludf.DUMMYFUNCTION("""COMPUTED_VALUE"""),2)</f>
        <v>2</v>
      </c>
      <c r="G838" s="1">
        <f ca="1">IFERROR(__xludf.DUMMYFUNCTION("""COMPUTED_VALUE"""),2.95)</f>
        <v>2.95</v>
      </c>
      <c r="J838" s="1" t="str">
        <f ca="1">IFERROR(__xludf.DUMMYFUNCTION("""COMPUTED_VALUE"""),"FELTCRAFT BUTTERFLY HEARTS")</f>
        <v>FELTCRAFT BUTTERFLY HEARTS</v>
      </c>
      <c r="K838" s="1">
        <f ca="1">IFERROR(__xludf.DUMMYFUNCTION("""COMPUTED_VALUE"""),1)</f>
        <v>1</v>
      </c>
      <c r="L838" s="1">
        <f ca="1">IFERROR(__xludf.DUMMYFUNCTION("""COMPUTED_VALUE"""),1.45)</f>
        <v>1.45</v>
      </c>
      <c r="T838" s="1">
        <f ca="1">IFERROR(__xludf.DUMMYFUNCTION("""COMPUTED_VALUE"""),489536)</f>
        <v>489536</v>
      </c>
      <c r="U838" s="1">
        <f ca="1">IFERROR(__xludf.DUMMYFUNCTION("""COMPUTED_VALUE"""),1.45)</f>
        <v>1.45</v>
      </c>
    </row>
    <row r="839" spans="1:21" ht="12.75" x14ac:dyDescent="0.2">
      <c r="A839" s="3">
        <f ca="1">IFERROR(__xludf.DUMMYFUNCTION("""COMPUTED_VALUE"""),40148.5090277777)</f>
        <v>40148.509027777698</v>
      </c>
      <c r="B839" s="1">
        <f ca="1">IFERROR(__xludf.DUMMYFUNCTION("""COMPUTED_VALUE"""),1.25)</f>
        <v>1.25</v>
      </c>
      <c r="E839" s="1" t="str">
        <f ca="1">IFERROR(__xludf.DUMMYFUNCTION("""COMPUTED_VALUE"""),"COLOURING PENCILS BROWN TUBE")</f>
        <v>COLOURING PENCILS BROWN TUBE</v>
      </c>
      <c r="F839" s="1">
        <f ca="1">IFERROR(__xludf.DUMMYFUNCTION("""COMPUTED_VALUE"""),1)</f>
        <v>1</v>
      </c>
      <c r="G839" s="1">
        <f ca="1">IFERROR(__xludf.DUMMYFUNCTION("""COMPUTED_VALUE"""),1.25)</f>
        <v>1.25</v>
      </c>
      <c r="J839" s="1" t="str">
        <f ca="1">IFERROR(__xludf.DUMMYFUNCTION("""COMPUTED_VALUE"""),"TRADITIONAL WOODEN CATCH CUP GAME")</f>
        <v>TRADITIONAL WOODEN CATCH CUP GAME</v>
      </c>
      <c r="K839" s="1">
        <f ca="1">IFERROR(__xludf.DUMMYFUNCTION("""COMPUTED_VALUE"""),1)</f>
        <v>1</v>
      </c>
      <c r="L839" s="1">
        <f ca="1">IFERROR(__xludf.DUMMYFUNCTION("""COMPUTED_VALUE"""),1.25)</f>
        <v>1.25</v>
      </c>
      <c r="T839" s="1">
        <f ca="1">IFERROR(__xludf.DUMMYFUNCTION("""COMPUTED_VALUE"""),489536)</f>
        <v>489536</v>
      </c>
      <c r="U839" s="1">
        <f ca="1">IFERROR(__xludf.DUMMYFUNCTION("""COMPUTED_VALUE"""),1.25)</f>
        <v>1.25</v>
      </c>
    </row>
    <row r="840" spans="1:21" ht="12.75" x14ac:dyDescent="0.2">
      <c r="A840" s="3">
        <f ca="1">IFERROR(__xludf.DUMMYFUNCTION("""COMPUTED_VALUE"""),40148.5090277777)</f>
        <v>40148.509027777698</v>
      </c>
      <c r="B840" s="1">
        <f ca="1">IFERROR(__xludf.DUMMYFUNCTION("""COMPUTED_VALUE"""),0.65)</f>
        <v>0.65</v>
      </c>
      <c r="E840" s="1" t="str">
        <f ca="1">IFERROR(__xludf.DUMMYFUNCTION("""COMPUTED_VALUE"""),"SET/3 POLKA DOT STACKING TINS")</f>
        <v>SET/3 POLKA DOT STACKING TINS</v>
      </c>
      <c r="F840" s="1">
        <f ca="1">IFERROR(__xludf.DUMMYFUNCTION("""COMPUTED_VALUE"""),1)</f>
        <v>1</v>
      </c>
      <c r="G840" s="1">
        <f ca="1">IFERROR(__xludf.DUMMYFUNCTION("""COMPUTED_VALUE"""),4.95)</f>
        <v>4.95</v>
      </c>
      <c r="J840" s="1" t="str">
        <f ca="1">IFERROR(__xludf.DUMMYFUNCTION("""COMPUTED_VALUE"""),"ASSORTED TUTTI FRUTTI BRACELET")</f>
        <v>ASSORTED TUTTI FRUTTI BRACELET</v>
      </c>
      <c r="K840" s="1">
        <f ca="1">IFERROR(__xludf.DUMMYFUNCTION("""COMPUTED_VALUE"""),1)</f>
        <v>1</v>
      </c>
      <c r="L840" s="1">
        <f ca="1">IFERROR(__xludf.DUMMYFUNCTION("""COMPUTED_VALUE"""),0.65)</f>
        <v>0.65</v>
      </c>
      <c r="T840" s="1">
        <f ca="1">IFERROR(__xludf.DUMMYFUNCTION("""COMPUTED_VALUE"""),489536)</f>
        <v>489536</v>
      </c>
      <c r="U840" s="1">
        <f ca="1">IFERROR(__xludf.DUMMYFUNCTION("""COMPUTED_VALUE"""),0.65)</f>
        <v>0.65</v>
      </c>
    </row>
    <row r="841" spans="1:21" ht="12.75" x14ac:dyDescent="0.2">
      <c r="A841" s="3">
        <f ca="1">IFERROR(__xludf.DUMMYFUNCTION("""COMPUTED_VALUE"""),40148.5090277777)</f>
        <v>40148.509027777698</v>
      </c>
      <c r="B841" s="1">
        <f ca="1">IFERROR(__xludf.DUMMYFUNCTION("""COMPUTED_VALUE"""),0.85)</f>
        <v>0.85</v>
      </c>
      <c r="E841" s="1" t="str">
        <f ca="1">IFERROR(__xludf.DUMMYFUNCTION("""COMPUTED_VALUE"""),"PINK CREAM FELT CRAFT TRINKET BOX")</f>
        <v>PINK CREAM FELT CRAFT TRINKET BOX</v>
      </c>
      <c r="F841" s="1">
        <f ca="1">IFERROR(__xludf.DUMMYFUNCTION("""COMPUTED_VALUE"""),1)</f>
        <v>1</v>
      </c>
      <c r="G841" s="1">
        <f ca="1">IFERROR(__xludf.DUMMYFUNCTION("""COMPUTED_VALUE"""),1.25)</f>
        <v>1.25</v>
      </c>
      <c r="J841" s="1" t="str">
        <f ca="1">IFERROR(__xludf.DUMMYFUNCTION("""COMPUTED_VALUE"""),"SET/6 3D KIT CARDS FOR KIDS")</f>
        <v>SET/6 3D KIT CARDS FOR KIDS</v>
      </c>
      <c r="K841" s="1">
        <f ca="1">IFERROR(__xludf.DUMMYFUNCTION("""COMPUTED_VALUE"""),1)</f>
        <v>1</v>
      </c>
      <c r="L841" s="1">
        <f ca="1">IFERROR(__xludf.DUMMYFUNCTION("""COMPUTED_VALUE"""),0.85)</f>
        <v>0.85</v>
      </c>
      <c r="T841" s="1">
        <f ca="1">IFERROR(__xludf.DUMMYFUNCTION("""COMPUTED_VALUE"""),489536)</f>
        <v>489536</v>
      </c>
      <c r="U841" s="1">
        <f ca="1">IFERROR(__xludf.DUMMYFUNCTION("""COMPUTED_VALUE"""),0.85)</f>
        <v>0.85</v>
      </c>
    </row>
    <row r="842" spans="1:21" ht="12.75" x14ac:dyDescent="0.2">
      <c r="A842" s="3">
        <f ca="1">IFERROR(__xludf.DUMMYFUNCTION("""COMPUTED_VALUE"""),40148.5090277777)</f>
        <v>40148.509027777698</v>
      </c>
      <c r="B842" s="1">
        <f ca="1">IFERROR(__xludf.DUMMYFUNCTION("""COMPUTED_VALUE"""),1.25)</f>
        <v>1.25</v>
      </c>
      <c r="E842" s="1" t="str">
        <f ca="1">IFERROR(__xludf.DUMMYFUNCTION("""COMPUTED_VALUE"""),"BAKING SET 9 PIECE RETROSPOT")</f>
        <v>BAKING SET 9 PIECE RETROSPOT</v>
      </c>
      <c r="F842" s="1">
        <f ca="1">IFERROR(__xludf.DUMMYFUNCTION("""COMPUTED_VALUE"""),1)</f>
        <v>1</v>
      </c>
      <c r="G842" s="1">
        <f ca="1">IFERROR(__xludf.DUMMYFUNCTION("""COMPUTED_VALUE"""),4.95)</f>
        <v>4.95</v>
      </c>
      <c r="J842" s="1" t="str">
        <f ca="1">IFERROR(__xludf.DUMMYFUNCTION("""COMPUTED_VALUE"""),"QUEEN OF SKIES LUGGAGE TAG")</f>
        <v>QUEEN OF SKIES LUGGAGE TAG</v>
      </c>
      <c r="K842" s="1">
        <f ca="1">IFERROR(__xludf.DUMMYFUNCTION("""COMPUTED_VALUE"""),1)</f>
        <v>1</v>
      </c>
      <c r="L842" s="1">
        <f ca="1">IFERROR(__xludf.DUMMYFUNCTION("""COMPUTED_VALUE"""),1.25)</f>
        <v>1.25</v>
      </c>
      <c r="T842" s="1">
        <f ca="1">IFERROR(__xludf.DUMMYFUNCTION("""COMPUTED_VALUE"""),489536)</f>
        <v>489536</v>
      </c>
      <c r="U842" s="1">
        <f ca="1">IFERROR(__xludf.DUMMYFUNCTION("""COMPUTED_VALUE"""),1.25)</f>
        <v>1.25</v>
      </c>
    </row>
    <row r="843" spans="1:21" ht="12.75" x14ac:dyDescent="0.2">
      <c r="A843" s="3">
        <f ca="1">IFERROR(__xludf.DUMMYFUNCTION("""COMPUTED_VALUE"""),40148.5090277777)</f>
        <v>40148.509027777698</v>
      </c>
      <c r="B843" s="1">
        <f ca="1">IFERROR(__xludf.DUMMYFUNCTION("""COMPUTED_VALUE"""),1.25)</f>
        <v>1.25</v>
      </c>
      <c r="E843" s="1" t="str">
        <f ca="1">IFERROR(__xludf.DUMMYFUNCTION("""COMPUTED_VALUE"""),"PINK HEART DOTS HOT WATER BOTTLE")</f>
        <v>PINK HEART DOTS HOT WATER BOTTLE</v>
      </c>
      <c r="F843" s="1">
        <f ca="1">IFERROR(__xludf.DUMMYFUNCTION("""COMPUTED_VALUE"""),1)</f>
        <v>1</v>
      </c>
      <c r="G843" s="1">
        <f ca="1">IFERROR(__xludf.DUMMYFUNCTION("""COMPUTED_VALUE"""),3.75)</f>
        <v>3.75</v>
      </c>
      <c r="J843" s="1" t="str">
        <f ca="1">IFERROR(__xludf.DUMMYFUNCTION("""COMPUTED_VALUE"""),"VINTAGE HEADS AND TAILS CARD GAME")</f>
        <v>VINTAGE HEADS AND TAILS CARD GAME</v>
      </c>
      <c r="K843" s="1">
        <f ca="1">IFERROR(__xludf.DUMMYFUNCTION("""COMPUTED_VALUE"""),1)</f>
        <v>1</v>
      </c>
      <c r="L843" s="1">
        <f ca="1">IFERROR(__xludf.DUMMYFUNCTION("""COMPUTED_VALUE"""),1.25)</f>
        <v>1.25</v>
      </c>
      <c r="T843" s="1">
        <f ca="1">IFERROR(__xludf.DUMMYFUNCTION("""COMPUTED_VALUE"""),489536)</f>
        <v>489536</v>
      </c>
      <c r="U843" s="1">
        <f ca="1">IFERROR(__xludf.DUMMYFUNCTION("""COMPUTED_VALUE"""),1.25)</f>
        <v>1.25</v>
      </c>
    </row>
    <row r="844" spans="1:21" ht="12.75" x14ac:dyDescent="0.2">
      <c r="A844" s="3">
        <f ca="1">IFERROR(__xludf.DUMMYFUNCTION("""COMPUTED_VALUE"""),40148.5090277777)</f>
        <v>40148.509027777698</v>
      </c>
      <c r="B844" s="1">
        <f ca="1">IFERROR(__xludf.DUMMYFUNCTION("""COMPUTED_VALUE"""),2.95)</f>
        <v>2.95</v>
      </c>
      <c r="E844" s="1" t="str">
        <f ca="1">IFERROR(__xludf.DUMMYFUNCTION("""COMPUTED_VALUE"""),"RED SPOT HEART HOT WATER BOTTLE")</f>
        <v>RED SPOT HEART HOT WATER BOTTLE</v>
      </c>
      <c r="F844" s="1">
        <f ca="1">IFERROR(__xludf.DUMMYFUNCTION("""COMPUTED_VALUE"""),1)</f>
        <v>1</v>
      </c>
      <c r="G844" s="1">
        <f ca="1">IFERROR(__xludf.DUMMYFUNCTION("""COMPUTED_VALUE"""),4.95)</f>
        <v>4.95</v>
      </c>
      <c r="J844" s="1" t="str">
        <f ca="1">IFERROR(__xludf.DUMMYFUNCTION("""COMPUTED_VALUE"""),"MODERN FLORAL STATIONERY SET")</f>
        <v>MODERN FLORAL STATIONERY SET</v>
      </c>
      <c r="K844" s="1">
        <f ca="1">IFERROR(__xludf.DUMMYFUNCTION("""COMPUTED_VALUE"""),1)</f>
        <v>1</v>
      </c>
      <c r="L844" s="1">
        <f ca="1">IFERROR(__xludf.DUMMYFUNCTION("""COMPUTED_VALUE"""),2.95)</f>
        <v>2.95</v>
      </c>
      <c r="T844" s="1">
        <f ca="1">IFERROR(__xludf.DUMMYFUNCTION("""COMPUTED_VALUE"""),489536)</f>
        <v>489536</v>
      </c>
      <c r="U844" s="1">
        <f ca="1">IFERROR(__xludf.DUMMYFUNCTION("""COMPUTED_VALUE"""),2.95)</f>
        <v>2.95</v>
      </c>
    </row>
    <row r="845" spans="1:21" ht="12.75" x14ac:dyDescent="0.2">
      <c r="A845" s="3">
        <f ca="1">IFERROR(__xludf.DUMMYFUNCTION("""COMPUTED_VALUE"""),40148.5090277777)</f>
        <v>40148.509027777698</v>
      </c>
      <c r="B845" s="1">
        <f ca="1">IFERROR(__xludf.DUMMYFUNCTION("""COMPUTED_VALUE"""),1.25)</f>
        <v>1.25</v>
      </c>
      <c r="E845" s="1" t="str">
        <f ca="1">IFERROR(__xludf.DUMMYFUNCTION("""COMPUTED_VALUE"""),"WHITE SKULL HOT WATER BOTTLE")</f>
        <v>WHITE SKULL HOT WATER BOTTLE</v>
      </c>
      <c r="F845" s="1">
        <f ca="1">IFERROR(__xludf.DUMMYFUNCTION("""COMPUTED_VALUE"""),1)</f>
        <v>1</v>
      </c>
      <c r="G845" s="1">
        <f ca="1">IFERROR(__xludf.DUMMYFUNCTION("""COMPUTED_VALUE"""),3.75)</f>
        <v>3.75</v>
      </c>
      <c r="J845" s="1" t="str">
        <f ca="1">IFERROR(__xludf.DUMMYFUNCTION("""COMPUTED_VALUE"""),"SWEETHEART CERAMIC TRINKET BOX")</f>
        <v>SWEETHEART CERAMIC TRINKET BOX</v>
      </c>
      <c r="K845" s="1">
        <f ca="1">IFERROR(__xludf.DUMMYFUNCTION("""COMPUTED_VALUE"""),1)</f>
        <v>1</v>
      </c>
      <c r="L845" s="1">
        <f ca="1">IFERROR(__xludf.DUMMYFUNCTION("""COMPUTED_VALUE"""),1.25)</f>
        <v>1.25</v>
      </c>
      <c r="T845" s="1">
        <f ca="1">IFERROR(__xludf.DUMMYFUNCTION("""COMPUTED_VALUE"""),489536)</f>
        <v>489536</v>
      </c>
      <c r="U845" s="1">
        <f ca="1">IFERROR(__xludf.DUMMYFUNCTION("""COMPUTED_VALUE"""),1.25)</f>
        <v>1.25</v>
      </c>
    </row>
    <row r="846" spans="1:21" ht="12.75" x14ac:dyDescent="0.2">
      <c r="A846" s="3">
        <f ca="1">IFERROR(__xludf.DUMMYFUNCTION("""COMPUTED_VALUE"""),40148.5090277777)</f>
        <v>40148.509027777698</v>
      </c>
      <c r="B846" s="1">
        <f ca="1">IFERROR(__xludf.DUMMYFUNCTION("""COMPUTED_VALUE"""),1.65)</f>
        <v>1.65</v>
      </c>
      <c r="E846" s="1" t="str">
        <f ca="1">IFERROR(__xludf.DUMMYFUNCTION("""COMPUTED_VALUE"""),"PINK CROCHET CAT WITH SCARF")</f>
        <v>PINK CROCHET CAT WITH SCARF</v>
      </c>
      <c r="F846" s="1">
        <f ca="1">IFERROR(__xludf.DUMMYFUNCTION("""COMPUTED_VALUE"""),1)</f>
        <v>1</v>
      </c>
      <c r="G846" s="1">
        <f ca="1">IFERROR(__xludf.DUMMYFUNCTION("""COMPUTED_VALUE"""),4.25)</f>
        <v>4.25</v>
      </c>
      <c r="J846" s="1" t="str">
        <f ca="1">IFERROR(__xludf.DUMMYFUNCTION("""COMPUTED_VALUE"""),"SKULL SHOULDER BAG")</f>
        <v>SKULL SHOULDER BAG</v>
      </c>
      <c r="K846" s="1">
        <f ca="1">IFERROR(__xludf.DUMMYFUNCTION("""COMPUTED_VALUE"""),1)</f>
        <v>1</v>
      </c>
      <c r="L846" s="1">
        <f ca="1">IFERROR(__xludf.DUMMYFUNCTION("""COMPUTED_VALUE"""),1.65)</f>
        <v>1.65</v>
      </c>
      <c r="T846" s="1">
        <f ca="1">IFERROR(__xludf.DUMMYFUNCTION("""COMPUTED_VALUE"""),489536)</f>
        <v>489536</v>
      </c>
      <c r="U846" s="1">
        <f ca="1">IFERROR(__xludf.DUMMYFUNCTION("""COMPUTED_VALUE"""),1.65)</f>
        <v>1.65</v>
      </c>
    </row>
    <row r="847" spans="1:21" ht="12.75" x14ac:dyDescent="0.2">
      <c r="A847" s="3">
        <f ca="1">IFERROR(__xludf.DUMMYFUNCTION("""COMPUTED_VALUE"""),40148.5090277777)</f>
        <v>40148.509027777698</v>
      </c>
      <c r="B847" s="1">
        <f ca="1">IFERROR(__xludf.DUMMYFUNCTION("""COMPUTED_VALUE"""),2.25)</f>
        <v>2.25</v>
      </c>
      <c r="E847" s="1" t="str">
        <f ca="1">IFERROR(__xludf.DUMMYFUNCTION("""COMPUTED_VALUE"""),"VINTAGE UNION JACK CUSHION COVER")</f>
        <v>VINTAGE UNION JACK CUSHION COVER</v>
      </c>
      <c r="F847" s="1">
        <f ca="1">IFERROR(__xludf.DUMMYFUNCTION("""COMPUTED_VALUE"""),1)</f>
        <v>1</v>
      </c>
      <c r="G847" s="1">
        <f ca="1">IFERROR(__xludf.DUMMYFUNCTION("""COMPUTED_VALUE"""),4.95)</f>
        <v>4.95</v>
      </c>
      <c r="J847" s="1" t="str">
        <f ca="1">IFERROR(__xludf.DUMMYFUNCTION("""COMPUTED_VALUE"""),"WOODLAND DESIGN  COTTON TOTE BAG")</f>
        <v>WOODLAND DESIGN  COTTON TOTE BAG</v>
      </c>
      <c r="K847" s="1">
        <f ca="1">IFERROR(__xludf.DUMMYFUNCTION("""COMPUTED_VALUE"""),1)</f>
        <v>1</v>
      </c>
      <c r="L847" s="1">
        <f ca="1">IFERROR(__xludf.DUMMYFUNCTION("""COMPUTED_VALUE"""),2.25)</f>
        <v>2.25</v>
      </c>
      <c r="T847" s="1">
        <f ca="1">IFERROR(__xludf.DUMMYFUNCTION("""COMPUTED_VALUE"""),489536)</f>
        <v>489536</v>
      </c>
      <c r="U847" s="1">
        <f ca="1">IFERROR(__xludf.DUMMYFUNCTION("""COMPUTED_VALUE"""),2.25)</f>
        <v>2.25</v>
      </c>
    </row>
    <row r="848" spans="1:21" ht="12.75" x14ac:dyDescent="0.2">
      <c r="A848" s="3">
        <f ca="1">IFERROR(__xludf.DUMMYFUNCTION("""COMPUTED_VALUE"""),40148.5090277777)</f>
        <v>40148.509027777698</v>
      </c>
      <c r="B848" s="1">
        <f ca="1">IFERROR(__xludf.DUMMYFUNCTION("""COMPUTED_VALUE"""),2.25)</f>
        <v>2.25</v>
      </c>
      <c r="E848" s="1" t="str">
        <f ca="1">IFERROR(__xludf.DUMMYFUNCTION("""COMPUTED_VALUE"""),"RED SPOTTY PURSE")</f>
        <v>RED SPOTTY PURSE</v>
      </c>
      <c r="F848" s="1">
        <f ca="1">IFERROR(__xludf.DUMMYFUNCTION("""COMPUTED_VALUE"""),1)</f>
        <v>1</v>
      </c>
      <c r="G848" s="1">
        <f ca="1">IFERROR(__xludf.DUMMYFUNCTION("""COMPUTED_VALUE"""),2.95)</f>
        <v>2.95</v>
      </c>
      <c r="J848" s="1" t="str">
        <f ca="1">IFERROR(__xludf.DUMMYFUNCTION("""COMPUTED_VALUE"""),"LOLITA  DESIGN  COTTON TOTE BAG")</f>
        <v>LOLITA  DESIGN  COTTON TOTE BAG</v>
      </c>
      <c r="K848" s="1">
        <f ca="1">IFERROR(__xludf.DUMMYFUNCTION("""COMPUTED_VALUE"""),1)</f>
        <v>1</v>
      </c>
      <c r="L848" s="1">
        <f ca="1">IFERROR(__xludf.DUMMYFUNCTION("""COMPUTED_VALUE"""),2.25)</f>
        <v>2.25</v>
      </c>
      <c r="T848" s="1">
        <f ca="1">IFERROR(__xludf.DUMMYFUNCTION("""COMPUTED_VALUE"""),489536)</f>
        <v>489536</v>
      </c>
      <c r="U848" s="1">
        <f ca="1">IFERROR(__xludf.DUMMYFUNCTION("""COMPUTED_VALUE"""),2.25)</f>
        <v>2.25</v>
      </c>
    </row>
    <row r="849" spans="1:21" ht="12.75" x14ac:dyDescent="0.2">
      <c r="A849" s="3">
        <f ca="1">IFERROR(__xludf.DUMMYFUNCTION("""COMPUTED_VALUE"""),40148.5090277777)</f>
        <v>40148.509027777698</v>
      </c>
      <c r="B849" s="1">
        <f ca="1">IFERROR(__xludf.DUMMYFUNCTION("""COMPUTED_VALUE"""),1.95)</f>
        <v>1.95</v>
      </c>
      <c r="E849" s="1" t="str">
        <f ca="1">IFERROR(__xludf.DUMMYFUNCTION("""COMPUTED_VALUE"""),"RED TOADSTOOL LED NIGHT LIGHT")</f>
        <v>RED TOADSTOOL LED NIGHT LIGHT</v>
      </c>
      <c r="F849" s="1">
        <f ca="1">IFERROR(__xludf.DUMMYFUNCTION("""COMPUTED_VALUE"""),24)</f>
        <v>24</v>
      </c>
      <c r="G849" s="1">
        <f ca="1">IFERROR(__xludf.DUMMYFUNCTION("""COMPUTED_VALUE"""),1.65)</f>
        <v>1.65</v>
      </c>
      <c r="J849" s="1" t="str">
        <f ca="1">IFERROR(__xludf.DUMMYFUNCTION("""COMPUTED_VALUE"""),"JUMBO BAG OWLS")</f>
        <v>JUMBO BAG OWLS</v>
      </c>
      <c r="K849" s="1">
        <f ca="1">IFERROR(__xludf.DUMMYFUNCTION("""COMPUTED_VALUE"""),1)</f>
        <v>1</v>
      </c>
      <c r="L849" s="1">
        <f ca="1">IFERROR(__xludf.DUMMYFUNCTION("""COMPUTED_VALUE"""),1.95)</f>
        <v>1.95</v>
      </c>
      <c r="T849" s="1">
        <f ca="1">IFERROR(__xludf.DUMMYFUNCTION("""COMPUTED_VALUE"""),489536)</f>
        <v>489536</v>
      </c>
      <c r="U849" s="1">
        <f ca="1">IFERROR(__xludf.DUMMYFUNCTION("""COMPUTED_VALUE"""),1.95)</f>
        <v>1.95</v>
      </c>
    </row>
    <row r="850" spans="1:21" ht="12.75" x14ac:dyDescent="0.2">
      <c r="A850" s="3">
        <f ca="1">IFERROR(__xludf.DUMMYFUNCTION("""COMPUTED_VALUE"""),40148.5090277777)</f>
        <v>40148.509027777698</v>
      </c>
      <c r="B850" s="1">
        <f ca="1">IFERROR(__xludf.DUMMYFUNCTION("""COMPUTED_VALUE"""),1.95)</f>
        <v>1.95</v>
      </c>
      <c r="E850" s="1" t="str">
        <f ca="1">IFERROR(__xludf.DUMMYFUNCTION("""COMPUTED_VALUE"""),"JUMBO BAG RED WHITE SPOTTY")</f>
        <v>JUMBO BAG RED WHITE SPOTTY</v>
      </c>
      <c r="F850" s="1">
        <f ca="1">IFERROR(__xludf.DUMMYFUNCTION("""COMPUTED_VALUE"""),20)</f>
        <v>20</v>
      </c>
      <c r="G850" s="1">
        <f ca="1">IFERROR(__xludf.DUMMYFUNCTION("""COMPUTED_VALUE"""),1.95)</f>
        <v>1.95</v>
      </c>
      <c r="J850" s="1" t="str">
        <f ca="1">IFERROR(__xludf.DUMMYFUNCTION("""COMPUTED_VALUE"""),"JUMBO BAG WOODLAND ANIMALS")</f>
        <v>JUMBO BAG WOODLAND ANIMALS</v>
      </c>
      <c r="K850" s="1">
        <f ca="1">IFERROR(__xludf.DUMMYFUNCTION("""COMPUTED_VALUE"""),1)</f>
        <v>1</v>
      </c>
      <c r="L850" s="1">
        <f ca="1">IFERROR(__xludf.DUMMYFUNCTION("""COMPUTED_VALUE"""),1.95)</f>
        <v>1.95</v>
      </c>
      <c r="T850" s="1">
        <f ca="1">IFERROR(__xludf.DUMMYFUNCTION("""COMPUTED_VALUE"""),489536)</f>
        <v>489536</v>
      </c>
      <c r="U850" s="1">
        <f ca="1">IFERROR(__xludf.DUMMYFUNCTION("""COMPUTED_VALUE"""),1.95)</f>
        <v>1.95</v>
      </c>
    </row>
    <row r="851" spans="1:21" ht="12.75" x14ac:dyDescent="0.2">
      <c r="A851" s="3">
        <f ca="1">IFERROR(__xludf.DUMMYFUNCTION("""COMPUTED_VALUE"""),40148.5090277777)</f>
        <v>40148.509027777698</v>
      </c>
      <c r="B851" s="1">
        <f ca="1">IFERROR(__xludf.DUMMYFUNCTION("""COMPUTED_VALUE"""),0.85)</f>
        <v>0.85</v>
      </c>
      <c r="E851" s="1" t="str">
        <f ca="1">IFERROR(__xludf.DUMMYFUNCTION("""COMPUTED_VALUE"""),"BASKET OF TOADSTOOLS")</f>
        <v>BASKET OF TOADSTOOLS</v>
      </c>
      <c r="F851" s="1">
        <f ca="1">IFERROR(__xludf.DUMMYFUNCTION("""COMPUTED_VALUE"""),12)</f>
        <v>12</v>
      </c>
      <c r="G851" s="1">
        <f ca="1">IFERROR(__xludf.DUMMYFUNCTION("""COMPUTED_VALUE"""),1.25)</f>
        <v>1.25</v>
      </c>
      <c r="J851" s="1" t="str">
        <f ca="1">IFERROR(__xludf.DUMMYFUNCTION("""COMPUTED_VALUE"""),"POP ART PEN CASE &amp; PENS")</f>
        <v>POP ART PEN CASE &amp; PENS</v>
      </c>
      <c r="K851" s="1">
        <f ca="1">IFERROR(__xludf.DUMMYFUNCTION("""COMPUTED_VALUE"""),1)</f>
        <v>1</v>
      </c>
      <c r="L851" s="1">
        <f ca="1">IFERROR(__xludf.DUMMYFUNCTION("""COMPUTED_VALUE"""),0.85)</f>
        <v>0.85</v>
      </c>
      <c r="T851" s="1">
        <f ca="1">IFERROR(__xludf.DUMMYFUNCTION("""COMPUTED_VALUE"""),489536)</f>
        <v>489536</v>
      </c>
      <c r="U851" s="1">
        <f ca="1">IFERROR(__xludf.DUMMYFUNCTION("""COMPUTED_VALUE"""),0.85)</f>
        <v>0.85</v>
      </c>
    </row>
    <row r="852" spans="1:21" ht="12.75" x14ac:dyDescent="0.2">
      <c r="A852" s="3">
        <f ca="1">IFERROR(__xludf.DUMMYFUNCTION("""COMPUTED_VALUE"""),40148.5090277777)</f>
        <v>40148.509027777698</v>
      </c>
      <c r="B852" s="1">
        <f ca="1">IFERROR(__xludf.DUMMYFUNCTION("""COMPUTED_VALUE"""),2.55)</f>
        <v>2.5499999999999998</v>
      </c>
      <c r="E852" s="1" t="str">
        <f ca="1">IFERROR(__xludf.DUMMYFUNCTION("""COMPUTED_VALUE"""),"LUNCHBOX WITH CUTLERY RETROSPOT")</f>
        <v>LUNCHBOX WITH CUTLERY RETROSPOT</v>
      </c>
      <c r="F852" s="1">
        <f ca="1">IFERROR(__xludf.DUMMYFUNCTION("""COMPUTED_VALUE"""),12)</f>
        <v>12</v>
      </c>
      <c r="G852" s="1">
        <f ca="1">IFERROR(__xludf.DUMMYFUNCTION("""COMPUTED_VALUE"""),2.55)</f>
        <v>2.5499999999999998</v>
      </c>
      <c r="J852" s="1" t="str">
        <f ca="1">IFERROR(__xludf.DUMMYFUNCTION("""COMPUTED_VALUE"""),"DINOSAUR LUNCHBOX WITH CUTLERY")</f>
        <v>DINOSAUR LUNCHBOX WITH CUTLERY</v>
      </c>
      <c r="K852" s="1">
        <f ca="1">IFERROR(__xludf.DUMMYFUNCTION("""COMPUTED_VALUE"""),1)</f>
        <v>1</v>
      </c>
      <c r="L852" s="1">
        <f ca="1">IFERROR(__xludf.DUMMYFUNCTION("""COMPUTED_VALUE"""),2.55)</f>
        <v>2.5499999999999998</v>
      </c>
      <c r="T852" s="1">
        <f ca="1">IFERROR(__xludf.DUMMYFUNCTION("""COMPUTED_VALUE"""),489536)</f>
        <v>489536</v>
      </c>
      <c r="U852" s="1">
        <f ca="1">IFERROR(__xludf.DUMMYFUNCTION("""COMPUTED_VALUE"""),2.55)</f>
        <v>2.5499999999999998</v>
      </c>
    </row>
    <row r="853" spans="1:21" ht="12.75" x14ac:dyDescent="0.2">
      <c r="A853" s="3">
        <f ca="1">IFERROR(__xludf.DUMMYFUNCTION("""COMPUTED_VALUE"""),40148.5090277777)</f>
        <v>40148.509027777698</v>
      </c>
      <c r="B853" s="1">
        <f ca="1">IFERROR(__xludf.DUMMYFUNCTION("""COMPUTED_VALUE"""),1.25)</f>
        <v>1.25</v>
      </c>
      <c r="E853" s="1" t="str">
        <f ca="1">IFERROR(__xludf.DUMMYFUNCTION("""COMPUTED_VALUE"""),"SET OF 72 RETRO SPOT PAPER  DOILIES")</f>
        <v>SET OF 72 RETRO SPOT PAPER  DOILIES</v>
      </c>
      <c r="F853" s="1">
        <f ca="1">IFERROR(__xludf.DUMMYFUNCTION("""COMPUTED_VALUE"""),12)</f>
        <v>12</v>
      </c>
      <c r="G853" s="1">
        <f ca="1">IFERROR(__xludf.DUMMYFUNCTION("""COMPUTED_VALUE"""),1.45)</f>
        <v>1.45</v>
      </c>
      <c r="J853" s="1" t="str">
        <f ca="1">IFERROR(__xludf.DUMMYFUNCTION("""COMPUTED_VALUE"""),"SILVER FINCH DECORATION")</f>
        <v>SILVER FINCH DECORATION</v>
      </c>
      <c r="K853" s="1">
        <f ca="1">IFERROR(__xludf.DUMMYFUNCTION("""COMPUTED_VALUE"""),1)</f>
        <v>1</v>
      </c>
      <c r="L853" s="1">
        <f ca="1">IFERROR(__xludf.DUMMYFUNCTION("""COMPUTED_VALUE"""),1.25)</f>
        <v>1.25</v>
      </c>
      <c r="T853" s="1">
        <f ca="1">IFERROR(__xludf.DUMMYFUNCTION("""COMPUTED_VALUE"""),489536)</f>
        <v>489536</v>
      </c>
      <c r="U853" s="1">
        <f ca="1">IFERROR(__xludf.DUMMYFUNCTION("""COMPUTED_VALUE"""),1.25)</f>
        <v>1.25</v>
      </c>
    </row>
    <row r="854" spans="1:21" ht="12.75" x14ac:dyDescent="0.2">
      <c r="A854" s="3">
        <f ca="1">IFERROR(__xludf.DUMMYFUNCTION("""COMPUTED_VALUE"""),40148.5090277777)</f>
        <v>40148.509027777698</v>
      </c>
      <c r="B854" s="1">
        <f ca="1">IFERROR(__xludf.DUMMYFUNCTION("""COMPUTED_VALUE"""),1.25)</f>
        <v>1.25</v>
      </c>
      <c r="E854" s="1" t="str">
        <f ca="1">IFERROR(__xludf.DUMMYFUNCTION("""COMPUTED_VALUE"""),"RED SPOTTY SHOPPING BAG")</f>
        <v>RED SPOTTY SHOPPING BAG</v>
      </c>
      <c r="F854" s="1">
        <f ca="1">IFERROR(__xludf.DUMMYFUNCTION("""COMPUTED_VALUE"""),12)</f>
        <v>12</v>
      </c>
      <c r="G854" s="1">
        <f ca="1">IFERROR(__xludf.DUMMYFUNCTION("""COMPUTED_VALUE"""),2.55)</f>
        <v>2.5499999999999998</v>
      </c>
      <c r="J854" s="1" t="str">
        <f ca="1">IFERROR(__xludf.DUMMYFUNCTION("""COMPUTED_VALUE"""),"SET/10 PINK SPOTTY PARTY CANDLES")</f>
        <v>SET/10 PINK SPOTTY PARTY CANDLES</v>
      </c>
      <c r="K854" s="1">
        <f ca="1">IFERROR(__xludf.DUMMYFUNCTION("""COMPUTED_VALUE"""),1)</f>
        <v>1</v>
      </c>
      <c r="L854" s="1">
        <f ca="1">IFERROR(__xludf.DUMMYFUNCTION("""COMPUTED_VALUE"""),1.25)</f>
        <v>1.25</v>
      </c>
      <c r="T854" s="1">
        <f ca="1">IFERROR(__xludf.DUMMYFUNCTION("""COMPUTED_VALUE"""),489536)</f>
        <v>489536</v>
      </c>
      <c r="U854" s="1">
        <f ca="1">IFERROR(__xludf.DUMMYFUNCTION("""COMPUTED_VALUE"""),1.25)</f>
        <v>1.25</v>
      </c>
    </row>
    <row r="855" spans="1:21" ht="12.75" x14ac:dyDescent="0.2">
      <c r="A855" s="3">
        <f ca="1">IFERROR(__xludf.DUMMYFUNCTION("""COMPUTED_VALUE"""),40148.5090277777)</f>
        <v>40148.509027777698</v>
      </c>
      <c r="B855" s="1">
        <f ca="1">IFERROR(__xludf.DUMMYFUNCTION("""COMPUTED_VALUE"""),1.25)</f>
        <v>1.25</v>
      </c>
      <c r="E855" s="1" t="str">
        <f ca="1">IFERROR(__xludf.DUMMYFUNCTION("""COMPUTED_VALUE"""),"JUMBO BAG WOODLAND ANIMALS")</f>
        <v>JUMBO BAG WOODLAND ANIMALS</v>
      </c>
      <c r="F855" s="1">
        <f ca="1">IFERROR(__xludf.DUMMYFUNCTION("""COMPUTED_VALUE"""),10)</f>
        <v>10</v>
      </c>
      <c r="G855" s="1">
        <f ca="1">IFERROR(__xludf.DUMMYFUNCTION("""COMPUTED_VALUE"""),1.95)</f>
        <v>1.95</v>
      </c>
      <c r="J855" s="1" t="str">
        <f ca="1">IFERROR(__xludf.DUMMYFUNCTION("""COMPUTED_VALUE"""),"SWEETHEART CERAMIC TRINKET BOX")</f>
        <v>SWEETHEART CERAMIC TRINKET BOX</v>
      </c>
      <c r="K855" s="1">
        <f ca="1">IFERROR(__xludf.DUMMYFUNCTION("""COMPUTED_VALUE"""),1)</f>
        <v>1</v>
      </c>
      <c r="L855" s="1">
        <f ca="1">IFERROR(__xludf.DUMMYFUNCTION("""COMPUTED_VALUE"""),1.25)</f>
        <v>1.25</v>
      </c>
      <c r="T855" s="1">
        <f ca="1">IFERROR(__xludf.DUMMYFUNCTION("""COMPUTED_VALUE"""),489536)</f>
        <v>489536</v>
      </c>
      <c r="U855" s="1">
        <f ca="1">IFERROR(__xludf.DUMMYFUNCTION("""COMPUTED_VALUE"""),1.25)</f>
        <v>1.25</v>
      </c>
    </row>
    <row r="856" spans="1:21" ht="12.75" x14ac:dyDescent="0.2">
      <c r="A856" s="3">
        <f ca="1">IFERROR(__xludf.DUMMYFUNCTION("""COMPUTED_VALUE"""),40148.5090277777)</f>
        <v>40148.509027777698</v>
      </c>
      <c r="B856" s="1">
        <f ca="1">IFERROR(__xludf.DUMMYFUNCTION("""COMPUTED_VALUE"""),1.65)</f>
        <v>1.65</v>
      </c>
      <c r="E856" s="1" t="str">
        <f ca="1">IFERROR(__xludf.DUMMYFUNCTION("""COMPUTED_VALUE"""),"JUMBO BAG TOYS")</f>
        <v>JUMBO BAG TOYS</v>
      </c>
      <c r="F856" s="1">
        <f ca="1">IFERROR(__xludf.DUMMYFUNCTION("""COMPUTED_VALUE"""),10)</f>
        <v>10</v>
      </c>
      <c r="G856" s="1">
        <f ca="1">IFERROR(__xludf.DUMMYFUNCTION("""COMPUTED_VALUE"""),1.95)</f>
        <v>1.95</v>
      </c>
      <c r="J856" s="1" t="str">
        <f ca="1">IFERROR(__xludf.DUMMYFUNCTION("""COMPUTED_VALUE"""),"SMALL CAMPHOR WOOD FIELD  MUSHROOM")</f>
        <v>SMALL CAMPHOR WOOD FIELD  MUSHROOM</v>
      </c>
      <c r="K856" s="1">
        <f ca="1">IFERROR(__xludf.DUMMYFUNCTION("""COMPUTED_VALUE"""),1)</f>
        <v>1</v>
      </c>
      <c r="L856" s="1">
        <f ca="1">IFERROR(__xludf.DUMMYFUNCTION("""COMPUTED_VALUE"""),1.65)</f>
        <v>1.65</v>
      </c>
      <c r="T856" s="1">
        <f ca="1">IFERROR(__xludf.DUMMYFUNCTION("""COMPUTED_VALUE"""),489536)</f>
        <v>489536</v>
      </c>
      <c r="U856" s="1">
        <f ca="1">IFERROR(__xludf.DUMMYFUNCTION("""COMPUTED_VALUE"""),1.65)</f>
        <v>1.65</v>
      </c>
    </row>
    <row r="857" spans="1:21" ht="12.75" x14ac:dyDescent="0.2">
      <c r="A857" s="3">
        <f ca="1">IFERROR(__xludf.DUMMYFUNCTION("""COMPUTED_VALUE"""),40148.5090277777)</f>
        <v>40148.509027777698</v>
      </c>
      <c r="B857" s="1">
        <f ca="1">IFERROR(__xludf.DUMMYFUNCTION("""COMPUTED_VALUE"""),1.25)</f>
        <v>1.25</v>
      </c>
      <c r="E857" s="1" t="str">
        <f ca="1">IFERROR(__xludf.DUMMYFUNCTION("""COMPUTED_VALUE"""),"LUNCHBOX WITH CUTLERY FAIRY CAKES")</f>
        <v>LUNCHBOX WITH CUTLERY FAIRY CAKES</v>
      </c>
      <c r="F857" s="1">
        <f ca="1">IFERROR(__xludf.DUMMYFUNCTION("""COMPUTED_VALUE"""),6)</f>
        <v>6</v>
      </c>
      <c r="G857" s="1">
        <f ca="1">IFERROR(__xludf.DUMMYFUNCTION("""COMPUTED_VALUE"""),2.55)</f>
        <v>2.5499999999999998</v>
      </c>
      <c r="J857" s="1" t="str">
        <f ca="1">IFERROR(__xludf.DUMMYFUNCTION("""COMPUTED_VALUE"""),"CAMPHOR WOOD PORTOBELLO MUSHROOM")</f>
        <v>CAMPHOR WOOD PORTOBELLO MUSHROOM</v>
      </c>
      <c r="K857" s="1">
        <f ca="1">IFERROR(__xludf.DUMMYFUNCTION("""COMPUTED_VALUE"""),1)</f>
        <v>1</v>
      </c>
      <c r="L857" s="1">
        <f ca="1">IFERROR(__xludf.DUMMYFUNCTION("""COMPUTED_VALUE"""),1.25)</f>
        <v>1.25</v>
      </c>
      <c r="T857" s="1">
        <f ca="1">IFERROR(__xludf.DUMMYFUNCTION("""COMPUTED_VALUE"""),489536)</f>
        <v>489536</v>
      </c>
      <c r="U857" s="1">
        <f ca="1">IFERROR(__xludf.DUMMYFUNCTION("""COMPUTED_VALUE"""),1.25)</f>
        <v>1.25</v>
      </c>
    </row>
    <row r="858" spans="1:21" ht="12.75" x14ac:dyDescent="0.2">
      <c r="A858" s="3">
        <f ca="1">IFERROR(__xludf.DUMMYFUNCTION("""COMPUTED_VALUE"""),40148.5090277777)</f>
        <v>40148.509027777698</v>
      </c>
      <c r="B858" s="1">
        <f ca="1">IFERROR(__xludf.DUMMYFUNCTION("""COMPUTED_VALUE"""),1.25)</f>
        <v>1.25</v>
      </c>
      <c r="E858" s="1" t="str">
        <f ca="1">IFERROR(__xludf.DUMMYFUNCTION("""COMPUTED_VALUE"""),"WOODLAND STORAGE BOX LARGE")</f>
        <v>WOODLAND STORAGE BOX LARGE</v>
      </c>
      <c r="F858" s="1">
        <f ca="1">IFERROR(__xludf.DUMMYFUNCTION("""COMPUTED_VALUE"""),6)</f>
        <v>6</v>
      </c>
      <c r="G858" s="1">
        <f ca="1">IFERROR(__xludf.DUMMYFUNCTION("""COMPUTED_VALUE"""),2.95)</f>
        <v>2.95</v>
      </c>
      <c r="J858" s="1" t="str">
        <f ca="1">IFERROR(__xludf.DUMMYFUNCTION("""COMPUTED_VALUE"""),"PORCELAIN T-LIGHT HOLDERS ASSORTED")</f>
        <v>PORCELAIN T-LIGHT HOLDERS ASSORTED</v>
      </c>
      <c r="K858" s="1">
        <f ca="1">IFERROR(__xludf.DUMMYFUNCTION("""COMPUTED_VALUE"""),1)</f>
        <v>1</v>
      </c>
      <c r="L858" s="1">
        <f ca="1">IFERROR(__xludf.DUMMYFUNCTION("""COMPUTED_VALUE"""),1.25)</f>
        <v>1.25</v>
      </c>
      <c r="T858" s="1">
        <f ca="1">IFERROR(__xludf.DUMMYFUNCTION("""COMPUTED_VALUE"""),489536)</f>
        <v>489536</v>
      </c>
      <c r="U858" s="1">
        <f ca="1">IFERROR(__xludf.DUMMYFUNCTION("""COMPUTED_VALUE"""),1.25)</f>
        <v>1.25</v>
      </c>
    </row>
    <row r="859" spans="1:21" ht="12.75" x14ac:dyDescent="0.2">
      <c r="A859" s="3">
        <f ca="1">IFERROR(__xludf.DUMMYFUNCTION("""COMPUTED_VALUE"""),40148.5090277777)</f>
        <v>40148.509027777698</v>
      </c>
      <c r="B859" s="1">
        <f ca="1">IFERROR(__xludf.DUMMYFUNCTION("""COMPUTED_VALUE"""),0.85)</f>
        <v>0.85</v>
      </c>
      <c r="E859" s="1" t="str">
        <f ca="1">IFERROR(__xludf.DUMMYFUNCTION("""COMPUTED_VALUE"""),"WOODLAND STORAGE BOX SMALL")</f>
        <v>WOODLAND STORAGE BOX SMALL</v>
      </c>
      <c r="F859" s="1">
        <f ca="1">IFERROR(__xludf.DUMMYFUNCTION("""COMPUTED_VALUE"""),6)</f>
        <v>6</v>
      </c>
      <c r="G859" s="1">
        <f ca="1">IFERROR(__xludf.DUMMYFUNCTION("""COMPUTED_VALUE"""),2.1)</f>
        <v>2.1</v>
      </c>
      <c r="J859" s="1" t="str">
        <f ca="1">IFERROR(__xludf.DUMMYFUNCTION("""COMPUTED_VALUE"""),"BIRD BOX CHRISTMAS TREE DECORATION")</f>
        <v>BIRD BOX CHRISTMAS TREE DECORATION</v>
      </c>
      <c r="K859" s="1">
        <f ca="1">IFERROR(__xludf.DUMMYFUNCTION("""COMPUTED_VALUE"""),1)</f>
        <v>1</v>
      </c>
      <c r="L859" s="1">
        <f ca="1">IFERROR(__xludf.DUMMYFUNCTION("""COMPUTED_VALUE"""),0.85)</f>
        <v>0.85</v>
      </c>
      <c r="T859" s="1">
        <f ca="1">IFERROR(__xludf.DUMMYFUNCTION("""COMPUTED_VALUE"""),489536)</f>
        <v>489536</v>
      </c>
      <c r="U859" s="1">
        <f ca="1">IFERROR(__xludf.DUMMYFUNCTION("""COMPUTED_VALUE"""),0.85)</f>
        <v>0.85</v>
      </c>
    </row>
    <row r="860" spans="1:21" ht="12.75" x14ac:dyDescent="0.2">
      <c r="A860" s="3">
        <f ca="1">IFERROR(__xludf.DUMMYFUNCTION("""COMPUTED_VALUE"""),40148.5090277777)</f>
        <v>40148.509027777698</v>
      </c>
      <c r="B860" s="1">
        <f ca="1">IFERROR(__xludf.DUMMYFUNCTION("""COMPUTED_VALUE"""),2.1)</f>
        <v>2.1</v>
      </c>
      <c r="E860" s="1" t="str">
        <f ca="1">IFERROR(__xludf.DUMMYFUNCTION("""COMPUTED_VALUE"""),"RED SPOTTY CHILDS UMBRELLA")</f>
        <v>RED SPOTTY CHILDS UMBRELLA</v>
      </c>
      <c r="F860" s="1">
        <f ca="1">IFERROR(__xludf.DUMMYFUNCTION("""COMPUTED_VALUE"""),6)</f>
        <v>6</v>
      </c>
      <c r="G860" s="1">
        <f ca="1">IFERROR(__xludf.DUMMYFUNCTION("""COMPUTED_VALUE"""),3.25)</f>
        <v>3.25</v>
      </c>
      <c r="J860" s="1" t="str">
        <f ca="1">IFERROR(__xludf.DUMMYFUNCTION("""COMPUTED_VALUE"""),"SET/6 BLACK GLITTER REINDEER CANDLE")</f>
        <v>SET/6 BLACK GLITTER REINDEER CANDLE</v>
      </c>
      <c r="K860" s="1">
        <f ca="1">IFERROR(__xludf.DUMMYFUNCTION("""COMPUTED_VALUE"""),1)</f>
        <v>1</v>
      </c>
      <c r="L860" s="1">
        <f ca="1">IFERROR(__xludf.DUMMYFUNCTION("""COMPUTED_VALUE"""),2.1)</f>
        <v>2.1</v>
      </c>
      <c r="T860" s="1">
        <f ca="1">IFERROR(__xludf.DUMMYFUNCTION("""COMPUTED_VALUE"""),489536)</f>
        <v>489536</v>
      </c>
      <c r="U860" s="1">
        <f ca="1">IFERROR(__xludf.DUMMYFUNCTION("""COMPUTED_VALUE"""),2.1)</f>
        <v>2.1</v>
      </c>
    </row>
    <row r="861" spans="1:21" ht="12.75" x14ac:dyDescent="0.2">
      <c r="A861" s="3">
        <f ca="1">IFERROR(__xludf.DUMMYFUNCTION("""COMPUTED_VALUE"""),40148.5090277777)</f>
        <v>40148.509027777698</v>
      </c>
      <c r="B861" s="1">
        <f ca="1">IFERROR(__xludf.DUMMYFUNCTION("""COMPUTED_VALUE"""),1.95)</f>
        <v>1.95</v>
      </c>
      <c r="E861" s="1" t="str">
        <f ca="1">IFERROR(__xludf.DUMMYFUNCTION("""COMPUTED_VALUE"""),"ANTIQUE SILVER TEA GLASS ETCHED")</f>
        <v>ANTIQUE SILVER TEA GLASS ETCHED</v>
      </c>
      <c r="F861" s="1">
        <f ca="1">IFERROR(__xludf.DUMMYFUNCTION("""COMPUTED_VALUE"""),72)</f>
        <v>72</v>
      </c>
      <c r="G861" s="1">
        <f ca="1">IFERROR(__xludf.DUMMYFUNCTION("""COMPUTED_VALUE"""),1.06)</f>
        <v>1.06</v>
      </c>
      <c r="J861" s="1" t="str">
        <f ca="1">IFERROR(__xludf.DUMMYFUNCTION("""COMPUTED_VALUE"""),"SET/6 SILVER REINDEER T-LIGHTS")</f>
        <v>SET/6 SILVER REINDEER T-LIGHTS</v>
      </c>
      <c r="K861" s="1">
        <f ca="1">IFERROR(__xludf.DUMMYFUNCTION("""COMPUTED_VALUE"""),1)</f>
        <v>1</v>
      </c>
      <c r="L861" s="1">
        <f ca="1">IFERROR(__xludf.DUMMYFUNCTION("""COMPUTED_VALUE"""),1.95)</f>
        <v>1.95</v>
      </c>
      <c r="T861" s="1">
        <f ca="1">IFERROR(__xludf.DUMMYFUNCTION("""COMPUTED_VALUE"""),489536)</f>
        <v>489536</v>
      </c>
      <c r="U861" s="1">
        <f ca="1">IFERROR(__xludf.DUMMYFUNCTION("""COMPUTED_VALUE"""),1.95)</f>
        <v>1.95</v>
      </c>
    </row>
    <row r="862" spans="1:21" ht="12.75" x14ac:dyDescent="0.2">
      <c r="A862" s="3">
        <f ca="1">IFERROR(__xludf.DUMMYFUNCTION("""COMPUTED_VALUE"""),40148.5090277777)</f>
        <v>40148.509027777698</v>
      </c>
      <c r="B862" s="1">
        <f ca="1">IFERROR(__xludf.DUMMYFUNCTION("""COMPUTED_VALUE"""),2.25)</f>
        <v>2.25</v>
      </c>
      <c r="E862" s="1" t="str">
        <f ca="1">IFERROR(__xludf.DUMMYFUNCTION("""COMPUTED_VALUE"""),"ASSORTED COLOUR BIRD ORNAMENT")</f>
        <v>ASSORTED COLOUR BIRD ORNAMENT</v>
      </c>
      <c r="F862" s="1">
        <f ca="1">IFERROR(__xludf.DUMMYFUNCTION("""COMPUTED_VALUE"""),64)</f>
        <v>64</v>
      </c>
      <c r="G862" s="1">
        <f ca="1">IFERROR(__xludf.DUMMYFUNCTION("""COMPUTED_VALUE"""),1.69)</f>
        <v>1.69</v>
      </c>
      <c r="J862" s="1" t="str">
        <f ca="1">IFERROR(__xludf.DUMMYFUNCTION("""COMPUTED_VALUE"""),"LOLITA  DESIGN  COTTON TOTE BAG")</f>
        <v>LOLITA  DESIGN  COTTON TOTE BAG</v>
      </c>
      <c r="K862" s="1">
        <f ca="1">IFERROR(__xludf.DUMMYFUNCTION("""COMPUTED_VALUE"""),1)</f>
        <v>1</v>
      </c>
      <c r="L862" s="1">
        <f ca="1">IFERROR(__xludf.DUMMYFUNCTION("""COMPUTED_VALUE"""),2.25)</f>
        <v>2.25</v>
      </c>
      <c r="T862" s="1">
        <f ca="1">IFERROR(__xludf.DUMMYFUNCTION("""COMPUTED_VALUE"""),489536)</f>
        <v>489536</v>
      </c>
      <c r="U862" s="1">
        <f ca="1">IFERROR(__xludf.DUMMYFUNCTION("""COMPUTED_VALUE"""),2.25)</f>
        <v>2.25</v>
      </c>
    </row>
    <row r="863" spans="1:21" ht="12.75" x14ac:dyDescent="0.2">
      <c r="A863" s="3">
        <f ca="1">IFERROR(__xludf.DUMMYFUNCTION("""COMPUTED_VALUE"""),40148.5090277777)</f>
        <v>40148.509027777698</v>
      </c>
      <c r="B863" s="1">
        <f ca="1">IFERROR(__xludf.DUMMYFUNCTION("""COMPUTED_VALUE"""),2.25)</f>
        <v>2.25</v>
      </c>
      <c r="E863" s="1" t="str">
        <f ca="1">IFERROR(__xludf.DUMMYFUNCTION("""COMPUTED_VALUE"""),"CHRISTMAS TOILET ROLL")</f>
        <v>CHRISTMAS TOILET ROLL</v>
      </c>
      <c r="F863" s="1">
        <f ca="1">IFERROR(__xludf.DUMMYFUNCTION("""COMPUTED_VALUE"""),6)</f>
        <v>6</v>
      </c>
      <c r="G863" s="1">
        <f ca="1">IFERROR(__xludf.DUMMYFUNCTION("""COMPUTED_VALUE"""),1.25)</f>
        <v>1.25</v>
      </c>
      <c r="J863" s="1" t="str">
        <f ca="1">IFERROR(__xludf.DUMMYFUNCTION("""COMPUTED_VALUE"""),"LOLITA  DESIGN  COTTON TOTE BAG")</f>
        <v>LOLITA  DESIGN  COTTON TOTE BAG</v>
      </c>
      <c r="K863" s="1">
        <f ca="1">IFERROR(__xludf.DUMMYFUNCTION("""COMPUTED_VALUE"""),1)</f>
        <v>1</v>
      </c>
      <c r="L863" s="1">
        <f ca="1">IFERROR(__xludf.DUMMYFUNCTION("""COMPUTED_VALUE"""),2.25)</f>
        <v>2.25</v>
      </c>
      <c r="T863" s="1">
        <f ca="1">IFERROR(__xludf.DUMMYFUNCTION("""COMPUTED_VALUE"""),489536)</f>
        <v>489536</v>
      </c>
      <c r="U863" s="1">
        <f ca="1">IFERROR(__xludf.DUMMYFUNCTION("""COMPUTED_VALUE"""),2.25)</f>
        <v>2.25</v>
      </c>
    </row>
    <row r="864" spans="1:21" ht="12.75" x14ac:dyDescent="0.2">
      <c r="A864" s="3">
        <f ca="1">IFERROR(__xludf.DUMMYFUNCTION("""COMPUTED_VALUE"""),40148.5090277777)</f>
        <v>40148.509027777698</v>
      </c>
      <c r="B864" s="1">
        <f ca="1">IFERROR(__xludf.DUMMYFUNCTION("""COMPUTED_VALUE"""),0.95)</f>
        <v>0.95</v>
      </c>
      <c r="E864" s="1" t="str">
        <f ca="1">IFERROR(__xludf.DUMMYFUNCTION("""COMPUTED_VALUE"""),"SCOTTIE DOG HOT WATER BOTTLE")</f>
        <v>SCOTTIE DOG HOT WATER BOTTLE</v>
      </c>
      <c r="F864" s="1">
        <f ca="1">IFERROR(__xludf.DUMMYFUNCTION("""COMPUTED_VALUE"""),2)</f>
        <v>2</v>
      </c>
      <c r="G864" s="1">
        <f ca="1">IFERROR(__xludf.DUMMYFUNCTION("""COMPUTED_VALUE"""),4.95)</f>
        <v>4.95</v>
      </c>
      <c r="J864" s="1" t="str">
        <f ca="1">IFERROR(__xludf.DUMMYFUNCTION("""COMPUTED_VALUE"""),"REX CASH+CARRY JUMBO SHOPPER")</f>
        <v>REX CASH+CARRY JUMBO SHOPPER</v>
      </c>
      <c r="K864" s="1">
        <f ca="1">IFERROR(__xludf.DUMMYFUNCTION("""COMPUTED_VALUE"""),1)</f>
        <v>1</v>
      </c>
      <c r="L864" s="1">
        <f ca="1">IFERROR(__xludf.DUMMYFUNCTION("""COMPUTED_VALUE"""),0.95)</f>
        <v>0.95</v>
      </c>
      <c r="T864" s="1">
        <f ca="1">IFERROR(__xludf.DUMMYFUNCTION("""COMPUTED_VALUE"""),489536)</f>
        <v>489536</v>
      </c>
      <c r="U864" s="1">
        <f ca="1">IFERROR(__xludf.DUMMYFUNCTION("""COMPUTED_VALUE"""),0.95)</f>
        <v>0.95</v>
      </c>
    </row>
    <row r="865" spans="1:21" ht="12.75" x14ac:dyDescent="0.2">
      <c r="A865" s="3">
        <f ca="1">IFERROR(__xludf.DUMMYFUNCTION("""COMPUTED_VALUE"""),40148.5090277777)</f>
        <v>40148.509027777698</v>
      </c>
      <c r="B865" s="1">
        <f ca="1">IFERROR(__xludf.DUMMYFUNCTION("""COMPUTED_VALUE"""),1.25)</f>
        <v>1.25</v>
      </c>
      <c r="E865" s="1" t="str">
        <f ca="1">IFERROR(__xludf.DUMMYFUNCTION("""COMPUTED_VALUE"""),"HOT WATER BOTTLE TEA AND SYMPATHY")</f>
        <v>HOT WATER BOTTLE TEA AND SYMPATHY</v>
      </c>
      <c r="F865" s="1">
        <f ca="1">IFERROR(__xludf.DUMMYFUNCTION("""COMPUTED_VALUE"""),1)</f>
        <v>1</v>
      </c>
      <c r="G865" s="1">
        <f ca="1">IFERROR(__xludf.DUMMYFUNCTION("""COMPUTED_VALUE"""),3.95)</f>
        <v>3.95</v>
      </c>
      <c r="J865" s="1" t="str">
        <f ca="1">IFERROR(__xludf.DUMMYFUNCTION("""COMPUTED_VALUE"""),"VINTAGE BILLBOARD DRINK ME MUG")</f>
        <v>VINTAGE BILLBOARD DRINK ME MUG</v>
      </c>
      <c r="K865" s="1">
        <f ca="1">IFERROR(__xludf.DUMMYFUNCTION("""COMPUTED_VALUE"""),1)</f>
        <v>1</v>
      </c>
      <c r="L865" s="1">
        <f ca="1">IFERROR(__xludf.DUMMYFUNCTION("""COMPUTED_VALUE"""),1.25)</f>
        <v>1.25</v>
      </c>
      <c r="T865" s="1">
        <f ca="1">IFERROR(__xludf.DUMMYFUNCTION("""COMPUTED_VALUE"""),489536)</f>
        <v>489536</v>
      </c>
      <c r="U865" s="1">
        <f ca="1">IFERROR(__xludf.DUMMYFUNCTION("""COMPUTED_VALUE"""),1.25)</f>
        <v>1.25</v>
      </c>
    </row>
    <row r="866" spans="1:21" ht="12.75" x14ac:dyDescent="0.2">
      <c r="A866" s="3">
        <f ca="1">IFERROR(__xludf.DUMMYFUNCTION("""COMPUTED_VALUE"""),40148.5090277777)</f>
        <v>40148.509027777698</v>
      </c>
      <c r="B866" s="1">
        <f ca="1">IFERROR(__xludf.DUMMYFUNCTION("""COMPUTED_VALUE"""),1.25)</f>
        <v>1.25</v>
      </c>
      <c r="E866" s="1" t="str">
        <f ca="1">IFERROR(__xludf.DUMMYFUNCTION("""COMPUTED_VALUE"""),"DOG BOWL , CHASING BALL DESIGN")</f>
        <v>DOG BOWL , CHASING BALL DESIGN</v>
      </c>
      <c r="F866" s="1">
        <f ca="1">IFERROR(__xludf.DUMMYFUNCTION("""COMPUTED_VALUE"""),1)</f>
        <v>1</v>
      </c>
      <c r="G866" s="1">
        <f ca="1">IFERROR(__xludf.DUMMYFUNCTION("""COMPUTED_VALUE"""),3.75)</f>
        <v>3.75</v>
      </c>
      <c r="J866" s="1" t="str">
        <f ca="1">IFERROR(__xludf.DUMMYFUNCTION("""COMPUTED_VALUE"""),"VINTAGE BILLBOARD LOVE/HATE MUG")</f>
        <v>VINTAGE BILLBOARD LOVE/HATE MUG</v>
      </c>
      <c r="K866" s="1">
        <f ca="1">IFERROR(__xludf.DUMMYFUNCTION("""COMPUTED_VALUE"""),1)</f>
        <v>1</v>
      </c>
      <c r="L866" s="1">
        <f ca="1">IFERROR(__xludf.DUMMYFUNCTION("""COMPUTED_VALUE"""),1.25)</f>
        <v>1.25</v>
      </c>
      <c r="T866" s="1">
        <f ca="1">IFERROR(__xludf.DUMMYFUNCTION("""COMPUTED_VALUE"""),489536)</f>
        <v>489536</v>
      </c>
      <c r="U866" s="1">
        <f ca="1">IFERROR(__xludf.DUMMYFUNCTION("""COMPUTED_VALUE"""),1.25)</f>
        <v>1.25</v>
      </c>
    </row>
    <row r="867" spans="1:21" ht="12.75" x14ac:dyDescent="0.2">
      <c r="A867" s="3">
        <f ca="1">IFERROR(__xludf.DUMMYFUNCTION("""COMPUTED_VALUE"""),40148.5090277777)</f>
        <v>40148.509027777698</v>
      </c>
      <c r="B867" s="1">
        <f ca="1">IFERROR(__xludf.DUMMYFUNCTION("""COMPUTED_VALUE"""),3.75)</f>
        <v>3.75</v>
      </c>
      <c r="E867" s="1" t="str">
        <f ca="1">IFERROR(__xludf.DUMMYFUNCTION("""COMPUTED_VALUE"""),"S/6 WOODEN SKITTLES IN COTTON BAG")</f>
        <v>S/6 WOODEN SKITTLES IN COTTON BAG</v>
      </c>
      <c r="F867" s="1">
        <f ca="1">IFERROR(__xludf.DUMMYFUNCTION("""COMPUTED_VALUE"""),1)</f>
        <v>1</v>
      </c>
      <c r="G867" s="1">
        <f ca="1">IFERROR(__xludf.DUMMYFUNCTION("""COMPUTED_VALUE"""),2.95)</f>
        <v>2.95</v>
      </c>
      <c r="J867" s="1" t="str">
        <f ca="1">IFERROR(__xludf.DUMMYFUNCTION("""COMPUTED_VALUE"""),"PIZZA PLATE IN BOX")</f>
        <v>PIZZA PLATE IN BOX</v>
      </c>
      <c r="K867" s="1">
        <f ca="1">IFERROR(__xludf.DUMMYFUNCTION("""COMPUTED_VALUE"""),1)</f>
        <v>1</v>
      </c>
      <c r="L867" s="1">
        <f ca="1">IFERROR(__xludf.DUMMYFUNCTION("""COMPUTED_VALUE"""),3.75)</f>
        <v>3.75</v>
      </c>
      <c r="T867" s="1">
        <f ca="1">IFERROR(__xludf.DUMMYFUNCTION("""COMPUTED_VALUE"""),489536)</f>
        <v>489536</v>
      </c>
      <c r="U867" s="1">
        <f ca="1">IFERROR(__xludf.DUMMYFUNCTION("""COMPUTED_VALUE"""),3.75)</f>
        <v>3.75</v>
      </c>
    </row>
    <row r="868" spans="1:21" ht="12.75" x14ac:dyDescent="0.2">
      <c r="A868" s="3">
        <f ca="1">IFERROR(__xludf.DUMMYFUNCTION("""COMPUTED_VALUE"""),40148.5090277777)</f>
        <v>40148.509027777698</v>
      </c>
      <c r="B868" s="1">
        <f ca="1">IFERROR(__xludf.DUMMYFUNCTION("""COMPUTED_VALUE"""),3.95)</f>
        <v>3.95</v>
      </c>
      <c r="E868" s="1" t="str">
        <f ca="1">IFERROR(__xludf.DUMMYFUNCTION("""COMPUTED_VALUE"""),"TRADITIONAL WOODEN SKIPPING ROPE")</f>
        <v>TRADITIONAL WOODEN SKIPPING ROPE</v>
      </c>
      <c r="F868" s="1">
        <f ca="1">IFERROR(__xludf.DUMMYFUNCTION("""COMPUTED_VALUE"""),1)</f>
        <v>1</v>
      </c>
      <c r="G868" s="1">
        <f ca="1">IFERROR(__xludf.DUMMYFUNCTION("""COMPUTED_VALUE"""),1.25)</f>
        <v>1.25</v>
      </c>
      <c r="J868" s="1" t="str">
        <f ca="1">IFERROR(__xludf.DUMMYFUNCTION("""COMPUTED_VALUE"""),"CREAM HEART CARD HOLDER")</f>
        <v>CREAM HEART CARD HOLDER</v>
      </c>
      <c r="K868" s="1">
        <f ca="1">IFERROR(__xludf.DUMMYFUNCTION("""COMPUTED_VALUE"""),1)</f>
        <v>1</v>
      </c>
      <c r="L868" s="1">
        <f ca="1">IFERROR(__xludf.DUMMYFUNCTION("""COMPUTED_VALUE"""),3.95)</f>
        <v>3.95</v>
      </c>
      <c r="T868" s="1">
        <f ca="1">IFERROR(__xludf.DUMMYFUNCTION("""COMPUTED_VALUE"""),489536)</f>
        <v>489536</v>
      </c>
      <c r="U868" s="1">
        <f ca="1">IFERROR(__xludf.DUMMYFUNCTION("""COMPUTED_VALUE"""),3.95)</f>
        <v>3.95</v>
      </c>
    </row>
    <row r="869" spans="1:21" ht="12.75" x14ac:dyDescent="0.2">
      <c r="A869" s="3">
        <f ca="1">IFERROR(__xludf.DUMMYFUNCTION("""COMPUTED_VALUE"""),40148.5090277777)</f>
        <v>40148.509027777698</v>
      </c>
      <c r="B869" s="1">
        <f ca="1">IFERROR(__xludf.DUMMYFUNCTION("""COMPUTED_VALUE"""),0.42)</f>
        <v>0.42</v>
      </c>
      <c r="E869" s="1" t="str">
        <f ca="1">IFERROR(__xludf.DUMMYFUNCTION("""COMPUTED_VALUE"""),"PINK BERTIE GLASS BEAD BAG CHARM")</f>
        <v>PINK BERTIE GLASS BEAD BAG CHARM</v>
      </c>
      <c r="F869" s="1">
        <f ca="1">IFERROR(__xludf.DUMMYFUNCTION("""COMPUTED_VALUE"""),12)</f>
        <v>12</v>
      </c>
      <c r="G869" s="1">
        <f ca="1">IFERROR(__xludf.DUMMYFUNCTION("""COMPUTED_VALUE"""),2.1)</f>
        <v>2.1</v>
      </c>
      <c r="J869" s="1" t="str">
        <f ca="1">IFERROR(__xludf.DUMMYFUNCTION("""COMPUTED_VALUE"""),"RAIN HAT WITH RED SPOTS")</f>
        <v>RAIN HAT WITH RED SPOTS</v>
      </c>
      <c r="K869" s="1">
        <f ca="1">IFERROR(__xludf.DUMMYFUNCTION("""COMPUTED_VALUE"""),1)</f>
        <v>1</v>
      </c>
      <c r="L869" s="1">
        <f ca="1">IFERROR(__xludf.DUMMYFUNCTION("""COMPUTED_VALUE"""),0.42)</f>
        <v>0.42</v>
      </c>
      <c r="T869" s="1">
        <f ca="1">IFERROR(__xludf.DUMMYFUNCTION("""COMPUTED_VALUE"""),489536)</f>
        <v>489536</v>
      </c>
      <c r="U869" s="1">
        <f ca="1">IFERROR(__xludf.DUMMYFUNCTION("""COMPUTED_VALUE"""),0.42)</f>
        <v>0.42</v>
      </c>
    </row>
    <row r="870" spans="1:21" ht="12.75" x14ac:dyDescent="0.2">
      <c r="A870" s="3">
        <f ca="1">IFERROR(__xludf.DUMMYFUNCTION("""COMPUTED_VALUE"""),40148.5090277777)</f>
        <v>40148.509027777698</v>
      </c>
      <c r="B870" s="1">
        <f ca="1">IFERROR(__xludf.DUMMYFUNCTION("""COMPUTED_VALUE"""),6.75)</f>
        <v>6.75</v>
      </c>
      <c r="E870" s="1" t="str">
        <f ca="1">IFERROR(__xludf.DUMMYFUNCTION("""COMPUTED_VALUE"""),"PINK JUMPER LARRY THE LAMB")</f>
        <v>PINK JUMPER LARRY THE LAMB</v>
      </c>
      <c r="F870" s="1">
        <f ca="1">IFERROR(__xludf.DUMMYFUNCTION("""COMPUTED_VALUE"""),3)</f>
        <v>3</v>
      </c>
      <c r="G870" s="1">
        <f ca="1">IFERROR(__xludf.DUMMYFUNCTION("""COMPUTED_VALUE"""),2.1)</f>
        <v>2.1</v>
      </c>
      <c r="J870" s="1" t="str">
        <f ca="1">IFERROR(__xludf.DUMMYFUNCTION("""COMPUTED_VALUE"""),"DOOR MAT SWEET HOME")</f>
        <v>DOOR MAT SWEET HOME</v>
      </c>
      <c r="K870" s="1">
        <f ca="1">IFERROR(__xludf.DUMMYFUNCTION("""COMPUTED_VALUE"""),1)</f>
        <v>1</v>
      </c>
      <c r="L870" s="1">
        <f ca="1">IFERROR(__xludf.DUMMYFUNCTION("""COMPUTED_VALUE"""),6.75)</f>
        <v>6.75</v>
      </c>
      <c r="T870" s="1">
        <f ca="1">IFERROR(__xludf.DUMMYFUNCTION("""COMPUTED_VALUE"""),489536)</f>
        <v>489536</v>
      </c>
      <c r="U870" s="1">
        <f ca="1">IFERROR(__xludf.DUMMYFUNCTION("""COMPUTED_VALUE"""),6.75)</f>
        <v>6.75</v>
      </c>
    </row>
    <row r="871" spans="1:21" ht="12.75" x14ac:dyDescent="0.2">
      <c r="A871" s="3">
        <f ca="1">IFERROR(__xludf.DUMMYFUNCTION("""COMPUTED_VALUE"""),40148.5097222222)</f>
        <v>40148.509722222203</v>
      </c>
      <c r="B871" s="1">
        <f ca="1">IFERROR(__xludf.DUMMYFUNCTION("""COMPUTED_VALUE"""),0.42)</f>
        <v>0.42</v>
      </c>
      <c r="E871" s="1" t="str">
        <f ca="1">IFERROR(__xludf.DUMMYFUNCTION("""COMPUTED_VALUE"""),"SET/12 FUNKY FELT FLOWER PEG IN BAG")</f>
        <v>SET/12 FUNKY FELT FLOWER PEG IN BAG</v>
      </c>
      <c r="F871" s="1">
        <f ca="1">IFERROR(__xludf.DUMMYFUNCTION("""COMPUTED_VALUE"""),1)</f>
        <v>1</v>
      </c>
      <c r="G871" s="1">
        <f ca="1">IFERROR(__xludf.DUMMYFUNCTION("""COMPUTED_VALUE"""),2.1)</f>
        <v>2.1</v>
      </c>
      <c r="J871" s="1" t="str">
        <f ca="1">IFERROR(__xludf.DUMMYFUNCTION("""COMPUTED_VALUE"""),"FROSTED BOX 9 WHITE T-LIGHT CANDLES")</f>
        <v>FROSTED BOX 9 WHITE T-LIGHT CANDLES</v>
      </c>
      <c r="K871" s="1">
        <f ca="1">IFERROR(__xludf.DUMMYFUNCTION("""COMPUTED_VALUE"""),24)</f>
        <v>24</v>
      </c>
      <c r="L871" s="1">
        <f ca="1">IFERROR(__xludf.DUMMYFUNCTION("""COMPUTED_VALUE"""),0.42)</f>
        <v>0.42</v>
      </c>
      <c r="T871" s="1">
        <f ca="1">IFERROR(__xludf.DUMMYFUNCTION("""COMPUTED_VALUE"""),489537)</f>
        <v>489537</v>
      </c>
      <c r="U871" s="1">
        <f ca="1">IFERROR(__xludf.DUMMYFUNCTION("""COMPUTED_VALUE"""),10.08)</f>
        <v>10.08</v>
      </c>
    </row>
    <row r="872" spans="1:21" ht="12.75" x14ac:dyDescent="0.2">
      <c r="A872" s="3">
        <f ca="1">IFERROR(__xludf.DUMMYFUNCTION("""COMPUTED_VALUE"""),40148.5097222222)</f>
        <v>40148.509722222203</v>
      </c>
      <c r="B872" s="1">
        <f ca="1">IFERROR(__xludf.DUMMYFUNCTION("""COMPUTED_VALUE"""),1.25)</f>
        <v>1.25</v>
      </c>
      <c r="E872" s="1" t="str">
        <f ca="1">IFERROR(__xludf.DUMMYFUNCTION("""COMPUTED_VALUE"""),"ELEPHANT TOY WITH BLUE T-SHIRT")</f>
        <v>ELEPHANT TOY WITH BLUE T-SHIRT</v>
      </c>
      <c r="F872" s="1">
        <f ca="1">IFERROR(__xludf.DUMMYFUNCTION("""COMPUTED_VALUE"""),1)</f>
        <v>1</v>
      </c>
      <c r="G872" s="1">
        <f ca="1">IFERROR(__xludf.DUMMYFUNCTION("""COMPUTED_VALUE"""),3.75)</f>
        <v>3.75</v>
      </c>
      <c r="J872" s="1" t="str">
        <f ca="1">IFERROR(__xludf.DUMMYFUNCTION("""COMPUTED_VALUE"""),"SWEETHEART CERAMIC TRINKET BOX")</f>
        <v>SWEETHEART CERAMIC TRINKET BOX</v>
      </c>
      <c r="K872" s="1">
        <f ca="1">IFERROR(__xludf.DUMMYFUNCTION("""COMPUTED_VALUE"""),20)</f>
        <v>20</v>
      </c>
      <c r="L872" s="1">
        <f ca="1">IFERROR(__xludf.DUMMYFUNCTION("""COMPUTED_VALUE"""),1.25)</f>
        <v>1.25</v>
      </c>
      <c r="T872" s="1">
        <f ca="1">IFERROR(__xludf.DUMMYFUNCTION("""COMPUTED_VALUE"""),489537)</f>
        <v>489537</v>
      </c>
      <c r="U872" s="1">
        <f ca="1">IFERROR(__xludf.DUMMYFUNCTION("""COMPUTED_VALUE"""),25)</f>
        <v>25</v>
      </c>
    </row>
    <row r="873" spans="1:21" ht="12.75" x14ac:dyDescent="0.2">
      <c r="A873" s="3">
        <f ca="1">IFERROR(__xludf.DUMMYFUNCTION("""COMPUTED_VALUE"""),40148.5097222222)</f>
        <v>40148.509722222203</v>
      </c>
      <c r="B873" s="1">
        <f ca="1">IFERROR(__xludf.DUMMYFUNCTION("""COMPUTED_VALUE"""),1.25)</f>
        <v>1.25</v>
      </c>
      <c r="E873" s="1" t="str">
        <f ca="1">IFERROR(__xludf.DUMMYFUNCTION("""COMPUTED_VALUE"""),"BLACK FACE LAMB WITH PANTS")</f>
        <v>BLACK FACE LAMB WITH PANTS</v>
      </c>
      <c r="F873" s="1">
        <f ca="1">IFERROR(__xludf.DUMMYFUNCTION("""COMPUTED_VALUE"""),1)</f>
        <v>1</v>
      </c>
      <c r="G873" s="1">
        <f ca="1">IFERROR(__xludf.DUMMYFUNCTION("""COMPUTED_VALUE"""),3.75)</f>
        <v>3.75</v>
      </c>
      <c r="J873" s="1" t="str">
        <f ca="1">IFERROR(__xludf.DUMMYFUNCTION("""COMPUTED_VALUE"""),"STRAWBERRY CERAMIC TRINKET BOX")</f>
        <v>STRAWBERRY CERAMIC TRINKET BOX</v>
      </c>
      <c r="K873" s="1">
        <f ca="1">IFERROR(__xludf.DUMMYFUNCTION("""COMPUTED_VALUE"""),20)</f>
        <v>20</v>
      </c>
      <c r="L873" s="1">
        <f ca="1">IFERROR(__xludf.DUMMYFUNCTION("""COMPUTED_VALUE"""),1.25)</f>
        <v>1.25</v>
      </c>
      <c r="T873" s="1">
        <f ca="1">IFERROR(__xludf.DUMMYFUNCTION("""COMPUTED_VALUE"""),489537)</f>
        <v>489537</v>
      </c>
      <c r="U873" s="1">
        <f ca="1">IFERROR(__xludf.DUMMYFUNCTION("""COMPUTED_VALUE"""),25)</f>
        <v>25</v>
      </c>
    </row>
    <row r="874" spans="1:21" ht="12.75" x14ac:dyDescent="0.2">
      <c r="A874" s="3">
        <f ca="1">IFERROR(__xludf.DUMMYFUNCTION("""COMPUTED_VALUE"""),40148.5097222222)</f>
        <v>40148.509722222203</v>
      </c>
      <c r="B874" s="1">
        <f ca="1">IFERROR(__xludf.DUMMYFUNCTION("""COMPUTED_VALUE"""),0.85)</f>
        <v>0.85</v>
      </c>
      <c r="E874" s="1" t="str">
        <f ca="1">IFERROR(__xludf.DUMMYFUNCTION("""COMPUTED_VALUE"""),"36 PENCILS TUBE RED SPOTTY")</f>
        <v>36 PENCILS TUBE RED SPOTTY</v>
      </c>
      <c r="F874" s="1">
        <f ca="1">IFERROR(__xludf.DUMMYFUNCTION("""COMPUTED_VALUE"""),16)</f>
        <v>16</v>
      </c>
      <c r="G874" s="1">
        <f ca="1">IFERROR(__xludf.DUMMYFUNCTION("""COMPUTED_VALUE"""),1.25)</f>
        <v>1.25</v>
      </c>
      <c r="J874" s="1" t="str">
        <f ca="1">IFERROR(__xludf.DUMMYFUNCTION("""COMPUTED_VALUE"""),"VINTAGE SNAP CARDS")</f>
        <v>VINTAGE SNAP CARDS</v>
      </c>
      <c r="K874" s="1">
        <f ca="1">IFERROR(__xludf.DUMMYFUNCTION("""COMPUTED_VALUE"""),11)</f>
        <v>11</v>
      </c>
      <c r="L874" s="1">
        <f ca="1">IFERROR(__xludf.DUMMYFUNCTION("""COMPUTED_VALUE"""),0.85)</f>
        <v>0.85</v>
      </c>
      <c r="T874" s="1">
        <f ca="1">IFERROR(__xludf.DUMMYFUNCTION("""COMPUTED_VALUE"""),489537)</f>
        <v>489537</v>
      </c>
      <c r="U874" s="1">
        <f ca="1">IFERROR(__xludf.DUMMYFUNCTION("""COMPUTED_VALUE"""),9.35)</f>
        <v>9.35</v>
      </c>
    </row>
    <row r="875" spans="1:21" ht="12.75" x14ac:dyDescent="0.2">
      <c r="A875" s="3">
        <f ca="1">IFERROR(__xludf.DUMMYFUNCTION("""COMPUTED_VALUE"""),40148.5097222222)</f>
        <v>40148.509722222203</v>
      </c>
      <c r="B875" s="1">
        <f ca="1">IFERROR(__xludf.DUMMYFUNCTION("""COMPUTED_VALUE"""),2.95)</f>
        <v>2.95</v>
      </c>
      <c r="E875" s="1" t="str">
        <f ca="1">IFERROR(__xludf.DUMMYFUNCTION("""COMPUTED_VALUE"""),"36 PENCILS TUBE SKULLS")</f>
        <v>36 PENCILS TUBE SKULLS</v>
      </c>
      <c r="F875" s="1">
        <f ca="1">IFERROR(__xludf.DUMMYFUNCTION("""COMPUTED_VALUE"""),16)</f>
        <v>16</v>
      </c>
      <c r="G875" s="1">
        <f ca="1">IFERROR(__xludf.DUMMYFUNCTION("""COMPUTED_VALUE"""),1.25)</f>
        <v>1.25</v>
      </c>
      <c r="J875" s="1" t="str">
        <f ca="1">IFERROR(__xludf.DUMMYFUNCTION("""COMPUTED_VALUE"""),"RED HANGING HEART T-LIGHT HOLDER")</f>
        <v>RED HANGING HEART T-LIGHT HOLDER</v>
      </c>
      <c r="K875" s="1">
        <f ca="1">IFERROR(__xludf.DUMMYFUNCTION("""COMPUTED_VALUE"""),10)</f>
        <v>10</v>
      </c>
      <c r="L875" s="1">
        <f ca="1">IFERROR(__xludf.DUMMYFUNCTION("""COMPUTED_VALUE"""),2.95)</f>
        <v>2.95</v>
      </c>
      <c r="T875" s="1">
        <f ca="1">IFERROR(__xludf.DUMMYFUNCTION("""COMPUTED_VALUE"""),489537)</f>
        <v>489537</v>
      </c>
      <c r="U875" s="1">
        <f ca="1">IFERROR(__xludf.DUMMYFUNCTION("""COMPUTED_VALUE"""),29.5)</f>
        <v>29.5</v>
      </c>
    </row>
    <row r="876" spans="1:21" ht="12.75" x14ac:dyDescent="0.2">
      <c r="A876" s="3">
        <f ca="1">IFERROR(__xludf.DUMMYFUNCTION("""COMPUTED_VALUE"""),40148.5097222222)</f>
        <v>40148.509722222203</v>
      </c>
      <c r="B876" s="1">
        <f ca="1">IFERROR(__xludf.DUMMYFUNCTION("""COMPUTED_VALUE"""),2.55)</f>
        <v>2.5499999999999998</v>
      </c>
      <c r="E876" s="1" t="str">
        <f ca="1">IFERROR(__xludf.DUMMYFUNCTION("""COMPUTED_VALUE"""),"GREY HEART HOT WATER BOTTLE")</f>
        <v>GREY HEART HOT WATER BOTTLE</v>
      </c>
      <c r="F876" s="1">
        <f ca="1">IFERROR(__xludf.DUMMYFUNCTION("""COMPUTED_VALUE"""),8)</f>
        <v>8</v>
      </c>
      <c r="G876" s="1">
        <f ca="1">IFERROR(__xludf.DUMMYFUNCTION("""COMPUTED_VALUE"""),3.45)</f>
        <v>3.45</v>
      </c>
      <c r="J876" s="1" t="str">
        <f ca="1">IFERROR(__xludf.DUMMYFUNCTION("""COMPUTED_VALUE"""),"GLITTER BUTTERFLY CLIPS")</f>
        <v>GLITTER BUTTERFLY CLIPS</v>
      </c>
      <c r="K876" s="1">
        <f ca="1">IFERROR(__xludf.DUMMYFUNCTION("""COMPUTED_VALUE"""),6)</f>
        <v>6</v>
      </c>
      <c r="L876" s="1">
        <f ca="1">IFERROR(__xludf.DUMMYFUNCTION("""COMPUTED_VALUE"""),2.55)</f>
        <v>2.5499999999999998</v>
      </c>
      <c r="T876" s="1">
        <f ca="1">IFERROR(__xludf.DUMMYFUNCTION("""COMPUTED_VALUE"""),489537)</f>
        <v>489537</v>
      </c>
      <c r="U876" s="1">
        <f ca="1">IFERROR(__xludf.DUMMYFUNCTION("""COMPUTED_VALUE"""),15.2999999999999)</f>
        <v>15.299999999999899</v>
      </c>
    </row>
    <row r="877" spans="1:21" ht="12.75" x14ac:dyDescent="0.2">
      <c r="A877" s="3">
        <f ca="1">IFERROR(__xludf.DUMMYFUNCTION("""COMPUTED_VALUE"""),40148.5097222222)</f>
        <v>40148.509722222203</v>
      </c>
      <c r="B877" s="1">
        <f ca="1">IFERROR(__xludf.DUMMYFUNCTION("""COMPUTED_VALUE"""),2.1)</f>
        <v>2.1</v>
      </c>
      <c r="E877" s="1" t="str">
        <f ca="1">IFERROR(__xludf.DUMMYFUNCTION("""COMPUTED_VALUE"""),"BROWN FURRY HOT WATER BOTTLE")</f>
        <v>BROWN FURRY HOT WATER BOTTLE</v>
      </c>
      <c r="F877" s="1">
        <f ca="1">IFERROR(__xludf.DUMMYFUNCTION("""COMPUTED_VALUE"""),7)</f>
        <v>7</v>
      </c>
      <c r="G877" s="1">
        <f ca="1">IFERROR(__xludf.DUMMYFUNCTION("""COMPUTED_VALUE"""),3.75)</f>
        <v>3.75</v>
      </c>
      <c r="J877" s="1" t="str">
        <f ca="1">IFERROR(__xludf.DUMMYFUNCTION("""COMPUTED_VALUE"""),"GLITTER HANGING BUTTERFLY STRING")</f>
        <v>GLITTER HANGING BUTTERFLY STRING</v>
      </c>
      <c r="K877" s="1">
        <f ca="1">IFERROR(__xludf.DUMMYFUNCTION("""COMPUTED_VALUE"""),6)</f>
        <v>6</v>
      </c>
      <c r="L877" s="1">
        <f ca="1">IFERROR(__xludf.DUMMYFUNCTION("""COMPUTED_VALUE"""),2.1)</f>
        <v>2.1</v>
      </c>
      <c r="T877" s="1">
        <f ca="1">IFERROR(__xludf.DUMMYFUNCTION("""COMPUTED_VALUE"""),489537)</f>
        <v>489537</v>
      </c>
      <c r="U877" s="1">
        <f ca="1">IFERROR(__xludf.DUMMYFUNCTION("""COMPUTED_VALUE"""),12.6)</f>
        <v>12.6</v>
      </c>
    </row>
    <row r="878" spans="1:21" ht="12.75" x14ac:dyDescent="0.2">
      <c r="A878" s="3">
        <f ca="1">IFERROR(__xludf.DUMMYFUNCTION("""COMPUTED_VALUE"""),40148.5097222222)</f>
        <v>40148.509722222203</v>
      </c>
      <c r="B878" s="1">
        <f ca="1">IFERROR(__xludf.DUMMYFUNCTION("""COMPUTED_VALUE"""),1.25)</f>
        <v>1.25</v>
      </c>
      <c r="E878" s="1" t="str">
        <f ca="1">IFERROR(__xludf.DUMMYFUNCTION("""COMPUTED_VALUE"""),"HEART FILIGREE DOVE  SMALL")</f>
        <v>HEART FILIGREE DOVE  SMALL</v>
      </c>
      <c r="F878" s="1">
        <f ca="1">IFERROR(__xludf.DUMMYFUNCTION("""COMPUTED_VALUE"""),6)</f>
        <v>6</v>
      </c>
      <c r="G878" s="1">
        <f ca="1">IFERROR(__xludf.DUMMYFUNCTION("""COMPUTED_VALUE"""),1.25)</f>
        <v>1.25</v>
      </c>
      <c r="J878" s="1" t="str">
        <f ca="1">IFERROR(__xludf.DUMMYFUNCTION("""COMPUTED_VALUE"""),"S/4 FESTIVE RED DINNER CANDLES")</f>
        <v>S/4 FESTIVE RED DINNER CANDLES</v>
      </c>
      <c r="K878" s="1">
        <f ca="1">IFERROR(__xludf.DUMMYFUNCTION("""COMPUTED_VALUE"""),6)</f>
        <v>6</v>
      </c>
      <c r="L878" s="1">
        <f ca="1">IFERROR(__xludf.DUMMYFUNCTION("""COMPUTED_VALUE"""),1.25)</f>
        <v>1.25</v>
      </c>
      <c r="T878" s="1">
        <f ca="1">IFERROR(__xludf.DUMMYFUNCTION("""COMPUTED_VALUE"""),489537)</f>
        <v>489537</v>
      </c>
      <c r="U878" s="1">
        <f ca="1">IFERROR(__xludf.DUMMYFUNCTION("""COMPUTED_VALUE"""),7.5)</f>
        <v>7.5</v>
      </c>
    </row>
    <row r="879" spans="1:21" ht="12.75" x14ac:dyDescent="0.2">
      <c r="A879" s="3">
        <f ca="1">IFERROR(__xludf.DUMMYFUNCTION("""COMPUTED_VALUE"""),40148.5097222222)</f>
        <v>40148.509722222203</v>
      </c>
      <c r="B879" s="1">
        <f ca="1">IFERROR(__xludf.DUMMYFUNCTION("""COMPUTED_VALUE"""),1.25)</f>
        <v>1.25</v>
      </c>
      <c r="E879" s="1" t="str">
        <f ca="1">IFERROR(__xludf.DUMMYFUNCTION("""COMPUTED_VALUE"""),"STAR  T-LIGHT HOLDER")</f>
        <v>STAR  T-LIGHT HOLDER</v>
      </c>
      <c r="F879" s="1">
        <f ca="1">IFERROR(__xludf.DUMMYFUNCTION("""COMPUTED_VALUE"""),6)</f>
        <v>6</v>
      </c>
      <c r="G879" s="1">
        <f ca="1">IFERROR(__xludf.DUMMYFUNCTION("""COMPUTED_VALUE"""),1.45)</f>
        <v>1.45</v>
      </c>
      <c r="J879" s="1" t="str">
        <f ca="1">IFERROR(__xludf.DUMMYFUNCTION("""COMPUTED_VALUE"""),"S/4 FESTIVE GREEN DINNER CANDLES")</f>
        <v>S/4 FESTIVE GREEN DINNER CANDLES</v>
      </c>
      <c r="K879" s="1">
        <f ca="1">IFERROR(__xludf.DUMMYFUNCTION("""COMPUTED_VALUE"""),6)</f>
        <v>6</v>
      </c>
      <c r="L879" s="1">
        <f ca="1">IFERROR(__xludf.DUMMYFUNCTION("""COMPUTED_VALUE"""),1.25)</f>
        <v>1.25</v>
      </c>
      <c r="T879" s="1">
        <f ca="1">IFERROR(__xludf.DUMMYFUNCTION("""COMPUTED_VALUE"""),489537)</f>
        <v>489537</v>
      </c>
      <c r="U879" s="1">
        <f ca="1">IFERROR(__xludf.DUMMYFUNCTION("""COMPUTED_VALUE"""),7.5)</f>
        <v>7.5</v>
      </c>
    </row>
    <row r="880" spans="1:21" ht="12.75" x14ac:dyDescent="0.2">
      <c r="A880" s="3">
        <f ca="1">IFERROR(__xludf.DUMMYFUNCTION("""COMPUTED_VALUE"""),40148.5097222222)</f>
        <v>40148.509722222203</v>
      </c>
      <c r="B880" s="1">
        <f ca="1">IFERROR(__xludf.DUMMYFUNCTION("""COMPUTED_VALUE"""),1.25)</f>
        <v>1.25</v>
      </c>
      <c r="E880" s="1" t="str">
        <f ca="1">IFERROR(__xludf.DUMMYFUNCTION("""COMPUTED_VALUE"""),"CHRISTMAS TREE T-LIGHT HOLDER")</f>
        <v>CHRISTMAS TREE T-LIGHT HOLDER</v>
      </c>
      <c r="F880" s="1">
        <f ca="1">IFERROR(__xludf.DUMMYFUNCTION("""COMPUTED_VALUE"""),6)</f>
        <v>6</v>
      </c>
      <c r="G880" s="1">
        <f ca="1">IFERROR(__xludf.DUMMYFUNCTION("""COMPUTED_VALUE"""),1.45)</f>
        <v>1.45</v>
      </c>
      <c r="J880" s="1" t="str">
        <f ca="1">IFERROR(__xludf.DUMMYFUNCTION("""COMPUTED_VALUE"""),"VINTAGE HEADS AND TAILS CARD GAME")</f>
        <v>VINTAGE HEADS AND TAILS CARD GAME</v>
      </c>
      <c r="K880" s="1">
        <f ca="1">IFERROR(__xludf.DUMMYFUNCTION("""COMPUTED_VALUE"""),6)</f>
        <v>6</v>
      </c>
      <c r="L880" s="1">
        <f ca="1">IFERROR(__xludf.DUMMYFUNCTION("""COMPUTED_VALUE"""),1.25)</f>
        <v>1.25</v>
      </c>
      <c r="T880" s="1">
        <f ca="1">IFERROR(__xludf.DUMMYFUNCTION("""COMPUTED_VALUE"""),489537)</f>
        <v>489537</v>
      </c>
      <c r="U880" s="1">
        <f ca="1">IFERROR(__xludf.DUMMYFUNCTION("""COMPUTED_VALUE"""),7.5)</f>
        <v>7.5</v>
      </c>
    </row>
    <row r="881" spans="1:21" ht="12.75" x14ac:dyDescent="0.2">
      <c r="A881" s="3">
        <f ca="1">IFERROR(__xludf.DUMMYFUNCTION("""COMPUTED_VALUE"""),40148.5097222222)</f>
        <v>40148.509722222203</v>
      </c>
      <c r="B881" s="1">
        <f ca="1">IFERROR(__xludf.DUMMYFUNCTION("""COMPUTED_VALUE"""),2.1)</f>
        <v>2.1</v>
      </c>
      <c r="E881" s="1" t="str">
        <f ca="1">IFERROR(__xludf.DUMMYFUNCTION("""COMPUTED_VALUE"""),"SET/6 GINGERBREAD STAR T-LIGHTS")</f>
        <v>SET/6 GINGERBREAD STAR T-LIGHTS</v>
      </c>
      <c r="F881" s="1">
        <f ca="1">IFERROR(__xludf.DUMMYFUNCTION("""COMPUTED_VALUE"""),6)</f>
        <v>6</v>
      </c>
      <c r="G881" s="1">
        <f ca="1">IFERROR(__xludf.DUMMYFUNCTION("""COMPUTED_VALUE"""),1.25)</f>
        <v>1.25</v>
      </c>
      <c r="J881" s="1" t="str">
        <f ca="1">IFERROR(__xludf.DUMMYFUNCTION("""COMPUTED_VALUE"""),"YELLOW FLOWERS FELT HANDBAG KIT")</f>
        <v>YELLOW FLOWERS FELT HANDBAG KIT</v>
      </c>
      <c r="K881" s="1">
        <f ca="1">IFERROR(__xludf.DUMMYFUNCTION("""COMPUTED_VALUE"""),5)</f>
        <v>5</v>
      </c>
      <c r="L881" s="1">
        <f ca="1">IFERROR(__xludf.DUMMYFUNCTION("""COMPUTED_VALUE"""),2.1)</f>
        <v>2.1</v>
      </c>
      <c r="T881" s="1">
        <f ca="1">IFERROR(__xludf.DUMMYFUNCTION("""COMPUTED_VALUE"""),489537)</f>
        <v>489537</v>
      </c>
      <c r="U881" s="1">
        <f ca="1">IFERROR(__xludf.DUMMYFUNCTION("""COMPUTED_VALUE"""),10.5)</f>
        <v>10.5</v>
      </c>
    </row>
    <row r="882" spans="1:21" ht="12.75" x14ac:dyDescent="0.2">
      <c r="A882" s="3">
        <f ca="1">IFERROR(__xludf.DUMMYFUNCTION("""COMPUTED_VALUE"""),40148.5097222222)</f>
        <v>40148.509722222203</v>
      </c>
      <c r="B882" s="1">
        <f ca="1">IFERROR(__xludf.DUMMYFUNCTION("""COMPUTED_VALUE"""),1.25)</f>
        <v>1.25</v>
      </c>
      <c r="E882" s="1" t="str">
        <f ca="1">IFERROR(__xludf.DUMMYFUNCTION("""COMPUTED_VALUE"""),"SET/3 CHRISTMAS DECOUPAGE CANDLES")</f>
        <v>SET/3 CHRISTMAS DECOUPAGE CANDLES</v>
      </c>
      <c r="F882" s="1">
        <f ca="1">IFERROR(__xludf.DUMMYFUNCTION("""COMPUTED_VALUE"""),6)</f>
        <v>6</v>
      </c>
      <c r="G882" s="1">
        <f ca="1">IFERROR(__xludf.DUMMYFUNCTION("""COMPUTED_VALUE"""),1.25)</f>
        <v>1.25</v>
      </c>
      <c r="J882" s="1" t="str">
        <f ca="1">IFERROR(__xludf.DUMMYFUNCTION("""COMPUTED_VALUE"""),"PINK BLUE FELT CRAFT TRINKET BOX")</f>
        <v>PINK BLUE FELT CRAFT TRINKET BOX</v>
      </c>
      <c r="K882" s="1">
        <f ca="1">IFERROR(__xludf.DUMMYFUNCTION("""COMPUTED_VALUE"""),5)</f>
        <v>5</v>
      </c>
      <c r="L882" s="1">
        <f ca="1">IFERROR(__xludf.DUMMYFUNCTION("""COMPUTED_VALUE"""),1.25)</f>
        <v>1.25</v>
      </c>
      <c r="T882" s="1">
        <f ca="1">IFERROR(__xludf.DUMMYFUNCTION("""COMPUTED_VALUE"""),489537)</f>
        <v>489537</v>
      </c>
      <c r="U882" s="1">
        <f ca="1">IFERROR(__xludf.DUMMYFUNCTION("""COMPUTED_VALUE"""),6.25)</f>
        <v>6.25</v>
      </c>
    </row>
    <row r="883" spans="1:21" ht="12.75" x14ac:dyDescent="0.2">
      <c r="A883" s="3">
        <f ca="1">IFERROR(__xludf.DUMMYFUNCTION("""COMPUTED_VALUE"""),40148.5097222222)</f>
        <v>40148.509722222203</v>
      </c>
      <c r="B883" s="1">
        <f ca="1">IFERROR(__xludf.DUMMYFUNCTION("""COMPUTED_VALUE"""),1.25)</f>
        <v>1.25</v>
      </c>
      <c r="E883" s="1" t="str">
        <f ca="1">IFERROR(__xludf.DUMMYFUNCTION("""COMPUTED_VALUE"""),"6 CHOCOLATE LOVE HEART T-LIGHTS")</f>
        <v>6 CHOCOLATE LOVE HEART T-LIGHTS</v>
      </c>
      <c r="F883" s="1">
        <f ca="1">IFERROR(__xludf.DUMMYFUNCTION("""COMPUTED_VALUE"""),6)</f>
        <v>6</v>
      </c>
      <c r="G883" s="1">
        <f ca="1">IFERROR(__xludf.DUMMYFUNCTION("""COMPUTED_VALUE"""),2.1)</f>
        <v>2.1</v>
      </c>
      <c r="J883" s="1" t="str">
        <f ca="1">IFERROR(__xludf.DUMMYFUNCTION("""COMPUTED_VALUE"""),"PINK CREAM FELT CRAFT TRINKET BOX")</f>
        <v>PINK CREAM FELT CRAFT TRINKET BOX</v>
      </c>
      <c r="K883" s="1">
        <f ca="1">IFERROR(__xludf.DUMMYFUNCTION("""COMPUTED_VALUE"""),5)</f>
        <v>5</v>
      </c>
      <c r="L883" s="1">
        <f ca="1">IFERROR(__xludf.DUMMYFUNCTION("""COMPUTED_VALUE"""),1.25)</f>
        <v>1.25</v>
      </c>
      <c r="T883" s="1">
        <f ca="1">IFERROR(__xludf.DUMMYFUNCTION("""COMPUTED_VALUE"""),489537)</f>
        <v>489537</v>
      </c>
      <c r="U883" s="1">
        <f ca="1">IFERROR(__xludf.DUMMYFUNCTION("""COMPUTED_VALUE"""),6.25)</f>
        <v>6.25</v>
      </c>
    </row>
    <row r="884" spans="1:21" ht="12.75" x14ac:dyDescent="0.2">
      <c r="A884" s="3">
        <f ca="1">IFERROR(__xludf.DUMMYFUNCTION("""COMPUTED_VALUE"""),40148.5097222222)</f>
        <v>40148.509722222203</v>
      </c>
      <c r="B884" s="1">
        <f ca="1">IFERROR(__xludf.DUMMYFUNCTION("""COMPUTED_VALUE"""),0.85)</f>
        <v>0.85</v>
      </c>
      <c r="E884" s="1" t="str">
        <f ca="1">IFERROR(__xludf.DUMMYFUNCTION("""COMPUTED_VALUE"""),"TOP SECRET PEN SET")</f>
        <v>TOP SECRET PEN SET</v>
      </c>
      <c r="F884" s="1">
        <f ca="1">IFERROR(__xludf.DUMMYFUNCTION("""COMPUTED_VALUE"""),6)</f>
        <v>6</v>
      </c>
      <c r="G884" s="1">
        <f ca="1">IFERROR(__xludf.DUMMYFUNCTION("""COMPUTED_VALUE"""),1.25)</f>
        <v>1.25</v>
      </c>
      <c r="J884" s="1" t="str">
        <f ca="1">IFERROR(__xludf.DUMMYFUNCTION("""COMPUTED_VALUE"""),"CINAMMON SET OF 9 T-LIGHTS")</f>
        <v>CINAMMON SET OF 9 T-LIGHTS</v>
      </c>
      <c r="K884" s="1">
        <f ca="1">IFERROR(__xludf.DUMMYFUNCTION("""COMPUTED_VALUE"""),5)</f>
        <v>5</v>
      </c>
      <c r="L884" s="1">
        <f ca="1">IFERROR(__xludf.DUMMYFUNCTION("""COMPUTED_VALUE"""),0.85)</f>
        <v>0.85</v>
      </c>
      <c r="T884" s="1">
        <f ca="1">IFERROR(__xludf.DUMMYFUNCTION("""COMPUTED_VALUE"""),489537)</f>
        <v>489537</v>
      </c>
      <c r="U884" s="1">
        <f ca="1">IFERROR(__xludf.DUMMYFUNCTION("""COMPUTED_VALUE"""),4.25)</f>
        <v>4.25</v>
      </c>
    </row>
    <row r="885" spans="1:21" ht="12.75" x14ac:dyDescent="0.2">
      <c r="A885" s="3">
        <f ca="1">IFERROR(__xludf.DUMMYFUNCTION("""COMPUTED_VALUE"""),40148.5097222222)</f>
        <v>40148.509722222203</v>
      </c>
      <c r="B885" s="1">
        <f ca="1">IFERROR(__xludf.DUMMYFUNCTION("""COMPUTED_VALUE"""),0.85)</f>
        <v>0.85</v>
      </c>
      <c r="E885" s="1" t="str">
        <f ca="1">IFERROR(__xludf.DUMMYFUNCTION("""COMPUTED_VALUE"""),"LOVE HEART POCKET WARMER")</f>
        <v>LOVE HEART POCKET WARMER</v>
      </c>
      <c r="F885" s="1">
        <f ca="1">IFERROR(__xludf.DUMMYFUNCTION("""COMPUTED_VALUE"""),6)</f>
        <v>6</v>
      </c>
      <c r="G885" s="1">
        <f ca="1">IFERROR(__xludf.DUMMYFUNCTION("""COMPUTED_VALUE"""),1.65)</f>
        <v>1.65</v>
      </c>
      <c r="J885" s="1" t="str">
        <f ca="1">IFERROR(__xludf.DUMMYFUNCTION("""COMPUTED_VALUE"""),"ORANGE SCENTED SET/9 T-LIGHTS")</f>
        <v>ORANGE SCENTED SET/9 T-LIGHTS</v>
      </c>
      <c r="K885" s="1">
        <f ca="1">IFERROR(__xludf.DUMMYFUNCTION("""COMPUTED_VALUE"""),5)</f>
        <v>5</v>
      </c>
      <c r="L885" s="1">
        <f ca="1">IFERROR(__xludf.DUMMYFUNCTION("""COMPUTED_VALUE"""),0.85)</f>
        <v>0.85</v>
      </c>
      <c r="T885" s="1">
        <f ca="1">IFERROR(__xludf.DUMMYFUNCTION("""COMPUTED_VALUE"""),489537)</f>
        <v>489537</v>
      </c>
      <c r="U885" s="1">
        <f ca="1">IFERROR(__xludf.DUMMYFUNCTION("""COMPUTED_VALUE"""),4.25)</f>
        <v>4.25</v>
      </c>
    </row>
    <row r="886" spans="1:21" ht="12.75" x14ac:dyDescent="0.2">
      <c r="A886" s="3">
        <f ca="1">IFERROR(__xludf.DUMMYFUNCTION("""COMPUTED_VALUE"""),40148.5097222222)</f>
        <v>40148.509722222203</v>
      </c>
      <c r="B886" s="1">
        <f ca="1">IFERROR(__xludf.DUMMYFUNCTION("""COMPUTED_VALUE"""),2.95)</f>
        <v>2.95</v>
      </c>
      <c r="E886" s="1" t="str">
        <f ca="1">IFERROR(__xludf.DUMMYFUNCTION("""COMPUTED_VALUE"""),"HI TEC ALPINE HAND WARMER")</f>
        <v>HI TEC ALPINE HAND WARMER</v>
      </c>
      <c r="F886" s="1">
        <f ca="1">IFERROR(__xludf.DUMMYFUNCTION("""COMPUTED_VALUE"""),6)</f>
        <v>6</v>
      </c>
      <c r="G886" s="1">
        <f ca="1">IFERROR(__xludf.DUMMYFUNCTION("""COMPUTED_VALUE"""),1.65)</f>
        <v>1.65</v>
      </c>
      <c r="J886" s="1" t="str">
        <f ca="1">IFERROR(__xludf.DUMMYFUNCTION("""COMPUTED_VALUE"""),"PINK STRIPE HOT WATER BOTTLE")</f>
        <v>PINK STRIPE HOT WATER BOTTLE</v>
      </c>
      <c r="K886" s="1">
        <f ca="1">IFERROR(__xludf.DUMMYFUNCTION("""COMPUTED_VALUE"""),5)</f>
        <v>5</v>
      </c>
      <c r="L886" s="1">
        <f ca="1">IFERROR(__xludf.DUMMYFUNCTION("""COMPUTED_VALUE"""),2.95)</f>
        <v>2.95</v>
      </c>
      <c r="T886" s="1">
        <f ca="1">IFERROR(__xludf.DUMMYFUNCTION("""COMPUTED_VALUE"""),489537)</f>
        <v>489537</v>
      </c>
      <c r="U886" s="1">
        <f ca="1">IFERROR(__xludf.DUMMYFUNCTION("""COMPUTED_VALUE"""),14.75)</f>
        <v>14.75</v>
      </c>
    </row>
    <row r="887" spans="1:21" ht="12.75" x14ac:dyDescent="0.2">
      <c r="A887" s="3">
        <f ca="1">IFERROR(__xludf.DUMMYFUNCTION("""COMPUTED_VALUE"""),40148.5097222222)</f>
        <v>40148.509722222203</v>
      </c>
      <c r="B887" s="1">
        <f ca="1">IFERROR(__xludf.DUMMYFUNCTION("""COMPUTED_VALUE"""),7.95)</f>
        <v>7.95</v>
      </c>
      <c r="E887" s="1" t="str">
        <f ca="1">IFERROR(__xludf.DUMMYFUNCTION("""COMPUTED_VALUE"""),"SET/6 GINGERBREAD TREE T-LIGHTS")</f>
        <v>SET/6 GINGERBREAD TREE T-LIGHTS</v>
      </c>
      <c r="F887" s="1">
        <f ca="1">IFERROR(__xludf.DUMMYFUNCTION("""COMPUTED_VALUE"""),1)</f>
        <v>1</v>
      </c>
      <c r="G887" s="1">
        <f ca="1">IFERROR(__xludf.DUMMYFUNCTION("""COMPUTED_VALUE"""),1.25)</f>
        <v>1.25</v>
      </c>
      <c r="J887" s="1" t="str">
        <f ca="1">IFERROR(__xludf.DUMMYFUNCTION("""COMPUTED_VALUE"""),"RECIPE BOX WITH METAL HEART")</f>
        <v>RECIPE BOX WITH METAL HEART</v>
      </c>
      <c r="K887" s="1">
        <f ca="1">IFERROR(__xludf.DUMMYFUNCTION("""COMPUTED_VALUE"""),4)</f>
        <v>4</v>
      </c>
      <c r="L887" s="1">
        <f ca="1">IFERROR(__xludf.DUMMYFUNCTION("""COMPUTED_VALUE"""),7.95)</f>
        <v>7.95</v>
      </c>
      <c r="T887" s="1">
        <f ca="1">IFERROR(__xludf.DUMMYFUNCTION("""COMPUTED_VALUE"""),489537)</f>
        <v>489537</v>
      </c>
      <c r="U887" s="1">
        <f ca="1">IFERROR(__xludf.DUMMYFUNCTION("""COMPUTED_VALUE"""),31.8)</f>
        <v>31.8</v>
      </c>
    </row>
    <row r="888" spans="1:21" ht="12.75" x14ac:dyDescent="0.2">
      <c r="A888" s="3">
        <f ca="1">IFERROR(__xludf.DUMMYFUNCTION("""COMPUTED_VALUE"""),40148.5097222222)</f>
        <v>40148.509722222203</v>
      </c>
      <c r="B888" s="1">
        <f ca="1">IFERROR(__xludf.DUMMYFUNCTION("""COMPUTED_VALUE"""),3.75)</f>
        <v>3.75</v>
      </c>
      <c r="E888" s="1" t="str">
        <f ca="1">IFERROR(__xludf.DUMMYFUNCTION("""COMPUTED_VALUE"""),"SCOTTIE DOG HOT WATER BOTTLE")</f>
        <v>SCOTTIE DOG HOT WATER BOTTLE</v>
      </c>
      <c r="F888" s="1">
        <f ca="1">IFERROR(__xludf.DUMMYFUNCTION("""COMPUTED_VALUE"""),1)</f>
        <v>1</v>
      </c>
      <c r="G888" s="1">
        <f ca="1">IFERROR(__xludf.DUMMYFUNCTION("""COMPUTED_VALUE"""),4.95)</f>
        <v>4.95</v>
      </c>
      <c r="J888" s="1" t="str">
        <f ca="1">IFERROR(__xludf.DUMMYFUNCTION("""COMPUTED_VALUE"""),"RED FLORAL FELTCRAFT SHOULDER BAG")</f>
        <v>RED FLORAL FELTCRAFT SHOULDER BAG</v>
      </c>
      <c r="K888" s="1">
        <f ca="1">IFERROR(__xludf.DUMMYFUNCTION("""COMPUTED_VALUE"""),4)</f>
        <v>4</v>
      </c>
      <c r="L888" s="1">
        <f ca="1">IFERROR(__xludf.DUMMYFUNCTION("""COMPUTED_VALUE"""),3.75)</f>
        <v>3.75</v>
      </c>
      <c r="T888" s="1">
        <f ca="1">IFERROR(__xludf.DUMMYFUNCTION("""COMPUTED_VALUE"""),489537)</f>
        <v>489537</v>
      </c>
      <c r="U888" s="1">
        <f ca="1">IFERROR(__xludf.DUMMYFUNCTION("""COMPUTED_VALUE"""),15)</f>
        <v>15</v>
      </c>
    </row>
    <row r="889" spans="1:21" ht="12.75" x14ac:dyDescent="0.2">
      <c r="A889" s="3">
        <f ca="1">IFERROR(__xludf.DUMMYFUNCTION("""COMPUTED_VALUE"""),40148.5097222222)</f>
        <v>40148.509722222203</v>
      </c>
      <c r="B889" s="1">
        <f ca="1">IFERROR(__xludf.DUMMYFUNCTION("""COMPUTED_VALUE"""),3.75)</f>
        <v>3.75</v>
      </c>
      <c r="E889" s="1" t="str">
        <f ca="1">IFERROR(__xludf.DUMMYFUNCTION("""COMPUTED_VALUE"""),"S/6 WOODEN SKITTLES IN COTTON BAG")</f>
        <v>S/6 WOODEN SKITTLES IN COTTON BAG</v>
      </c>
      <c r="F889" s="1">
        <f ca="1">IFERROR(__xludf.DUMMYFUNCTION("""COMPUTED_VALUE"""),2)</f>
        <v>2</v>
      </c>
      <c r="G889" s="1">
        <f ca="1">IFERROR(__xludf.DUMMYFUNCTION("""COMPUTED_VALUE"""),2.95)</f>
        <v>2.95</v>
      </c>
      <c r="J889" s="1" t="str">
        <f ca="1">IFERROR(__xludf.DUMMYFUNCTION("""COMPUTED_VALUE"""),"PINK FLORAL FELTCRAFT SHOULDER BAG")</f>
        <v>PINK FLORAL FELTCRAFT SHOULDER BAG</v>
      </c>
      <c r="K889" s="1">
        <f ca="1">IFERROR(__xludf.DUMMYFUNCTION("""COMPUTED_VALUE"""),4)</f>
        <v>4</v>
      </c>
      <c r="L889" s="1">
        <f ca="1">IFERROR(__xludf.DUMMYFUNCTION("""COMPUTED_VALUE"""),3.75)</f>
        <v>3.75</v>
      </c>
      <c r="T889" s="1">
        <f ca="1">IFERROR(__xludf.DUMMYFUNCTION("""COMPUTED_VALUE"""),489537)</f>
        <v>489537</v>
      </c>
      <c r="U889" s="1">
        <f ca="1">IFERROR(__xludf.DUMMYFUNCTION("""COMPUTED_VALUE"""),15)</f>
        <v>15</v>
      </c>
    </row>
    <row r="890" spans="1:21" ht="12.75" x14ac:dyDescent="0.2">
      <c r="A890" s="3">
        <f ca="1">IFERROR(__xludf.DUMMYFUNCTION("""COMPUTED_VALUE"""),40148.5097222222)</f>
        <v>40148.509722222203</v>
      </c>
      <c r="B890" s="1">
        <f ca="1">IFERROR(__xludf.DUMMYFUNCTION("""COMPUTED_VALUE"""),3.75)</f>
        <v>3.75</v>
      </c>
      <c r="E890" s="1" t="str">
        <f ca="1">IFERROR(__xludf.DUMMYFUNCTION("""COMPUTED_VALUE"""),"TRADITIONAL WOODEN SKIPPING ROPE")</f>
        <v>TRADITIONAL WOODEN SKIPPING ROPE</v>
      </c>
      <c r="F890" s="1">
        <f ca="1">IFERROR(__xludf.DUMMYFUNCTION("""COMPUTED_VALUE"""),2)</f>
        <v>2</v>
      </c>
      <c r="G890" s="1">
        <f ca="1">IFERROR(__xludf.DUMMYFUNCTION("""COMPUTED_VALUE"""),1.25)</f>
        <v>1.25</v>
      </c>
      <c r="J890" s="1" t="str">
        <f ca="1">IFERROR(__xludf.DUMMYFUNCTION("""COMPUTED_VALUE"""),"GREEN FLORAL FELTCRAFT SHOULDER BAG")</f>
        <v>GREEN FLORAL FELTCRAFT SHOULDER BAG</v>
      </c>
      <c r="K890" s="1">
        <f ca="1">IFERROR(__xludf.DUMMYFUNCTION("""COMPUTED_VALUE"""),4)</f>
        <v>4</v>
      </c>
      <c r="L890" s="1">
        <f ca="1">IFERROR(__xludf.DUMMYFUNCTION("""COMPUTED_VALUE"""),3.75)</f>
        <v>3.75</v>
      </c>
      <c r="T890" s="1">
        <f ca="1">IFERROR(__xludf.DUMMYFUNCTION("""COMPUTED_VALUE"""),489537)</f>
        <v>489537</v>
      </c>
      <c r="U890" s="1">
        <f ca="1">IFERROR(__xludf.DUMMYFUNCTION("""COMPUTED_VALUE"""),15)</f>
        <v>15</v>
      </c>
    </row>
    <row r="891" spans="1:21" ht="12.75" x14ac:dyDescent="0.2">
      <c r="A891" s="3">
        <f ca="1">IFERROR(__xludf.DUMMYFUNCTION("""COMPUTED_VALUE"""),40148.5097222222)</f>
        <v>40148.509722222203</v>
      </c>
      <c r="B891" s="1">
        <f ca="1">IFERROR(__xludf.DUMMYFUNCTION("""COMPUTED_VALUE"""),4.25)</f>
        <v>4.25</v>
      </c>
      <c r="E891" s="1" t="str">
        <f ca="1">IFERROR(__xludf.DUMMYFUNCTION("""COMPUTED_VALUE"""),"JUMBO BAG RED WHITE SPOTTY")</f>
        <v>JUMBO BAG RED WHITE SPOTTY</v>
      </c>
      <c r="F891" s="1">
        <f ca="1">IFERROR(__xludf.DUMMYFUNCTION("""COMPUTED_VALUE"""),2)</f>
        <v>2</v>
      </c>
      <c r="G891" s="1">
        <f ca="1">IFERROR(__xludf.DUMMYFUNCTION("""COMPUTED_VALUE"""),1.95)</f>
        <v>1.95</v>
      </c>
      <c r="J891" s="1" t="str">
        <f ca="1">IFERROR(__xludf.DUMMYFUNCTION("""COMPUTED_VALUE"""),"GINGHAM HEART  DOORSTOP RED")</f>
        <v>GINGHAM HEART  DOORSTOP RED</v>
      </c>
      <c r="K891" s="1">
        <f ca="1">IFERROR(__xludf.DUMMYFUNCTION("""COMPUTED_VALUE"""),4)</f>
        <v>4</v>
      </c>
      <c r="L891" s="1">
        <f ca="1">IFERROR(__xludf.DUMMYFUNCTION("""COMPUTED_VALUE"""),4.25)</f>
        <v>4.25</v>
      </c>
      <c r="T891" s="1">
        <f ca="1">IFERROR(__xludf.DUMMYFUNCTION("""COMPUTED_VALUE"""),489537)</f>
        <v>489537</v>
      </c>
      <c r="U891" s="1">
        <f ca="1">IFERROR(__xludf.DUMMYFUNCTION("""COMPUTED_VALUE"""),17)</f>
        <v>17</v>
      </c>
    </row>
    <row r="892" spans="1:21" ht="12.75" x14ac:dyDescent="0.2">
      <c r="A892" s="3">
        <f ca="1">IFERROR(__xludf.DUMMYFUNCTION("""COMPUTED_VALUE"""),40148.5097222222)</f>
        <v>40148.509722222203</v>
      </c>
      <c r="B892" s="1">
        <f ca="1">IFERROR(__xludf.DUMMYFUNCTION("""COMPUTED_VALUE"""),2.95)</f>
        <v>2.95</v>
      </c>
      <c r="E892" s="1" t="str">
        <f ca="1">IFERROR(__xludf.DUMMYFUNCTION("""COMPUTED_VALUE"""),"JUMBO BAG PINK VINTAGE PAISLEY")</f>
        <v>JUMBO BAG PINK VINTAGE PAISLEY</v>
      </c>
      <c r="F892" s="1">
        <f ca="1">IFERROR(__xludf.DUMMYFUNCTION("""COMPUTED_VALUE"""),2)</f>
        <v>2</v>
      </c>
      <c r="G892" s="1">
        <f ca="1">IFERROR(__xludf.DUMMYFUNCTION("""COMPUTED_VALUE"""),1.95)</f>
        <v>1.95</v>
      </c>
      <c r="J892" s="1" t="str">
        <f ca="1">IFERROR(__xludf.DUMMYFUNCTION("""COMPUTED_VALUE"""),"CHARLIE + LOLA RED HOT WATER BOTTLE")</f>
        <v>CHARLIE + LOLA RED HOT WATER BOTTLE</v>
      </c>
      <c r="K892" s="1">
        <f ca="1">IFERROR(__xludf.DUMMYFUNCTION("""COMPUTED_VALUE"""),4)</f>
        <v>4</v>
      </c>
      <c r="L892" s="1">
        <f ca="1">IFERROR(__xludf.DUMMYFUNCTION("""COMPUTED_VALUE"""),2.95)</f>
        <v>2.95</v>
      </c>
      <c r="T892" s="1">
        <f ca="1">IFERROR(__xludf.DUMMYFUNCTION("""COMPUTED_VALUE"""),489537)</f>
        <v>489537</v>
      </c>
      <c r="U892" s="1">
        <f ca="1">IFERROR(__xludf.DUMMYFUNCTION("""COMPUTED_VALUE"""),11.8)</f>
        <v>11.8</v>
      </c>
    </row>
    <row r="893" spans="1:21" ht="12.75" x14ac:dyDescent="0.2">
      <c r="A893" s="3">
        <f ca="1">IFERROR(__xludf.DUMMYFUNCTION("""COMPUTED_VALUE"""),40148.5097222222)</f>
        <v>40148.509722222203</v>
      </c>
      <c r="B893" s="1">
        <f ca="1">IFERROR(__xludf.DUMMYFUNCTION("""COMPUTED_VALUE"""),2.95)</f>
        <v>2.95</v>
      </c>
      <c r="E893" s="1" t="str">
        <f ca="1">IFERROR(__xludf.DUMMYFUNCTION("""COMPUTED_VALUE"""),"PAINTED METAL TREE WITH HOLLY BELLS")</f>
        <v>PAINTED METAL TREE WITH HOLLY BELLS</v>
      </c>
      <c r="F893" s="1">
        <f ca="1">IFERROR(__xludf.DUMMYFUNCTION("""COMPUTED_VALUE"""),1)</f>
        <v>1</v>
      </c>
      <c r="G893" s="1">
        <f ca="1">IFERROR(__xludf.DUMMYFUNCTION("""COMPUTED_VALUE"""),1.45)</f>
        <v>1.45</v>
      </c>
      <c r="J893" s="1" t="str">
        <f ca="1">IFERROR(__xludf.DUMMYFUNCTION("""COMPUTED_VALUE"""),"CHARLIE+LOLA PINK HOT WATER BOTTLE")</f>
        <v>CHARLIE+LOLA PINK HOT WATER BOTTLE</v>
      </c>
      <c r="K893" s="1">
        <f ca="1">IFERROR(__xludf.DUMMYFUNCTION("""COMPUTED_VALUE"""),4)</f>
        <v>4</v>
      </c>
      <c r="L893" s="1">
        <f ca="1">IFERROR(__xludf.DUMMYFUNCTION("""COMPUTED_VALUE"""),2.95)</f>
        <v>2.95</v>
      </c>
      <c r="T893" s="1">
        <f ca="1">IFERROR(__xludf.DUMMYFUNCTION("""COMPUTED_VALUE"""),489537)</f>
        <v>489537</v>
      </c>
      <c r="U893" s="1">
        <f ca="1">IFERROR(__xludf.DUMMYFUNCTION("""COMPUTED_VALUE"""),11.8)</f>
        <v>11.8</v>
      </c>
    </row>
    <row r="894" spans="1:21" ht="12.75" x14ac:dyDescent="0.2">
      <c r="A894" s="3">
        <f ca="1">IFERROR(__xludf.DUMMYFUNCTION("""COMPUTED_VALUE"""),40148.5097222222)</f>
        <v>40148.509722222203</v>
      </c>
      <c r="B894" s="1">
        <f ca="1">IFERROR(__xludf.DUMMYFUNCTION("""COMPUTED_VALUE"""),4.95)</f>
        <v>4.95</v>
      </c>
      <c r="E894" s="1" t="str">
        <f ca="1">IFERROR(__xludf.DUMMYFUNCTION("""COMPUTED_VALUE"""),"GLITTER CHRISTMAS TREE WITH BELLS")</f>
        <v>GLITTER CHRISTMAS TREE WITH BELLS</v>
      </c>
      <c r="F894" s="1">
        <f ca="1">IFERROR(__xludf.DUMMYFUNCTION("""COMPUTED_VALUE"""),1)</f>
        <v>1</v>
      </c>
      <c r="G894" s="1">
        <f ca="1">IFERROR(__xludf.DUMMYFUNCTION("""COMPUTED_VALUE"""),1.95)</f>
        <v>1.95</v>
      </c>
      <c r="J894" s="1" t="str">
        <f ca="1">IFERROR(__xludf.DUMMYFUNCTION("""COMPUTED_VALUE"""),"GARLAND WITH HEARTS AND BELLS")</f>
        <v>GARLAND WITH HEARTS AND BELLS</v>
      </c>
      <c r="K894" s="1">
        <f ca="1">IFERROR(__xludf.DUMMYFUNCTION("""COMPUTED_VALUE"""),4)</f>
        <v>4</v>
      </c>
      <c r="L894" s="1">
        <f ca="1">IFERROR(__xludf.DUMMYFUNCTION("""COMPUTED_VALUE"""),4.95)</f>
        <v>4.95</v>
      </c>
      <c r="T894" s="1">
        <f ca="1">IFERROR(__xludf.DUMMYFUNCTION("""COMPUTED_VALUE"""),489537)</f>
        <v>489537</v>
      </c>
      <c r="U894" s="1">
        <f ca="1">IFERROR(__xludf.DUMMYFUNCTION("""COMPUTED_VALUE"""),19.8)</f>
        <v>19.8</v>
      </c>
    </row>
    <row r="895" spans="1:21" ht="12.75" x14ac:dyDescent="0.2">
      <c r="A895" s="3">
        <f ca="1">IFERROR(__xludf.DUMMYFUNCTION("""COMPUTED_VALUE"""),40148.5097222222)</f>
        <v>40148.509722222203</v>
      </c>
      <c r="B895" s="1">
        <f ca="1">IFERROR(__xludf.DUMMYFUNCTION("""COMPUTED_VALUE"""),2.55)</f>
        <v>2.5499999999999998</v>
      </c>
      <c r="E895" s="1" t="str">
        <f ca="1">IFERROR(__xludf.DUMMYFUNCTION("""COMPUTED_VALUE"""),"WASH BAG VINTAGE ROSE PAISLEY")</f>
        <v>WASH BAG VINTAGE ROSE PAISLEY</v>
      </c>
      <c r="F895" s="1">
        <f ca="1">IFERROR(__xludf.DUMMYFUNCTION("""COMPUTED_VALUE"""),1)</f>
        <v>1</v>
      </c>
      <c r="G895" s="1">
        <f ca="1">IFERROR(__xludf.DUMMYFUNCTION("""COMPUTED_VALUE"""),2.55)</f>
        <v>2.5499999999999998</v>
      </c>
      <c r="J895" s="1" t="str">
        <f ca="1">IFERROR(__xludf.DUMMYFUNCTION("""COMPUTED_VALUE"""),"4 IVORY DINNER CANDLES SILVER FLOCK")</f>
        <v>4 IVORY DINNER CANDLES SILVER FLOCK</v>
      </c>
      <c r="K895" s="1">
        <f ca="1">IFERROR(__xludf.DUMMYFUNCTION("""COMPUTED_VALUE"""),4)</f>
        <v>4</v>
      </c>
      <c r="L895" s="1">
        <f ca="1">IFERROR(__xludf.DUMMYFUNCTION("""COMPUTED_VALUE"""),2.55)</f>
        <v>2.5499999999999998</v>
      </c>
      <c r="T895" s="1">
        <f ca="1">IFERROR(__xludf.DUMMYFUNCTION("""COMPUTED_VALUE"""),489537)</f>
        <v>489537</v>
      </c>
      <c r="U895" s="1">
        <f ca="1">IFERROR(__xludf.DUMMYFUNCTION("""COMPUTED_VALUE"""),10.2)</f>
        <v>10.199999999999999</v>
      </c>
    </row>
    <row r="896" spans="1:21" ht="12.75" x14ac:dyDescent="0.2">
      <c r="A896" s="3">
        <f ca="1">IFERROR(__xludf.DUMMYFUNCTION("""COMPUTED_VALUE"""),40148.5097222222)</f>
        <v>40148.509722222203</v>
      </c>
      <c r="B896" s="1">
        <f ca="1">IFERROR(__xludf.DUMMYFUNCTION("""COMPUTED_VALUE"""),1.25)</f>
        <v>1.25</v>
      </c>
      <c r="E896" s="1" t="str">
        <f ca="1">IFERROR(__xludf.DUMMYFUNCTION("""COMPUTED_VALUE"""),"COSMETIC BAG VINTAGE ROSE PAISLEY")</f>
        <v>COSMETIC BAG VINTAGE ROSE PAISLEY</v>
      </c>
      <c r="F896" s="1">
        <f ca="1">IFERROR(__xludf.DUMMYFUNCTION("""COMPUTED_VALUE"""),1)</f>
        <v>1</v>
      </c>
      <c r="G896" s="1">
        <f ca="1">IFERROR(__xludf.DUMMYFUNCTION("""COMPUTED_VALUE"""),2.1)</f>
        <v>2.1</v>
      </c>
      <c r="J896" s="1" t="str">
        <f ca="1">IFERROR(__xludf.DUMMYFUNCTION("""COMPUTED_VALUE"""),"YELLOW PURPLE DAISY FELT PURSE KIT")</f>
        <v>YELLOW PURPLE DAISY FELT PURSE KIT</v>
      </c>
      <c r="K896" s="1">
        <f ca="1">IFERROR(__xludf.DUMMYFUNCTION("""COMPUTED_VALUE"""),3)</f>
        <v>3</v>
      </c>
      <c r="L896" s="1">
        <f ca="1">IFERROR(__xludf.DUMMYFUNCTION("""COMPUTED_VALUE"""),1.25)</f>
        <v>1.25</v>
      </c>
      <c r="T896" s="1">
        <f ca="1">IFERROR(__xludf.DUMMYFUNCTION("""COMPUTED_VALUE"""),489537)</f>
        <v>489537</v>
      </c>
      <c r="U896" s="1">
        <f ca="1">IFERROR(__xludf.DUMMYFUNCTION("""COMPUTED_VALUE"""),3.75)</f>
        <v>3.75</v>
      </c>
    </row>
    <row r="897" spans="1:21" ht="12.75" x14ac:dyDescent="0.2">
      <c r="A897" s="3">
        <f ca="1">IFERROR(__xludf.DUMMYFUNCTION("""COMPUTED_VALUE"""),40148.5097222222)</f>
        <v>40148.509722222203</v>
      </c>
      <c r="B897" s="1">
        <f ca="1">IFERROR(__xludf.DUMMYFUNCTION("""COMPUTED_VALUE"""),2.95)</f>
        <v>2.95</v>
      </c>
      <c r="E897" s="1" t="str">
        <f ca="1">IFERROR(__xludf.DUMMYFUNCTION("""COMPUTED_VALUE"""),"SIX STRING SCANDINAVIAN HEART DECS")</f>
        <v>SIX STRING SCANDINAVIAN HEART DECS</v>
      </c>
      <c r="F897" s="1">
        <f ca="1">IFERROR(__xludf.DUMMYFUNCTION("""COMPUTED_VALUE"""),1)</f>
        <v>1</v>
      </c>
      <c r="G897" s="1">
        <f ca="1">IFERROR(__xludf.DUMMYFUNCTION("""COMPUTED_VALUE"""),2.95)</f>
        <v>2.95</v>
      </c>
      <c r="J897" s="1" t="str">
        <f ca="1">IFERROR(__xludf.DUMMYFUNCTION("""COMPUTED_VALUE"""),"FLORAL FOLK STATIONERY SET")</f>
        <v>FLORAL FOLK STATIONERY SET</v>
      </c>
      <c r="K897" s="1">
        <f ca="1">IFERROR(__xludf.DUMMYFUNCTION("""COMPUTED_VALUE"""),3)</f>
        <v>3</v>
      </c>
      <c r="L897" s="1">
        <f ca="1">IFERROR(__xludf.DUMMYFUNCTION("""COMPUTED_VALUE"""),2.95)</f>
        <v>2.95</v>
      </c>
      <c r="T897" s="1">
        <f ca="1">IFERROR(__xludf.DUMMYFUNCTION("""COMPUTED_VALUE"""),489537)</f>
        <v>489537</v>
      </c>
      <c r="U897" s="1">
        <f ca="1">IFERROR(__xludf.DUMMYFUNCTION("""COMPUTED_VALUE"""),8.85)</f>
        <v>8.85</v>
      </c>
    </row>
    <row r="898" spans="1:21" ht="12.75" x14ac:dyDescent="0.2">
      <c r="A898" s="3">
        <f ca="1">IFERROR(__xludf.DUMMYFUNCTION("""COMPUTED_VALUE"""),40148.5097222222)</f>
        <v>40148.509722222203</v>
      </c>
      <c r="B898" s="1">
        <f ca="1">IFERROR(__xludf.DUMMYFUNCTION("""COMPUTED_VALUE"""),5.95)</f>
        <v>5.95</v>
      </c>
      <c r="E898" s="1" t="str">
        <f ca="1">IFERROR(__xludf.DUMMYFUNCTION("""COMPUTED_VALUE"""),"PARTY BUNTING")</f>
        <v>PARTY BUNTING</v>
      </c>
      <c r="F898" s="1">
        <f ca="1">IFERROR(__xludf.DUMMYFUNCTION("""COMPUTED_VALUE"""),1)</f>
        <v>1</v>
      </c>
      <c r="G898" s="1">
        <f ca="1">IFERROR(__xludf.DUMMYFUNCTION("""COMPUTED_VALUE"""),4.65)</f>
        <v>4.6500000000000004</v>
      </c>
      <c r="J898" s="1" t="str">
        <f ca="1">IFERROR(__xludf.DUMMYFUNCTION("""COMPUTED_VALUE"""),"UNION JACK HOT WATER BOTTLE")</f>
        <v>UNION JACK HOT WATER BOTTLE</v>
      </c>
      <c r="K898" s="1">
        <f ca="1">IFERROR(__xludf.DUMMYFUNCTION("""COMPUTED_VALUE"""),3)</f>
        <v>3</v>
      </c>
      <c r="L898" s="1">
        <f ca="1">IFERROR(__xludf.DUMMYFUNCTION("""COMPUTED_VALUE"""),5.95)</f>
        <v>5.95</v>
      </c>
      <c r="T898" s="1">
        <f ca="1">IFERROR(__xludf.DUMMYFUNCTION("""COMPUTED_VALUE"""),489537)</f>
        <v>489537</v>
      </c>
      <c r="U898" s="1">
        <f ca="1">IFERROR(__xludf.DUMMYFUNCTION("""COMPUTED_VALUE"""),17.85)</f>
        <v>17.850000000000001</v>
      </c>
    </row>
    <row r="899" spans="1:21" ht="12.75" x14ac:dyDescent="0.2">
      <c r="A899" s="3">
        <f ca="1">IFERROR(__xludf.DUMMYFUNCTION("""COMPUTED_VALUE"""),40148.5097222222)</f>
        <v>40148.509722222203</v>
      </c>
      <c r="B899" s="1">
        <f ca="1">IFERROR(__xludf.DUMMYFUNCTION("""COMPUTED_VALUE"""),2.95)</f>
        <v>2.95</v>
      </c>
      <c r="E899" s="1" t="str">
        <f ca="1">IFERROR(__xludf.DUMMYFUNCTION("""COMPUTED_VALUE"""),"CHRISTMAS CRAFT HEART DECORATIONS")</f>
        <v>CHRISTMAS CRAFT HEART DECORATIONS</v>
      </c>
      <c r="F899" s="1">
        <f ca="1">IFERROR(__xludf.DUMMYFUNCTION("""COMPUTED_VALUE"""),1)</f>
        <v>1</v>
      </c>
      <c r="G899" s="1">
        <f ca="1">IFERROR(__xludf.DUMMYFUNCTION("""COMPUTED_VALUE"""),2.1)</f>
        <v>2.1</v>
      </c>
      <c r="J899" s="1" t="str">
        <f ca="1">IFERROR(__xludf.DUMMYFUNCTION("""COMPUTED_VALUE"""),"MUSHROOM BLUE HOT WATER BOTTLE")</f>
        <v>MUSHROOM BLUE HOT WATER BOTTLE</v>
      </c>
      <c r="K899" s="1">
        <f ca="1">IFERROR(__xludf.DUMMYFUNCTION("""COMPUTED_VALUE"""),3)</f>
        <v>3</v>
      </c>
      <c r="L899" s="1">
        <f ca="1">IFERROR(__xludf.DUMMYFUNCTION("""COMPUTED_VALUE"""),2.95)</f>
        <v>2.95</v>
      </c>
      <c r="T899" s="1">
        <f ca="1">IFERROR(__xludf.DUMMYFUNCTION("""COMPUTED_VALUE"""),489537)</f>
        <v>489537</v>
      </c>
      <c r="U899" s="1">
        <f ca="1">IFERROR(__xludf.DUMMYFUNCTION("""COMPUTED_VALUE"""),8.85)</f>
        <v>8.85</v>
      </c>
    </row>
    <row r="900" spans="1:21" ht="12.75" x14ac:dyDescent="0.2">
      <c r="A900" s="3">
        <f ca="1">IFERROR(__xludf.DUMMYFUNCTION("""COMPUTED_VALUE"""),40148.5097222222)</f>
        <v>40148.509722222203</v>
      </c>
      <c r="B900" s="1">
        <f ca="1">IFERROR(__xludf.DUMMYFUNCTION("""COMPUTED_VALUE"""),2.95)</f>
        <v>2.95</v>
      </c>
      <c r="E900" s="1" t="str">
        <f ca="1">IFERROR(__xludf.DUMMYFUNCTION("""COMPUTED_VALUE"""),"CHRISTMAS CRAFT WHITE FAIRY")</f>
        <v>CHRISTMAS CRAFT WHITE FAIRY</v>
      </c>
      <c r="F900" s="1">
        <f ca="1">IFERROR(__xludf.DUMMYFUNCTION("""COMPUTED_VALUE"""),1)</f>
        <v>1</v>
      </c>
      <c r="G900" s="1">
        <f ca="1">IFERROR(__xludf.DUMMYFUNCTION("""COMPUTED_VALUE"""),1.45)</f>
        <v>1.45</v>
      </c>
      <c r="J900" s="1" t="str">
        <f ca="1">IFERROR(__xludf.DUMMYFUNCTION("""COMPUTED_VALUE"""),"FAWN BLUE HOT WATER BOTTLE")</f>
        <v>FAWN BLUE HOT WATER BOTTLE</v>
      </c>
      <c r="K900" s="1">
        <f ca="1">IFERROR(__xludf.DUMMYFUNCTION("""COMPUTED_VALUE"""),3)</f>
        <v>3</v>
      </c>
      <c r="L900" s="1">
        <f ca="1">IFERROR(__xludf.DUMMYFUNCTION("""COMPUTED_VALUE"""),2.95)</f>
        <v>2.95</v>
      </c>
      <c r="T900" s="1">
        <f ca="1">IFERROR(__xludf.DUMMYFUNCTION("""COMPUTED_VALUE"""),489537)</f>
        <v>489537</v>
      </c>
      <c r="U900" s="1">
        <f ca="1">IFERROR(__xludf.DUMMYFUNCTION("""COMPUTED_VALUE"""),8.85)</f>
        <v>8.85</v>
      </c>
    </row>
    <row r="901" spans="1:21" ht="12.75" x14ac:dyDescent="0.2">
      <c r="A901" s="3">
        <f ca="1">IFERROR(__xludf.DUMMYFUNCTION("""COMPUTED_VALUE"""),40148.5097222222)</f>
        <v>40148.509722222203</v>
      </c>
      <c r="B901" s="1">
        <f ca="1">IFERROR(__xludf.DUMMYFUNCTION("""COMPUTED_VALUE"""),3.95)</f>
        <v>3.95</v>
      </c>
      <c r="E901" s="1" t="str">
        <f ca="1">IFERROR(__xludf.DUMMYFUNCTION("""COMPUTED_VALUE"""),"RETRO SPOT TEA SET CERAMIC 11 PC")</f>
        <v>RETRO SPOT TEA SET CERAMIC 11 PC</v>
      </c>
      <c r="F901" s="1">
        <f ca="1">IFERROR(__xludf.DUMMYFUNCTION("""COMPUTED_VALUE"""),1)</f>
        <v>1</v>
      </c>
      <c r="G901" s="1">
        <f ca="1">IFERROR(__xludf.DUMMYFUNCTION("""COMPUTED_VALUE"""),4.95)</f>
        <v>4.95</v>
      </c>
      <c r="J901" s="1" t="str">
        <f ca="1">IFERROR(__xludf.DUMMYFUNCTION("""COMPUTED_VALUE"""),"BLUE WHITE SCARF HOT WATER BOTTLE")</f>
        <v>BLUE WHITE SCARF HOT WATER BOTTLE</v>
      </c>
      <c r="K901" s="1">
        <f ca="1">IFERROR(__xludf.DUMMYFUNCTION("""COMPUTED_VALUE"""),3)</f>
        <v>3</v>
      </c>
      <c r="L901" s="1">
        <f ca="1">IFERROR(__xludf.DUMMYFUNCTION("""COMPUTED_VALUE"""),3.95)</f>
        <v>3.95</v>
      </c>
      <c r="T901" s="1">
        <f ca="1">IFERROR(__xludf.DUMMYFUNCTION("""COMPUTED_VALUE"""),489537)</f>
        <v>489537</v>
      </c>
      <c r="U901" s="1">
        <f ca="1">IFERROR(__xludf.DUMMYFUNCTION("""COMPUTED_VALUE"""),11.85)</f>
        <v>11.85</v>
      </c>
    </row>
    <row r="902" spans="1:21" ht="12.75" x14ac:dyDescent="0.2">
      <c r="A902" s="3">
        <f ca="1">IFERROR(__xludf.DUMMYFUNCTION("""COMPUTED_VALUE"""),40148.5097222222)</f>
        <v>40148.509722222203</v>
      </c>
      <c r="B902" s="1">
        <f ca="1">IFERROR(__xludf.DUMMYFUNCTION("""COMPUTED_VALUE"""),3.95)</f>
        <v>3.95</v>
      </c>
      <c r="E902" s="1" t="str">
        <f ca="1">IFERROR(__xludf.DUMMYFUNCTION("""COMPUTED_VALUE"""),"PINK SPOTTY CHILDS UMBRELLA")</f>
        <v>PINK SPOTTY CHILDS UMBRELLA</v>
      </c>
      <c r="F902" s="1">
        <f ca="1">IFERROR(__xludf.DUMMYFUNCTION("""COMPUTED_VALUE"""),1)</f>
        <v>1</v>
      </c>
      <c r="G902" s="1">
        <f ca="1">IFERROR(__xludf.DUMMYFUNCTION("""COMPUTED_VALUE"""),3.25)</f>
        <v>3.25</v>
      </c>
      <c r="J902" s="1" t="str">
        <f ca="1">IFERROR(__xludf.DUMMYFUNCTION("""COMPUTED_VALUE"""),"RED WHITE SCARF  HOT WATER BOTTLE")</f>
        <v>RED WHITE SCARF  HOT WATER BOTTLE</v>
      </c>
      <c r="K902" s="1">
        <f ca="1">IFERROR(__xludf.DUMMYFUNCTION("""COMPUTED_VALUE"""),3)</f>
        <v>3</v>
      </c>
      <c r="L902" s="1">
        <f ca="1">IFERROR(__xludf.DUMMYFUNCTION("""COMPUTED_VALUE"""),3.95)</f>
        <v>3.95</v>
      </c>
      <c r="T902" s="1">
        <f ca="1">IFERROR(__xludf.DUMMYFUNCTION("""COMPUTED_VALUE"""),489537)</f>
        <v>489537</v>
      </c>
      <c r="U902" s="1">
        <f ca="1">IFERROR(__xludf.DUMMYFUNCTION("""COMPUTED_VALUE"""),11.85)</f>
        <v>11.85</v>
      </c>
    </row>
    <row r="903" spans="1:21" ht="12.75" x14ac:dyDescent="0.2">
      <c r="A903" s="3">
        <f ca="1">IFERROR(__xludf.DUMMYFUNCTION("""COMPUTED_VALUE"""),40148.5097222222)</f>
        <v>40148.509722222203</v>
      </c>
      <c r="B903" s="1">
        <f ca="1">IFERROR(__xludf.DUMMYFUNCTION("""COMPUTED_VALUE"""),1.65)</f>
        <v>1.65</v>
      </c>
      <c r="E903" s="1" t="str">
        <f ca="1">IFERROR(__xludf.DUMMYFUNCTION("""COMPUTED_VALUE"""),"ANT WHITE WIRE HEART SPIRAL")</f>
        <v>ANT WHITE WIRE HEART SPIRAL</v>
      </c>
      <c r="F903" s="1">
        <f ca="1">IFERROR(__xludf.DUMMYFUNCTION("""COMPUTED_VALUE"""),1)</f>
        <v>1</v>
      </c>
      <c r="G903" s="1">
        <f ca="1">IFERROR(__xludf.DUMMYFUNCTION("""COMPUTED_VALUE"""),3.95)</f>
        <v>3.95</v>
      </c>
      <c r="J903" s="1" t="str">
        <f ca="1">IFERROR(__xludf.DUMMYFUNCTION("""COMPUTED_VALUE"""),"STRING OF 8 BUTTERFLIES,PINK")</f>
        <v>STRING OF 8 BUTTERFLIES,PINK</v>
      </c>
      <c r="K903" s="1">
        <f ca="1">IFERROR(__xludf.DUMMYFUNCTION("""COMPUTED_VALUE"""),3)</f>
        <v>3</v>
      </c>
      <c r="L903" s="1">
        <f ca="1">IFERROR(__xludf.DUMMYFUNCTION("""COMPUTED_VALUE"""),1.65)</f>
        <v>1.65</v>
      </c>
      <c r="T903" s="1">
        <f ca="1">IFERROR(__xludf.DUMMYFUNCTION("""COMPUTED_VALUE"""),489537)</f>
        <v>489537</v>
      </c>
      <c r="U903" s="1">
        <f ca="1">IFERROR(__xludf.DUMMYFUNCTION("""COMPUTED_VALUE"""),4.94999999999999)</f>
        <v>4.9499999999999904</v>
      </c>
    </row>
    <row r="904" spans="1:21" ht="12.75" x14ac:dyDescent="0.2">
      <c r="A904" s="3">
        <f ca="1">IFERROR(__xludf.DUMMYFUNCTION("""COMPUTED_VALUE"""),40148.5097222222)</f>
        <v>40148.509722222203</v>
      </c>
      <c r="B904" s="1">
        <f ca="1">IFERROR(__xludf.DUMMYFUNCTION("""COMPUTED_VALUE"""),2.55)</f>
        <v>2.5499999999999998</v>
      </c>
      <c r="E904" s="1" t="str">
        <f ca="1">IFERROR(__xludf.DUMMYFUNCTION("""COMPUTED_VALUE"""),"MOUSE TOY WITH PINK T-SHIRT")</f>
        <v>MOUSE TOY WITH PINK T-SHIRT</v>
      </c>
      <c r="F904" s="1">
        <f ca="1">IFERROR(__xludf.DUMMYFUNCTION("""COMPUTED_VALUE"""),1)</f>
        <v>1</v>
      </c>
      <c r="G904" s="1">
        <f ca="1">IFERROR(__xludf.DUMMYFUNCTION("""COMPUTED_VALUE"""),3.75)</f>
        <v>3.75</v>
      </c>
      <c r="J904" s="1" t="str">
        <f ca="1">IFERROR(__xludf.DUMMYFUNCTION("""COMPUTED_VALUE"""),"4 IVORY DINNER CANDLES GOLD FLOCK")</f>
        <v>4 IVORY DINNER CANDLES GOLD FLOCK</v>
      </c>
      <c r="K904" s="1">
        <f ca="1">IFERROR(__xludf.DUMMYFUNCTION("""COMPUTED_VALUE"""),3)</f>
        <v>3</v>
      </c>
      <c r="L904" s="1">
        <f ca="1">IFERROR(__xludf.DUMMYFUNCTION("""COMPUTED_VALUE"""),2.55)</f>
        <v>2.5499999999999998</v>
      </c>
      <c r="T904" s="1">
        <f ca="1">IFERROR(__xludf.DUMMYFUNCTION("""COMPUTED_VALUE"""),489537)</f>
        <v>489537</v>
      </c>
      <c r="U904" s="1">
        <f ca="1">IFERROR(__xludf.DUMMYFUNCTION("""COMPUTED_VALUE"""),7.64999999999999)</f>
        <v>7.6499999999999897</v>
      </c>
    </row>
    <row r="905" spans="1:21" ht="12.75" x14ac:dyDescent="0.2">
      <c r="A905" s="3">
        <f ca="1">IFERROR(__xludf.DUMMYFUNCTION("""COMPUTED_VALUE"""),40148.5097222222)</f>
        <v>40148.509722222203</v>
      </c>
      <c r="B905" s="1">
        <f ca="1">IFERROR(__xludf.DUMMYFUNCTION("""COMPUTED_VALUE"""),1.25)</f>
        <v>1.25</v>
      </c>
      <c r="E905" s="1" t="str">
        <f ca="1">IFERROR(__xludf.DUMMYFUNCTION("""COMPUTED_VALUE"""),"12 ASS ZINC CHRISTMAS DECORATIONS")</f>
        <v>12 ASS ZINC CHRISTMAS DECORATIONS</v>
      </c>
      <c r="F905" s="1">
        <f ca="1">IFERROR(__xludf.DUMMYFUNCTION("""COMPUTED_VALUE"""),1)</f>
        <v>1</v>
      </c>
      <c r="G905" s="1">
        <f ca="1">IFERROR(__xludf.DUMMYFUNCTION("""COMPUTED_VALUE"""),2.1)</f>
        <v>2.1</v>
      </c>
      <c r="J905" s="1" t="str">
        <f ca="1">IFERROR(__xludf.DUMMYFUNCTION("""COMPUTED_VALUE"""),"S/4 BURGUNDY WINE DINNER CANDLES")</f>
        <v>S/4 BURGUNDY WINE DINNER CANDLES</v>
      </c>
      <c r="K905" s="1">
        <f ca="1">IFERROR(__xludf.DUMMYFUNCTION("""COMPUTED_VALUE"""),3)</f>
        <v>3</v>
      </c>
      <c r="L905" s="1">
        <f ca="1">IFERROR(__xludf.DUMMYFUNCTION("""COMPUTED_VALUE"""),1.25)</f>
        <v>1.25</v>
      </c>
      <c r="T905" s="1">
        <f ca="1">IFERROR(__xludf.DUMMYFUNCTION("""COMPUTED_VALUE"""),489537)</f>
        <v>489537</v>
      </c>
      <c r="U905" s="1">
        <f ca="1">IFERROR(__xludf.DUMMYFUNCTION("""COMPUTED_VALUE"""),3.75)</f>
        <v>3.75</v>
      </c>
    </row>
    <row r="906" spans="1:21" ht="12.75" x14ac:dyDescent="0.2">
      <c r="A906" s="3">
        <f ca="1">IFERROR(__xludf.DUMMYFUNCTION("""COMPUTED_VALUE"""),40148.5097222222)</f>
        <v>40148.509722222203</v>
      </c>
      <c r="B906" s="1">
        <f ca="1">IFERROR(__xludf.DUMMYFUNCTION("""COMPUTED_VALUE"""),3.75)</f>
        <v>3.75</v>
      </c>
      <c r="E906" s="1" t="str">
        <f ca="1">IFERROR(__xludf.DUMMYFUNCTION("""COMPUTED_VALUE"""),"TURQUOISE BERTIE GLASS BEAD CHARM")</f>
        <v>TURQUOISE BERTIE GLASS BEAD CHARM</v>
      </c>
      <c r="F906" s="1">
        <f ca="1">IFERROR(__xludf.DUMMYFUNCTION("""COMPUTED_VALUE"""),12)</f>
        <v>12</v>
      </c>
      <c r="G906" s="1">
        <f ca="1">IFERROR(__xludf.DUMMYFUNCTION("""COMPUTED_VALUE"""),2.1)</f>
        <v>2.1</v>
      </c>
      <c r="J906" s="1" t="str">
        <f ca="1">IFERROR(__xludf.DUMMYFUNCTION("""COMPUTED_VALUE"""),"BINGO SET")</f>
        <v>BINGO SET</v>
      </c>
      <c r="K906" s="1">
        <f ca="1">IFERROR(__xludf.DUMMYFUNCTION("""COMPUTED_VALUE"""),3)</f>
        <v>3</v>
      </c>
      <c r="L906" s="1">
        <f ca="1">IFERROR(__xludf.DUMMYFUNCTION("""COMPUTED_VALUE"""),3.75)</f>
        <v>3.75</v>
      </c>
      <c r="T906" s="1">
        <f ca="1">IFERROR(__xludf.DUMMYFUNCTION("""COMPUTED_VALUE"""),489537)</f>
        <v>489537</v>
      </c>
      <c r="U906" s="1">
        <f ca="1">IFERROR(__xludf.DUMMYFUNCTION("""COMPUTED_VALUE"""),11.25)</f>
        <v>11.25</v>
      </c>
    </row>
    <row r="907" spans="1:21" ht="12.75" x14ac:dyDescent="0.2">
      <c r="A907" s="3">
        <f ca="1">IFERROR(__xludf.DUMMYFUNCTION("""COMPUTED_VALUE"""),40148.5097222222)</f>
        <v>40148.509722222203</v>
      </c>
      <c r="B907" s="1">
        <f ca="1">IFERROR(__xludf.DUMMYFUNCTION("""COMPUTED_VALUE"""),6.75)</f>
        <v>6.75</v>
      </c>
      <c r="E907" s="1" t="str">
        <f ca="1">IFERROR(__xludf.DUMMYFUNCTION("""COMPUTED_VALUE"""),"PURPLE BERTIE GLASS BEAD BAG CHARM")</f>
        <v>PURPLE BERTIE GLASS BEAD BAG CHARM</v>
      </c>
      <c r="F907" s="1">
        <f ca="1">IFERROR(__xludf.DUMMYFUNCTION("""COMPUTED_VALUE"""),12)</f>
        <v>12</v>
      </c>
      <c r="G907" s="1">
        <f ca="1">IFERROR(__xludf.DUMMYFUNCTION("""COMPUTED_VALUE"""),2.1)</f>
        <v>2.1</v>
      </c>
      <c r="J907" s="1" t="str">
        <f ca="1">IFERROR(__xludf.DUMMYFUNCTION("""COMPUTED_VALUE"""),"DOOR MAT WELCOME PUPPIES")</f>
        <v>DOOR MAT WELCOME PUPPIES</v>
      </c>
      <c r="K907" s="1">
        <f ca="1">IFERROR(__xludf.DUMMYFUNCTION("""COMPUTED_VALUE"""),2)</f>
        <v>2</v>
      </c>
      <c r="L907" s="1">
        <f ca="1">IFERROR(__xludf.DUMMYFUNCTION("""COMPUTED_VALUE"""),6.75)</f>
        <v>6.75</v>
      </c>
      <c r="T907" s="1">
        <f ca="1">IFERROR(__xludf.DUMMYFUNCTION("""COMPUTED_VALUE"""),489537)</f>
        <v>489537</v>
      </c>
      <c r="U907" s="1">
        <f ca="1">IFERROR(__xludf.DUMMYFUNCTION("""COMPUTED_VALUE"""),13.5)</f>
        <v>13.5</v>
      </c>
    </row>
    <row r="908" spans="1:21" ht="12.75" x14ac:dyDescent="0.2">
      <c r="A908" s="3">
        <f ca="1">IFERROR(__xludf.DUMMYFUNCTION("""COMPUTED_VALUE"""),40148.5097222222)</f>
        <v>40148.509722222203</v>
      </c>
      <c r="B908" s="1">
        <f ca="1">IFERROR(__xludf.DUMMYFUNCTION("""COMPUTED_VALUE"""),6.75)</f>
        <v>6.75</v>
      </c>
      <c r="E908" s="1" t="str">
        <f ca="1">IFERROR(__xludf.DUMMYFUNCTION("""COMPUTED_VALUE"""),"PINK BERTIE GLASS BEAD BAG CHARM")</f>
        <v>PINK BERTIE GLASS BEAD BAG CHARM</v>
      </c>
      <c r="F908" s="1">
        <f ca="1">IFERROR(__xludf.DUMMYFUNCTION("""COMPUTED_VALUE"""),12)</f>
        <v>12</v>
      </c>
      <c r="G908" s="1">
        <f ca="1">IFERROR(__xludf.DUMMYFUNCTION("""COMPUTED_VALUE"""),2.1)</f>
        <v>2.1</v>
      </c>
      <c r="J908" s="1" t="str">
        <f ca="1">IFERROR(__xludf.DUMMYFUNCTION("""COMPUTED_VALUE"""),"DOOR MAT 3 SMILEY CATS")</f>
        <v>DOOR MAT 3 SMILEY CATS</v>
      </c>
      <c r="K908" s="1">
        <f ca="1">IFERROR(__xludf.DUMMYFUNCTION("""COMPUTED_VALUE"""),2)</f>
        <v>2</v>
      </c>
      <c r="L908" s="1">
        <f ca="1">IFERROR(__xludf.DUMMYFUNCTION("""COMPUTED_VALUE"""),6.75)</f>
        <v>6.75</v>
      </c>
      <c r="T908" s="1">
        <f ca="1">IFERROR(__xludf.DUMMYFUNCTION("""COMPUTED_VALUE"""),489537)</f>
        <v>489537</v>
      </c>
      <c r="U908" s="1">
        <f ca="1">IFERROR(__xludf.DUMMYFUNCTION("""COMPUTED_VALUE"""),13.5)</f>
        <v>13.5</v>
      </c>
    </row>
    <row r="909" spans="1:21" ht="12.75" x14ac:dyDescent="0.2">
      <c r="A909" s="3">
        <f ca="1">IFERROR(__xludf.DUMMYFUNCTION("""COMPUTED_VALUE"""),40148.5097222222)</f>
        <v>40148.509722222203</v>
      </c>
      <c r="B909" s="1">
        <f ca="1">IFERROR(__xludf.DUMMYFUNCTION("""COMPUTED_VALUE"""),6.75)</f>
        <v>6.75</v>
      </c>
      <c r="E909" s="1" t="str">
        <f ca="1">IFERROR(__xludf.DUMMYFUNCTION("""COMPUTED_VALUE"""),"LETTER ""H"" BLING KEY RING")</f>
        <v>LETTER "H" BLING KEY RING</v>
      </c>
      <c r="F909" s="1">
        <f ca="1">IFERROR(__xludf.DUMMYFUNCTION("""COMPUTED_VALUE"""),2)</f>
        <v>2</v>
      </c>
      <c r="G909" s="1">
        <f ca="1">IFERROR(__xludf.DUMMYFUNCTION("""COMPUTED_VALUE"""),1.25)</f>
        <v>1.25</v>
      </c>
      <c r="J909" s="1" t="str">
        <f ca="1">IFERROR(__xludf.DUMMYFUNCTION("""COMPUTED_VALUE"""),"DOORMAT HEARTS")</f>
        <v>DOORMAT HEARTS</v>
      </c>
      <c r="K909" s="1">
        <f ca="1">IFERROR(__xludf.DUMMYFUNCTION("""COMPUTED_VALUE"""),2)</f>
        <v>2</v>
      </c>
      <c r="L909" s="1">
        <f ca="1">IFERROR(__xludf.DUMMYFUNCTION("""COMPUTED_VALUE"""),6.75)</f>
        <v>6.75</v>
      </c>
      <c r="T909" s="1">
        <f ca="1">IFERROR(__xludf.DUMMYFUNCTION("""COMPUTED_VALUE"""),489537)</f>
        <v>489537</v>
      </c>
      <c r="U909" s="1">
        <f ca="1">IFERROR(__xludf.DUMMYFUNCTION("""COMPUTED_VALUE"""),13.5)</f>
        <v>13.5</v>
      </c>
    </row>
    <row r="910" spans="1:21" ht="12.75" x14ac:dyDescent="0.2">
      <c r="A910" s="3">
        <f ca="1">IFERROR(__xludf.DUMMYFUNCTION("""COMPUTED_VALUE"""),40148.5097222222)</f>
        <v>40148.509722222203</v>
      </c>
      <c r="B910" s="1">
        <f ca="1">IFERROR(__xludf.DUMMYFUNCTION("""COMPUTED_VALUE"""),6.75)</f>
        <v>6.75</v>
      </c>
      <c r="E910" s="1" t="str">
        <f ca="1">IFERROR(__xludf.DUMMYFUNCTION("""COMPUTED_VALUE"""),"PINK BERTIE GLASS BEAD BAG CHARM")</f>
        <v>PINK BERTIE GLASS BEAD BAG CHARM</v>
      </c>
      <c r="F910" s="1">
        <f ca="1">IFERROR(__xludf.DUMMYFUNCTION("""COMPUTED_VALUE"""),-12)</f>
        <v>-12</v>
      </c>
      <c r="G910" s="1">
        <f ca="1">IFERROR(__xludf.DUMMYFUNCTION("""COMPUTED_VALUE"""),2.1)</f>
        <v>2.1</v>
      </c>
      <c r="J910" s="1" t="str">
        <f ca="1">IFERROR(__xludf.DUMMYFUNCTION("""COMPUTED_VALUE"""),"RED SPOTTY COIR DOORMAT")</f>
        <v>RED SPOTTY COIR DOORMAT</v>
      </c>
      <c r="K910" s="1">
        <f ca="1">IFERROR(__xludf.DUMMYFUNCTION("""COMPUTED_VALUE"""),2)</f>
        <v>2</v>
      </c>
      <c r="L910" s="1">
        <f ca="1">IFERROR(__xludf.DUMMYFUNCTION("""COMPUTED_VALUE"""),6.75)</f>
        <v>6.75</v>
      </c>
      <c r="T910" s="1">
        <f ca="1">IFERROR(__xludf.DUMMYFUNCTION("""COMPUTED_VALUE"""),489537)</f>
        <v>489537</v>
      </c>
      <c r="U910" s="1">
        <f ca="1">IFERROR(__xludf.DUMMYFUNCTION("""COMPUTED_VALUE"""),13.5)</f>
        <v>13.5</v>
      </c>
    </row>
    <row r="911" spans="1:21" ht="12.75" x14ac:dyDescent="0.2">
      <c r="A911" s="3">
        <f ca="1">IFERROR(__xludf.DUMMYFUNCTION("""COMPUTED_VALUE"""),40148.5097222222)</f>
        <v>40148.509722222203</v>
      </c>
      <c r="B911" s="1">
        <f ca="1">IFERROR(__xludf.DUMMYFUNCTION("""COMPUTED_VALUE"""),6.75)</f>
        <v>6.75</v>
      </c>
      <c r="E911" s="1" t="str">
        <f ca="1">IFERROR(__xludf.DUMMYFUNCTION("""COMPUTED_VALUE"""),"RED SPOTTY CHILDS APRON")</f>
        <v>RED SPOTTY CHILDS APRON</v>
      </c>
      <c r="F911" s="1">
        <f ca="1">IFERROR(__xludf.DUMMYFUNCTION("""COMPUTED_VALUE"""),8)</f>
        <v>8</v>
      </c>
      <c r="G911" s="1">
        <f ca="1">IFERROR(__xludf.DUMMYFUNCTION("""COMPUTED_VALUE"""),1.95)</f>
        <v>1.95</v>
      </c>
      <c r="J911" s="1" t="str">
        <f ca="1">IFERROR(__xludf.DUMMYFUNCTION("""COMPUTED_VALUE"""),"DOOR MAT GREEN PAISLEY")</f>
        <v>DOOR MAT GREEN PAISLEY</v>
      </c>
      <c r="K911" s="1">
        <f ca="1">IFERROR(__xludf.DUMMYFUNCTION("""COMPUTED_VALUE"""),2)</f>
        <v>2</v>
      </c>
      <c r="L911" s="1">
        <f ca="1">IFERROR(__xludf.DUMMYFUNCTION("""COMPUTED_VALUE"""),6.75)</f>
        <v>6.75</v>
      </c>
      <c r="T911" s="1">
        <f ca="1">IFERROR(__xludf.DUMMYFUNCTION("""COMPUTED_VALUE"""),489537)</f>
        <v>489537</v>
      </c>
      <c r="U911" s="1">
        <f ca="1">IFERROR(__xludf.DUMMYFUNCTION("""COMPUTED_VALUE"""),13.5)</f>
        <v>13.5</v>
      </c>
    </row>
    <row r="912" spans="1:21" ht="12.75" x14ac:dyDescent="0.2">
      <c r="A912" s="3">
        <f ca="1">IFERROR(__xludf.DUMMYFUNCTION("""COMPUTED_VALUE"""),40148.5097222222)</f>
        <v>40148.509722222203</v>
      </c>
      <c r="B912" s="1">
        <f ca="1">IFERROR(__xludf.DUMMYFUNCTION("""COMPUTED_VALUE"""),6.75)</f>
        <v>6.75</v>
      </c>
      <c r="E912" s="1" t="str">
        <f ca="1">IFERROR(__xludf.DUMMYFUNCTION("""COMPUTED_VALUE"""),"PINK FAIRY CAKE CHILD'S APRON")</f>
        <v>PINK FAIRY CAKE CHILD'S APRON</v>
      </c>
      <c r="F912" s="1">
        <f ca="1">IFERROR(__xludf.DUMMYFUNCTION("""COMPUTED_VALUE"""),8)</f>
        <v>8</v>
      </c>
      <c r="G912" s="1">
        <f ca="1">IFERROR(__xludf.DUMMYFUNCTION("""COMPUTED_VALUE"""),1.95)</f>
        <v>1.95</v>
      </c>
      <c r="J912" s="1" t="str">
        <f ca="1">IFERROR(__xludf.DUMMYFUNCTION("""COMPUTED_VALUE"""),"DOOR MAT ENGLISH ROSE")</f>
        <v>DOOR MAT ENGLISH ROSE</v>
      </c>
      <c r="K912" s="1">
        <f ca="1">IFERROR(__xludf.DUMMYFUNCTION("""COMPUTED_VALUE"""),2)</f>
        <v>2</v>
      </c>
      <c r="L912" s="1">
        <f ca="1">IFERROR(__xludf.DUMMYFUNCTION("""COMPUTED_VALUE"""),6.75)</f>
        <v>6.75</v>
      </c>
      <c r="T912" s="1">
        <f ca="1">IFERROR(__xludf.DUMMYFUNCTION("""COMPUTED_VALUE"""),489537)</f>
        <v>489537</v>
      </c>
      <c r="U912" s="1">
        <f ca="1">IFERROR(__xludf.DUMMYFUNCTION("""COMPUTED_VALUE"""),13.5)</f>
        <v>13.5</v>
      </c>
    </row>
    <row r="913" spans="1:21" ht="12.75" x14ac:dyDescent="0.2">
      <c r="A913" s="3">
        <f ca="1">IFERROR(__xludf.DUMMYFUNCTION("""COMPUTED_VALUE"""),40148.5097222222)</f>
        <v>40148.509722222203</v>
      </c>
      <c r="B913" s="1">
        <f ca="1">IFERROR(__xludf.DUMMYFUNCTION("""COMPUTED_VALUE"""),3.75)</f>
        <v>3.75</v>
      </c>
      <c r="E913" s="1" t="str">
        <f ca="1">IFERROR(__xludf.DUMMYFUNCTION("""COMPUTED_VALUE"""),"PARTY METAL SIGN")</f>
        <v>PARTY METAL SIGN</v>
      </c>
      <c r="F913" s="1">
        <f ca="1">IFERROR(__xludf.DUMMYFUNCTION("""COMPUTED_VALUE"""),12)</f>
        <v>12</v>
      </c>
      <c r="G913" s="1">
        <f ca="1">IFERROR(__xludf.DUMMYFUNCTION("""COMPUTED_VALUE"""),1.45)</f>
        <v>1.45</v>
      </c>
      <c r="J913" s="1" t="str">
        <f ca="1">IFERROR(__xludf.DUMMYFUNCTION("""COMPUTED_VALUE"""),"GREY FLORAL FELTCRAFT SHOULDER BAG")</f>
        <v>GREY FLORAL FELTCRAFT SHOULDER BAG</v>
      </c>
      <c r="K913" s="1">
        <f ca="1">IFERROR(__xludf.DUMMYFUNCTION("""COMPUTED_VALUE"""),2)</f>
        <v>2</v>
      </c>
      <c r="L913" s="1">
        <f ca="1">IFERROR(__xludf.DUMMYFUNCTION("""COMPUTED_VALUE"""),3.75)</f>
        <v>3.75</v>
      </c>
      <c r="T913" s="1">
        <f ca="1">IFERROR(__xludf.DUMMYFUNCTION("""COMPUTED_VALUE"""),489537)</f>
        <v>489537</v>
      </c>
      <c r="U913" s="1">
        <f ca="1">IFERROR(__xludf.DUMMYFUNCTION("""COMPUTED_VALUE"""),7.5)</f>
        <v>7.5</v>
      </c>
    </row>
    <row r="914" spans="1:21" ht="12.75" x14ac:dyDescent="0.2">
      <c r="A914" s="3">
        <f ca="1">IFERROR(__xludf.DUMMYFUNCTION("""COMPUTED_VALUE"""),40148.5097222222)</f>
        <v>40148.509722222203</v>
      </c>
      <c r="B914" s="1">
        <f ca="1">IFERROR(__xludf.DUMMYFUNCTION("""COMPUTED_VALUE"""),1.25)</f>
        <v>1.25</v>
      </c>
      <c r="E914" s="1" t="str">
        <f ca="1">IFERROR(__xludf.DUMMYFUNCTION("""COMPUTED_VALUE"""),"LADIES &amp; GENTLEMEN METAL SIGN")</f>
        <v>LADIES &amp; GENTLEMEN METAL SIGN</v>
      </c>
      <c r="F914" s="1">
        <f ca="1">IFERROR(__xludf.DUMMYFUNCTION("""COMPUTED_VALUE"""),6)</f>
        <v>6</v>
      </c>
      <c r="G914" s="1">
        <f ca="1">IFERROR(__xludf.DUMMYFUNCTION("""COMPUTED_VALUE"""),2.55)</f>
        <v>2.5499999999999998</v>
      </c>
      <c r="J914" s="1" t="str">
        <f ca="1">IFERROR(__xludf.DUMMYFUNCTION("""COMPUTED_VALUE"""),"YELLOW + BROWN BEAR FELT PURSE KIT")</f>
        <v>YELLOW + BROWN BEAR FELT PURSE KIT</v>
      </c>
      <c r="K914" s="1">
        <f ca="1">IFERROR(__xludf.DUMMYFUNCTION("""COMPUTED_VALUE"""),2)</f>
        <v>2</v>
      </c>
      <c r="L914" s="1">
        <f ca="1">IFERROR(__xludf.DUMMYFUNCTION("""COMPUTED_VALUE"""),1.25)</f>
        <v>1.25</v>
      </c>
      <c r="T914" s="1">
        <f ca="1">IFERROR(__xludf.DUMMYFUNCTION("""COMPUTED_VALUE"""),489537)</f>
        <v>489537</v>
      </c>
      <c r="U914" s="1">
        <f ca="1">IFERROR(__xludf.DUMMYFUNCTION("""COMPUTED_VALUE"""),2.5)</f>
        <v>2.5</v>
      </c>
    </row>
    <row r="915" spans="1:21" ht="12.75" x14ac:dyDescent="0.2">
      <c r="A915" s="3">
        <f ca="1">IFERROR(__xludf.DUMMYFUNCTION("""COMPUTED_VALUE"""),40148.5097222222)</f>
        <v>40148.509722222203</v>
      </c>
      <c r="B915" s="1">
        <f ca="1">IFERROR(__xludf.DUMMYFUNCTION("""COMPUTED_VALUE"""),2.95)</f>
        <v>2.95</v>
      </c>
      <c r="E915" s="1" t="str">
        <f ca="1">IFERROR(__xludf.DUMMYFUNCTION("""COMPUTED_VALUE"""),"CHOCOLATE THIS WAY METAL SIGN")</f>
        <v>CHOCOLATE THIS WAY METAL SIGN</v>
      </c>
      <c r="F915" s="1">
        <f ca="1">IFERROR(__xludf.DUMMYFUNCTION("""COMPUTED_VALUE"""),6)</f>
        <v>6</v>
      </c>
      <c r="G915" s="1">
        <f ca="1">IFERROR(__xludf.DUMMYFUNCTION("""COMPUTED_VALUE"""),2.1)</f>
        <v>2.1</v>
      </c>
      <c r="J915" s="1" t="str">
        <f ca="1">IFERROR(__xludf.DUMMYFUNCTION("""COMPUTED_VALUE"""),"FELTCRAFT DOLL MOLLY")</f>
        <v>FELTCRAFT DOLL MOLLY</v>
      </c>
      <c r="K915" s="1">
        <f ca="1">IFERROR(__xludf.DUMMYFUNCTION("""COMPUTED_VALUE"""),2)</f>
        <v>2</v>
      </c>
      <c r="L915" s="1">
        <f ca="1">IFERROR(__xludf.DUMMYFUNCTION("""COMPUTED_VALUE"""),2.95)</f>
        <v>2.95</v>
      </c>
      <c r="T915" s="1">
        <f ca="1">IFERROR(__xludf.DUMMYFUNCTION("""COMPUTED_VALUE"""),489537)</f>
        <v>489537</v>
      </c>
      <c r="U915" s="1">
        <f ca="1">IFERROR(__xludf.DUMMYFUNCTION("""COMPUTED_VALUE"""),5.9)</f>
        <v>5.9</v>
      </c>
    </row>
    <row r="916" spans="1:21" ht="12.75" x14ac:dyDescent="0.2">
      <c r="A916" s="3">
        <f ca="1">IFERROR(__xludf.DUMMYFUNCTION("""COMPUTED_VALUE"""),40148.5097222222)</f>
        <v>40148.509722222203</v>
      </c>
      <c r="B916" s="1">
        <f ca="1">IFERROR(__xludf.DUMMYFUNCTION("""COMPUTED_VALUE"""),4.25)</f>
        <v>4.25</v>
      </c>
      <c r="E916" s="1" t="str">
        <f ca="1">IFERROR(__xludf.DUMMYFUNCTION("""COMPUTED_VALUE"""),"PINK STRIPE HOT WATER BOTTLE")</f>
        <v>PINK STRIPE HOT WATER BOTTLE</v>
      </c>
      <c r="F916" s="1">
        <f ca="1">IFERROR(__xludf.DUMMYFUNCTION("""COMPUTED_VALUE"""),6)</f>
        <v>6</v>
      </c>
      <c r="G916" s="1">
        <f ca="1">IFERROR(__xludf.DUMMYFUNCTION("""COMPUTED_VALUE"""),2.95)</f>
        <v>2.95</v>
      </c>
      <c r="J916" s="1" t="str">
        <f ca="1">IFERROR(__xludf.DUMMYFUNCTION("""COMPUTED_VALUE"""),"COUNTRY COTTAGE  DOORSTOP GREEN")</f>
        <v>COUNTRY COTTAGE  DOORSTOP GREEN</v>
      </c>
      <c r="K916" s="1">
        <f ca="1">IFERROR(__xludf.DUMMYFUNCTION("""COMPUTED_VALUE"""),2)</f>
        <v>2</v>
      </c>
      <c r="L916" s="1">
        <f ca="1">IFERROR(__xludf.DUMMYFUNCTION("""COMPUTED_VALUE"""),4.25)</f>
        <v>4.25</v>
      </c>
      <c r="T916" s="1">
        <f ca="1">IFERROR(__xludf.DUMMYFUNCTION("""COMPUTED_VALUE"""),489537)</f>
        <v>489537</v>
      </c>
      <c r="U916" s="1">
        <f ca="1">IFERROR(__xludf.DUMMYFUNCTION("""COMPUTED_VALUE"""),8.5)</f>
        <v>8.5</v>
      </c>
    </row>
    <row r="917" spans="1:21" ht="12.75" x14ac:dyDescent="0.2">
      <c r="A917" s="3">
        <f ca="1">IFERROR(__xludf.DUMMYFUNCTION("""COMPUTED_VALUE"""),40148.5097222222)</f>
        <v>40148.509722222203</v>
      </c>
      <c r="B917" s="1">
        <f ca="1">IFERROR(__xludf.DUMMYFUNCTION("""COMPUTED_VALUE"""),3.75)</f>
        <v>3.75</v>
      </c>
      <c r="E917" s="1" t="str">
        <f ca="1">IFERROR(__xludf.DUMMYFUNCTION("""COMPUTED_VALUE"""),"COLUMBIAN CANDLE ROUND")</f>
        <v>COLUMBIAN CANDLE ROUND</v>
      </c>
      <c r="F917" s="1">
        <f ca="1">IFERROR(__xludf.DUMMYFUNCTION("""COMPUTED_VALUE"""),6)</f>
        <v>6</v>
      </c>
      <c r="G917" s="1">
        <f ca="1">IFERROR(__xludf.DUMMYFUNCTION("""COMPUTED_VALUE"""),1.25)</f>
        <v>1.25</v>
      </c>
      <c r="J917" s="1" t="str">
        <f ca="1">IFERROR(__xludf.DUMMYFUNCTION("""COMPUTED_VALUE"""),"WHITE SKULL HOT WATER BOTTLE")</f>
        <v>WHITE SKULL HOT WATER BOTTLE</v>
      </c>
      <c r="K917" s="1">
        <f ca="1">IFERROR(__xludf.DUMMYFUNCTION("""COMPUTED_VALUE"""),2)</f>
        <v>2</v>
      </c>
      <c r="L917" s="1">
        <f ca="1">IFERROR(__xludf.DUMMYFUNCTION("""COMPUTED_VALUE"""),3.75)</f>
        <v>3.75</v>
      </c>
      <c r="T917" s="1">
        <f ca="1">IFERROR(__xludf.DUMMYFUNCTION("""COMPUTED_VALUE"""),489537)</f>
        <v>489537</v>
      </c>
      <c r="U917" s="1">
        <f ca="1">IFERROR(__xludf.DUMMYFUNCTION("""COMPUTED_VALUE"""),7.5)</f>
        <v>7.5</v>
      </c>
    </row>
    <row r="918" spans="1:21" ht="12.75" x14ac:dyDescent="0.2">
      <c r="A918" s="3">
        <f ca="1">IFERROR(__xludf.DUMMYFUNCTION("""COMPUTED_VALUE"""),40148.5097222222)</f>
        <v>40148.509722222203</v>
      </c>
      <c r="B918" s="1">
        <f ca="1">IFERROR(__xludf.DUMMYFUNCTION("""COMPUTED_VALUE"""),3.75)</f>
        <v>3.75</v>
      </c>
      <c r="E918" s="1" t="str">
        <f ca="1">IFERROR(__xludf.DUMMYFUNCTION("""COMPUTED_VALUE"""),"ASSORTED TUTTI FRUTTI PHOTO FRAME")</f>
        <v>ASSORTED TUTTI FRUTTI PHOTO FRAME</v>
      </c>
      <c r="F918" s="1">
        <f ca="1">IFERROR(__xludf.DUMMYFUNCTION("""COMPUTED_VALUE"""),6)</f>
        <v>6</v>
      </c>
      <c r="G918" s="1">
        <f ca="1">IFERROR(__xludf.DUMMYFUNCTION("""COMPUTED_VALUE"""),2.95)</f>
        <v>2.95</v>
      </c>
      <c r="J918" s="1" t="str">
        <f ca="1">IFERROR(__xludf.DUMMYFUNCTION("""COMPUTED_VALUE"""),"PINK HEART DOTS HOT WATER BOTTLE")</f>
        <v>PINK HEART DOTS HOT WATER BOTTLE</v>
      </c>
      <c r="K918" s="1">
        <f ca="1">IFERROR(__xludf.DUMMYFUNCTION("""COMPUTED_VALUE"""),2)</f>
        <v>2</v>
      </c>
      <c r="L918" s="1">
        <f ca="1">IFERROR(__xludf.DUMMYFUNCTION("""COMPUTED_VALUE"""),3.75)</f>
        <v>3.75</v>
      </c>
      <c r="T918" s="1">
        <f ca="1">IFERROR(__xludf.DUMMYFUNCTION("""COMPUTED_VALUE"""),489537)</f>
        <v>489537</v>
      </c>
      <c r="U918" s="1">
        <f ca="1">IFERROR(__xludf.DUMMYFUNCTION("""COMPUTED_VALUE"""),7.5)</f>
        <v>7.5</v>
      </c>
    </row>
    <row r="919" spans="1:21" ht="12.75" x14ac:dyDescent="0.2">
      <c r="A919" s="3">
        <f ca="1">IFERROR(__xludf.DUMMYFUNCTION("""COMPUTED_VALUE"""),40148.5097222222)</f>
        <v>40148.509722222203</v>
      </c>
      <c r="B919" s="1">
        <f ca="1">IFERROR(__xludf.DUMMYFUNCTION("""COMPUTED_VALUE"""),6.75)</f>
        <v>6.75</v>
      </c>
      <c r="E919" s="1" t="str">
        <f ca="1">IFERROR(__xludf.DUMMYFUNCTION("""COMPUTED_VALUE"""),"GREY HEART HOT WATER BOTTLE")</f>
        <v>GREY HEART HOT WATER BOTTLE</v>
      </c>
      <c r="F919" s="1">
        <f ca="1">IFERROR(__xludf.DUMMYFUNCTION("""COMPUTED_VALUE"""),4)</f>
        <v>4</v>
      </c>
      <c r="G919" s="1">
        <f ca="1">IFERROR(__xludf.DUMMYFUNCTION("""COMPUTED_VALUE"""),3.45)</f>
        <v>3.45</v>
      </c>
      <c r="J919" s="1" t="str">
        <f ca="1">IFERROR(__xludf.DUMMYFUNCTION("""COMPUTED_VALUE"""),"CINAMMON &amp; ORANGE WREATH")</f>
        <v>CINAMMON &amp; ORANGE WREATH</v>
      </c>
      <c r="K919" s="1">
        <f ca="1">IFERROR(__xludf.DUMMYFUNCTION("""COMPUTED_VALUE"""),2)</f>
        <v>2</v>
      </c>
      <c r="L919" s="1">
        <f ca="1">IFERROR(__xludf.DUMMYFUNCTION("""COMPUTED_VALUE"""),6.75)</f>
        <v>6.75</v>
      </c>
      <c r="T919" s="1">
        <f ca="1">IFERROR(__xludf.DUMMYFUNCTION("""COMPUTED_VALUE"""),489537)</f>
        <v>489537</v>
      </c>
      <c r="U919" s="1">
        <f ca="1">IFERROR(__xludf.DUMMYFUNCTION("""COMPUTED_VALUE"""),13.5)</f>
        <v>13.5</v>
      </c>
    </row>
    <row r="920" spans="1:21" ht="12.75" x14ac:dyDescent="0.2">
      <c r="A920" s="3">
        <f ca="1">IFERROR(__xludf.DUMMYFUNCTION("""COMPUTED_VALUE"""),40148.5097222222)</f>
        <v>40148.509722222203</v>
      </c>
      <c r="B920" s="1">
        <f ca="1">IFERROR(__xludf.DUMMYFUNCTION("""COMPUTED_VALUE"""),6.75)</f>
        <v>6.75</v>
      </c>
      <c r="E920" s="1" t="str">
        <f ca="1">IFERROR(__xludf.DUMMYFUNCTION("""COMPUTED_VALUE"""),"RED WOOLLY HOTTIE WHITE HEART.")</f>
        <v>RED WOOLLY HOTTIE WHITE HEART.</v>
      </c>
      <c r="F920" s="1">
        <f ca="1">IFERROR(__xludf.DUMMYFUNCTION("""COMPUTED_VALUE"""),4)</f>
        <v>4</v>
      </c>
      <c r="G920" s="1">
        <f ca="1">IFERROR(__xludf.DUMMYFUNCTION("""COMPUTED_VALUE"""),3.75)</f>
        <v>3.75</v>
      </c>
      <c r="J920" s="1" t="str">
        <f ca="1">IFERROR(__xludf.DUMMYFUNCTION("""COMPUTED_VALUE"""),"DOOR MAT TOPIARY")</f>
        <v>DOOR MAT TOPIARY</v>
      </c>
      <c r="K920" s="1">
        <f ca="1">IFERROR(__xludf.DUMMYFUNCTION("""COMPUTED_VALUE"""),1)</f>
        <v>1</v>
      </c>
      <c r="L920" s="1">
        <f ca="1">IFERROR(__xludf.DUMMYFUNCTION("""COMPUTED_VALUE"""),6.75)</f>
        <v>6.75</v>
      </c>
      <c r="T920" s="1">
        <f ca="1">IFERROR(__xludf.DUMMYFUNCTION("""COMPUTED_VALUE"""),489537)</f>
        <v>489537</v>
      </c>
      <c r="U920" s="1">
        <f ca="1">IFERROR(__xludf.DUMMYFUNCTION("""COMPUTED_VALUE"""),6.75)</f>
        <v>6.75</v>
      </c>
    </row>
    <row r="921" spans="1:21" ht="12.75" x14ac:dyDescent="0.2">
      <c r="A921" s="3">
        <f ca="1">IFERROR(__xludf.DUMMYFUNCTION("""COMPUTED_VALUE"""),40148.5097222222)</f>
        <v>40148.509722222203</v>
      </c>
      <c r="B921" s="1">
        <f ca="1">IFERROR(__xludf.DUMMYFUNCTION("""COMPUTED_VALUE"""),6.75)</f>
        <v>6.75</v>
      </c>
      <c r="E921" s="1" t="str">
        <f ca="1">IFERROR(__xludf.DUMMYFUNCTION("""COMPUTED_VALUE"""),"ANTIQUE LILY FAIRY LIGHTS")</f>
        <v>ANTIQUE LILY FAIRY LIGHTS</v>
      </c>
      <c r="F921" s="1">
        <f ca="1">IFERROR(__xludf.DUMMYFUNCTION("""COMPUTED_VALUE"""),4)</f>
        <v>4</v>
      </c>
      <c r="G921" s="1">
        <f ca="1">IFERROR(__xludf.DUMMYFUNCTION("""COMPUTED_VALUE"""),4.95)</f>
        <v>4.95</v>
      </c>
      <c r="J921" s="1" t="str">
        <f ca="1">IFERROR(__xludf.DUMMYFUNCTION("""COMPUTED_VALUE"""),"FANCY FONT HOME SWEET HOME DOORMAT")</f>
        <v>FANCY FONT HOME SWEET HOME DOORMAT</v>
      </c>
      <c r="K921" s="1">
        <f ca="1">IFERROR(__xludf.DUMMYFUNCTION("""COMPUTED_VALUE"""),1)</f>
        <v>1</v>
      </c>
      <c r="L921" s="1">
        <f ca="1">IFERROR(__xludf.DUMMYFUNCTION("""COMPUTED_VALUE"""),6.75)</f>
        <v>6.75</v>
      </c>
      <c r="T921" s="1">
        <f ca="1">IFERROR(__xludf.DUMMYFUNCTION("""COMPUTED_VALUE"""),489537)</f>
        <v>489537</v>
      </c>
      <c r="U921" s="1">
        <f ca="1">IFERROR(__xludf.DUMMYFUNCTION("""COMPUTED_VALUE"""),6.75)</f>
        <v>6.75</v>
      </c>
    </row>
    <row r="922" spans="1:21" ht="12.75" x14ac:dyDescent="0.2">
      <c r="A922" s="3">
        <f ca="1">IFERROR(__xludf.DUMMYFUNCTION("""COMPUTED_VALUE"""),40148.5097222222)</f>
        <v>40148.509722222203</v>
      </c>
      <c r="B922" s="1">
        <f ca="1">IFERROR(__xludf.DUMMYFUNCTION("""COMPUTED_VALUE"""),19.95)</f>
        <v>19.95</v>
      </c>
      <c r="E922" s="1" t="str">
        <f ca="1">IFERROR(__xludf.DUMMYFUNCTION("""COMPUTED_VALUE"""),"HEART FILIGREE DOVE  SMALL")</f>
        <v>HEART FILIGREE DOVE  SMALL</v>
      </c>
      <c r="F922" s="1">
        <f ca="1">IFERROR(__xludf.DUMMYFUNCTION("""COMPUTED_VALUE"""),24)</f>
        <v>24</v>
      </c>
      <c r="G922" s="1">
        <f ca="1">IFERROR(__xludf.DUMMYFUNCTION("""COMPUTED_VALUE"""),1.25)</f>
        <v>1.25</v>
      </c>
      <c r="J922" s="1" t="str">
        <f ca="1">IFERROR(__xludf.DUMMYFUNCTION("""COMPUTED_VALUE"""),"SET 3 WICKER LOG BASKETS")</f>
        <v>SET 3 WICKER LOG BASKETS</v>
      </c>
      <c r="K922" s="1">
        <f ca="1">IFERROR(__xludf.DUMMYFUNCTION("""COMPUTED_VALUE"""),1)</f>
        <v>1</v>
      </c>
      <c r="L922" s="1">
        <f ca="1">IFERROR(__xludf.DUMMYFUNCTION("""COMPUTED_VALUE"""),19.95)</f>
        <v>19.95</v>
      </c>
      <c r="T922" s="1">
        <f ca="1">IFERROR(__xludf.DUMMYFUNCTION("""COMPUTED_VALUE"""),489537)</f>
        <v>489537</v>
      </c>
      <c r="U922" s="1">
        <f ca="1">IFERROR(__xludf.DUMMYFUNCTION("""COMPUTED_VALUE"""),19.95)</f>
        <v>19.95</v>
      </c>
    </row>
    <row r="923" spans="1:21" ht="12.75" x14ac:dyDescent="0.2">
      <c r="A923" s="3">
        <f ca="1">IFERROR(__xludf.DUMMYFUNCTION("""COMPUTED_VALUE"""),40148.5097222222)</f>
        <v>40148.509722222203</v>
      </c>
      <c r="B923" s="1">
        <f ca="1">IFERROR(__xludf.DUMMYFUNCTION("""COMPUTED_VALUE"""),4.25)</f>
        <v>4.25</v>
      </c>
      <c r="E923" s="1" t="str">
        <f ca="1">IFERROR(__xludf.DUMMYFUNCTION("""COMPUTED_VALUE"""),"VICTORIAN GLASS HANGING T-LIGHT")</f>
        <v>VICTORIAN GLASS HANGING T-LIGHT</v>
      </c>
      <c r="F923" s="1">
        <f ca="1">IFERROR(__xludf.DUMMYFUNCTION("""COMPUTED_VALUE"""),12)</f>
        <v>12</v>
      </c>
      <c r="G923" s="1">
        <f ca="1">IFERROR(__xludf.DUMMYFUNCTION("""COMPUTED_VALUE"""),1.25)</f>
        <v>1.25</v>
      </c>
      <c r="J923" s="1" t="str">
        <f ca="1">IFERROR(__xludf.DUMMYFUNCTION("""COMPUTED_VALUE"""),"FRYING PAN UNION FLAG")</f>
        <v>FRYING PAN UNION FLAG</v>
      </c>
      <c r="K923" s="1">
        <f ca="1">IFERROR(__xludf.DUMMYFUNCTION("""COMPUTED_VALUE"""),1)</f>
        <v>1</v>
      </c>
      <c r="L923" s="1">
        <f ca="1">IFERROR(__xludf.DUMMYFUNCTION("""COMPUTED_VALUE"""),4.25)</f>
        <v>4.25</v>
      </c>
      <c r="T923" s="1">
        <f ca="1">IFERROR(__xludf.DUMMYFUNCTION("""COMPUTED_VALUE"""),489537)</f>
        <v>489537</v>
      </c>
      <c r="U923" s="1">
        <f ca="1">IFERROR(__xludf.DUMMYFUNCTION("""COMPUTED_VALUE"""),4.25)</f>
        <v>4.25</v>
      </c>
    </row>
    <row r="924" spans="1:21" ht="12.75" x14ac:dyDescent="0.2">
      <c r="A924" s="3">
        <f ca="1">IFERROR(__xludf.DUMMYFUNCTION("""COMPUTED_VALUE"""),40148.5097222222)</f>
        <v>40148.509722222203</v>
      </c>
      <c r="B924" s="1">
        <f ca="1">IFERROR(__xludf.DUMMYFUNCTION("""COMPUTED_VALUE"""),0.85)</f>
        <v>0.85</v>
      </c>
      <c r="E924" s="1" t="str">
        <f ca="1">IFERROR(__xludf.DUMMYFUNCTION("""COMPUTED_VALUE"""),"WHITE CHRISTMAS GARLAND STARS TREES")</f>
        <v>WHITE CHRISTMAS GARLAND STARS TREES</v>
      </c>
      <c r="F924" s="1">
        <f ca="1">IFERROR(__xludf.DUMMYFUNCTION("""COMPUTED_VALUE"""),12)</f>
        <v>12</v>
      </c>
      <c r="G924" s="1">
        <f ca="1">IFERROR(__xludf.DUMMYFUNCTION("""COMPUTED_VALUE"""),3.75)</f>
        <v>3.75</v>
      </c>
      <c r="J924" s="1" t="str">
        <f ca="1">IFERROR(__xludf.DUMMYFUNCTION("""COMPUTED_VALUE"""),"LIGHT BIRD HOUSE TREE DECORATION")</f>
        <v>LIGHT BIRD HOUSE TREE DECORATION</v>
      </c>
      <c r="K924" s="1">
        <f ca="1">IFERROR(__xludf.DUMMYFUNCTION("""COMPUTED_VALUE"""),1)</f>
        <v>1</v>
      </c>
      <c r="L924" s="1">
        <f ca="1">IFERROR(__xludf.DUMMYFUNCTION("""COMPUTED_VALUE"""),0.85)</f>
        <v>0.85</v>
      </c>
      <c r="T924" s="1">
        <f ca="1">IFERROR(__xludf.DUMMYFUNCTION("""COMPUTED_VALUE"""),489537)</f>
        <v>489537</v>
      </c>
      <c r="U924" s="1">
        <f ca="1">IFERROR(__xludf.DUMMYFUNCTION("""COMPUTED_VALUE"""),0.85)</f>
        <v>0.85</v>
      </c>
    </row>
    <row r="925" spans="1:21" ht="12.75" x14ac:dyDescent="0.2">
      <c r="A925" s="3">
        <f ca="1">IFERROR(__xludf.DUMMYFUNCTION("""COMPUTED_VALUE"""),40148.5097222222)</f>
        <v>40148.509722222203</v>
      </c>
      <c r="B925" s="1">
        <f ca="1">IFERROR(__xludf.DUMMYFUNCTION("""COMPUTED_VALUE"""),2.95)</f>
        <v>2.95</v>
      </c>
      <c r="E925" s="1" t="str">
        <f ca="1">IFERROR(__xludf.DUMMYFUNCTION("""COMPUTED_VALUE"""),"S/4 FESTIVE RED DINNER CANDLES")</f>
        <v>S/4 FESTIVE RED DINNER CANDLES</v>
      </c>
      <c r="F925" s="1">
        <f ca="1">IFERROR(__xludf.DUMMYFUNCTION("""COMPUTED_VALUE"""),6)</f>
        <v>6</v>
      </c>
      <c r="G925" s="1">
        <f ca="1">IFERROR(__xludf.DUMMYFUNCTION("""COMPUTED_VALUE"""),1.25)</f>
        <v>1.25</v>
      </c>
      <c r="J925" s="1" t="str">
        <f ca="1">IFERROR(__xludf.DUMMYFUNCTION("""COMPUTED_VALUE"""),"METAL SIGN EMPIRE TEA")</f>
        <v>METAL SIGN EMPIRE TEA</v>
      </c>
      <c r="K925" s="1">
        <f ca="1">IFERROR(__xludf.DUMMYFUNCTION("""COMPUTED_VALUE"""),1)</f>
        <v>1</v>
      </c>
      <c r="L925" s="1">
        <f ca="1">IFERROR(__xludf.DUMMYFUNCTION("""COMPUTED_VALUE"""),2.95)</f>
        <v>2.95</v>
      </c>
      <c r="T925" s="1">
        <f ca="1">IFERROR(__xludf.DUMMYFUNCTION("""COMPUTED_VALUE"""),489537)</f>
        <v>489537</v>
      </c>
      <c r="U925" s="1">
        <f ca="1">IFERROR(__xludf.DUMMYFUNCTION("""COMPUTED_VALUE"""),2.95)</f>
        <v>2.95</v>
      </c>
    </row>
    <row r="926" spans="1:21" ht="12.75" x14ac:dyDescent="0.2">
      <c r="A926" s="3">
        <f ca="1">IFERROR(__xludf.DUMMYFUNCTION("""COMPUTED_VALUE"""),40148.5097222222)</f>
        <v>40148.509722222203</v>
      </c>
      <c r="B926" s="1">
        <f ca="1">IFERROR(__xludf.DUMMYFUNCTION("""COMPUTED_VALUE"""),4.25)</f>
        <v>4.25</v>
      </c>
      <c r="E926" s="1" t="str">
        <f ca="1">IFERROR(__xludf.DUMMYFUNCTION("""COMPUTED_VALUE"""),"POTTING SHED TEA MUG")</f>
        <v>POTTING SHED TEA MUG</v>
      </c>
      <c r="F926" s="1">
        <f ca="1">IFERROR(__xludf.DUMMYFUNCTION("""COMPUTED_VALUE"""),6)</f>
        <v>6</v>
      </c>
      <c r="G926" s="1">
        <f ca="1">IFERROR(__xludf.DUMMYFUNCTION("""COMPUTED_VALUE"""),1.25)</f>
        <v>1.25</v>
      </c>
      <c r="J926" s="1" t="str">
        <f ca="1">IFERROR(__xludf.DUMMYFUNCTION("""COMPUTED_VALUE"""),"BROWN CHECK CAT DOORSTOP")</f>
        <v>BROWN CHECK CAT DOORSTOP</v>
      </c>
      <c r="K926" s="1">
        <f ca="1">IFERROR(__xludf.DUMMYFUNCTION("""COMPUTED_VALUE"""),1)</f>
        <v>1</v>
      </c>
      <c r="L926" s="1">
        <f ca="1">IFERROR(__xludf.DUMMYFUNCTION("""COMPUTED_VALUE"""),4.25)</f>
        <v>4.25</v>
      </c>
      <c r="T926" s="1">
        <f ca="1">IFERROR(__xludf.DUMMYFUNCTION("""COMPUTED_VALUE"""),489537)</f>
        <v>489537</v>
      </c>
      <c r="U926" s="1">
        <f ca="1">IFERROR(__xludf.DUMMYFUNCTION("""COMPUTED_VALUE"""),4.25)</f>
        <v>4.25</v>
      </c>
    </row>
    <row r="927" spans="1:21" ht="12.75" x14ac:dyDescent="0.2">
      <c r="A927" s="3">
        <f ca="1">IFERROR(__xludf.DUMMYFUNCTION("""COMPUTED_VALUE"""),40148.5097222222)</f>
        <v>40148.509722222203</v>
      </c>
      <c r="B927" s="1">
        <f ca="1">IFERROR(__xludf.DUMMYFUNCTION("""COMPUTED_VALUE"""),2.55)</f>
        <v>2.5499999999999998</v>
      </c>
      <c r="E927" s="1" t="str">
        <f ca="1">IFERROR(__xludf.DUMMYFUNCTION("""COMPUTED_VALUE"""),"PAPER CHAIN KIT 50'S CHRISTMAS")</f>
        <v>PAPER CHAIN KIT 50'S CHRISTMAS</v>
      </c>
      <c r="F927" s="1">
        <f ca="1">IFERROR(__xludf.DUMMYFUNCTION("""COMPUTED_VALUE"""),5)</f>
        <v>5</v>
      </c>
      <c r="G927" s="1">
        <f ca="1">IFERROR(__xludf.DUMMYFUNCTION("""COMPUTED_VALUE"""),2.95)</f>
        <v>2.95</v>
      </c>
      <c r="J927" s="1" t="str">
        <f ca="1">IFERROR(__xludf.DUMMYFUNCTION("""COMPUTED_VALUE"""),"4 IVORY DINNER CANDLES GOLD FLOCK")</f>
        <v>4 IVORY DINNER CANDLES GOLD FLOCK</v>
      </c>
      <c r="K927" s="1">
        <f ca="1">IFERROR(__xludf.DUMMYFUNCTION("""COMPUTED_VALUE"""),1)</f>
        <v>1</v>
      </c>
      <c r="L927" s="1">
        <f ca="1">IFERROR(__xludf.DUMMYFUNCTION("""COMPUTED_VALUE"""),2.55)</f>
        <v>2.5499999999999998</v>
      </c>
      <c r="T927" s="1">
        <f ca="1">IFERROR(__xludf.DUMMYFUNCTION("""COMPUTED_VALUE"""),489537)</f>
        <v>489537</v>
      </c>
      <c r="U927" s="1">
        <f ca="1">IFERROR(__xludf.DUMMYFUNCTION("""COMPUTED_VALUE"""),2.55)</f>
        <v>2.5499999999999998</v>
      </c>
    </row>
    <row r="928" spans="1:21" ht="12.75" x14ac:dyDescent="0.2">
      <c r="A928" s="3">
        <f ca="1">IFERROR(__xludf.DUMMYFUNCTION("""COMPUTED_VALUE"""),40148.5097222222)</f>
        <v>40148.509722222203</v>
      </c>
      <c r="B928" s="1">
        <f ca="1">IFERROR(__xludf.DUMMYFUNCTION("""COMPUTED_VALUE"""),4.95)</f>
        <v>4.95</v>
      </c>
      <c r="E928" s="1" t="str">
        <f ca="1">IFERROR(__xludf.DUMMYFUNCTION("""COMPUTED_VALUE"""),"FOLDING UMBRELLA , BLACK/BLUE  SPOT")</f>
        <v>FOLDING UMBRELLA , BLACK/BLUE  SPOT</v>
      </c>
      <c r="F928" s="1">
        <f ca="1">IFERROR(__xludf.DUMMYFUNCTION("""COMPUTED_VALUE"""),1)</f>
        <v>1</v>
      </c>
      <c r="G928" s="1">
        <f ca="1">IFERROR(__xludf.DUMMYFUNCTION("""COMPUTED_VALUE"""),4.95)</f>
        <v>4.95</v>
      </c>
      <c r="J928" s="1" t="str">
        <f ca="1">IFERROR(__xludf.DUMMYFUNCTION("""COMPUTED_VALUE"""),"GARLAND WITH STARS AND BELLS")</f>
        <v>GARLAND WITH STARS AND BELLS</v>
      </c>
      <c r="K928" s="1">
        <f ca="1">IFERROR(__xludf.DUMMYFUNCTION("""COMPUTED_VALUE"""),1)</f>
        <v>1</v>
      </c>
      <c r="L928" s="1">
        <f ca="1">IFERROR(__xludf.DUMMYFUNCTION("""COMPUTED_VALUE"""),4.95)</f>
        <v>4.95</v>
      </c>
      <c r="T928" s="1">
        <f ca="1">IFERROR(__xludf.DUMMYFUNCTION("""COMPUTED_VALUE"""),489537)</f>
        <v>489537</v>
      </c>
      <c r="U928" s="1">
        <f ca="1">IFERROR(__xludf.DUMMYFUNCTION("""COMPUTED_VALUE"""),4.95)</f>
        <v>4.95</v>
      </c>
    </row>
    <row r="929" spans="1:21" ht="12.75" x14ac:dyDescent="0.2">
      <c r="A929" s="3">
        <f ca="1">IFERROR(__xludf.DUMMYFUNCTION("""COMPUTED_VALUE"""),40148.5097222222)</f>
        <v>40148.509722222203</v>
      </c>
      <c r="B929" s="1">
        <f ca="1">IFERROR(__xludf.DUMMYFUNCTION("""COMPUTED_VALUE"""),3.75)</f>
        <v>3.75</v>
      </c>
      <c r="E929" s="1" t="str">
        <f ca="1">IFERROR(__xludf.DUMMYFUNCTION("""COMPUTED_VALUE"""),"PIZZA PLATE IN BOX")</f>
        <v>PIZZA PLATE IN BOX</v>
      </c>
      <c r="F929" s="1">
        <f ca="1">IFERROR(__xludf.DUMMYFUNCTION("""COMPUTED_VALUE"""),-1)</f>
        <v>-1</v>
      </c>
      <c r="G929" s="1">
        <f ca="1">IFERROR(__xludf.DUMMYFUNCTION("""COMPUTED_VALUE"""),3.75)</f>
        <v>3.75</v>
      </c>
      <c r="J929" s="1" t="str">
        <f ca="1">IFERROR(__xludf.DUMMYFUNCTION("""COMPUTED_VALUE"""),"RED WOOLLY HOTTIE WHITE HEART.")</f>
        <v>RED WOOLLY HOTTIE WHITE HEART.</v>
      </c>
      <c r="K929" s="1">
        <f ca="1">IFERROR(__xludf.DUMMYFUNCTION("""COMPUTED_VALUE"""),1)</f>
        <v>1</v>
      </c>
      <c r="L929" s="1">
        <f ca="1">IFERROR(__xludf.DUMMYFUNCTION("""COMPUTED_VALUE"""),3.75)</f>
        <v>3.75</v>
      </c>
      <c r="T929" s="1">
        <f ca="1">IFERROR(__xludf.DUMMYFUNCTION("""COMPUTED_VALUE"""),489537)</f>
        <v>489537</v>
      </c>
      <c r="U929" s="1">
        <f ca="1">IFERROR(__xludf.DUMMYFUNCTION("""COMPUTED_VALUE"""),3.75)</f>
        <v>3.75</v>
      </c>
    </row>
    <row r="930" spans="1:21" ht="12.75" x14ac:dyDescent="0.2">
      <c r="A930" s="3">
        <f ca="1">IFERROR(__xludf.DUMMYFUNCTION("""COMPUTED_VALUE"""),40148.5125)</f>
        <v>40148.512499999997</v>
      </c>
      <c r="B930" s="1">
        <f ca="1">IFERROR(__xludf.DUMMYFUNCTION("""COMPUTED_VALUE"""),1.45)</f>
        <v>1.45</v>
      </c>
      <c r="E930" s="1" t="str">
        <f ca="1">IFERROR(__xludf.DUMMYFUNCTION("""COMPUTED_VALUE"""),"BAKING SET 9 PIECE RETROSPOT")</f>
        <v>BAKING SET 9 PIECE RETROSPOT</v>
      </c>
      <c r="F930" s="1">
        <f ca="1">IFERROR(__xludf.DUMMYFUNCTION("""COMPUTED_VALUE"""),-1)</f>
        <v>-1</v>
      </c>
      <c r="G930" s="1">
        <f ca="1">IFERROR(__xludf.DUMMYFUNCTION("""COMPUTED_VALUE"""),4.95)</f>
        <v>4.95</v>
      </c>
      <c r="J930" s="1" t="str">
        <f ca="1">IFERROR(__xludf.DUMMYFUNCTION("""COMPUTED_VALUE"""),"SET/4 BLUE FLOWER CANDLES IN BOWL")</f>
        <v>SET/4 BLUE FLOWER CANDLES IN BOWL</v>
      </c>
      <c r="K930" s="1">
        <f ca="1">IFERROR(__xludf.DUMMYFUNCTION("""COMPUTED_VALUE"""),192)</f>
        <v>192</v>
      </c>
      <c r="L930" s="1">
        <f ca="1">IFERROR(__xludf.DUMMYFUNCTION("""COMPUTED_VALUE"""),1.45)</f>
        <v>1.45</v>
      </c>
      <c r="T930" s="1">
        <f ca="1">IFERROR(__xludf.DUMMYFUNCTION("""COMPUTED_VALUE"""),489539)</f>
        <v>489539</v>
      </c>
      <c r="U930" s="1">
        <f ca="1">IFERROR(__xludf.DUMMYFUNCTION("""COMPUTED_VALUE"""),278.4)</f>
        <v>278.39999999999998</v>
      </c>
    </row>
    <row r="931" spans="1:21" ht="12.75" x14ac:dyDescent="0.2">
      <c r="A931" s="3">
        <f ca="1">IFERROR(__xludf.DUMMYFUNCTION("""COMPUTED_VALUE"""),40148.5125)</f>
        <v>40148.512499999997</v>
      </c>
      <c r="B931" s="1">
        <f ca="1">IFERROR(__xludf.DUMMYFUNCTION("""COMPUTED_VALUE"""),0.21)</f>
        <v>0.21</v>
      </c>
      <c r="E931" s="1" t="str">
        <f ca="1">IFERROR(__xludf.DUMMYFUNCTION("""COMPUTED_VALUE"""),"RED SPOTTY BISCUIT TIN")</f>
        <v>RED SPOTTY BISCUIT TIN</v>
      </c>
      <c r="F931" s="1">
        <f ca="1">IFERROR(__xludf.DUMMYFUNCTION("""COMPUTED_VALUE"""),-1)</f>
        <v>-1</v>
      </c>
      <c r="G931" s="1">
        <f ca="1">IFERROR(__xludf.DUMMYFUNCTION("""COMPUTED_VALUE"""),3.75)</f>
        <v>3.75</v>
      </c>
      <c r="J931" s="1" t="str">
        <f ca="1">IFERROR(__xludf.DUMMYFUNCTION("""COMPUTED_VALUE"""),"SLEEPING CAT ERASERS")</f>
        <v>SLEEPING CAT ERASERS</v>
      </c>
      <c r="K931" s="1">
        <f ca="1">IFERROR(__xludf.DUMMYFUNCTION("""COMPUTED_VALUE"""),180)</f>
        <v>180</v>
      </c>
      <c r="L931" s="1">
        <f ca="1">IFERROR(__xludf.DUMMYFUNCTION("""COMPUTED_VALUE"""),0.21)</f>
        <v>0.21</v>
      </c>
      <c r="T931" s="1">
        <f ca="1">IFERROR(__xludf.DUMMYFUNCTION("""COMPUTED_VALUE"""),489539)</f>
        <v>489539</v>
      </c>
      <c r="U931" s="1">
        <f ca="1">IFERROR(__xludf.DUMMYFUNCTION("""COMPUTED_VALUE"""),37.8)</f>
        <v>37.799999999999997</v>
      </c>
    </row>
    <row r="932" spans="1:21" ht="12.75" x14ac:dyDescent="0.2">
      <c r="A932" s="3">
        <f ca="1">IFERROR(__xludf.DUMMYFUNCTION("""COMPUTED_VALUE"""),40148.5125)</f>
        <v>40148.512499999997</v>
      </c>
      <c r="B932" s="1">
        <f ca="1">IFERROR(__xludf.DUMMYFUNCTION("""COMPUTED_VALUE"""),2.55)</f>
        <v>2.5499999999999998</v>
      </c>
      <c r="E932" s="1" t="str">
        <f ca="1">IFERROR(__xludf.DUMMYFUNCTION("""COMPUTED_VALUE"""),"HANGING BAUBLE T-LIGHT HOLDER LARGE")</f>
        <v>HANGING BAUBLE T-LIGHT HOLDER LARGE</v>
      </c>
      <c r="F932" s="1">
        <f ca="1">IFERROR(__xludf.DUMMYFUNCTION("""COMPUTED_VALUE"""),-1)</f>
        <v>-1</v>
      </c>
      <c r="G932" s="1">
        <f ca="1">IFERROR(__xludf.DUMMYFUNCTION("""COMPUTED_VALUE"""),2.95)</f>
        <v>2.95</v>
      </c>
      <c r="J932" s="1" t="str">
        <f ca="1">IFERROR(__xludf.DUMMYFUNCTION("""COMPUTED_VALUE"""),"PAPER CHAIN KIT 50'S CHRISTMAS")</f>
        <v>PAPER CHAIN KIT 50'S CHRISTMAS</v>
      </c>
      <c r="K932" s="1">
        <f ca="1">IFERROR(__xludf.DUMMYFUNCTION("""COMPUTED_VALUE"""),160)</f>
        <v>160</v>
      </c>
      <c r="L932" s="1">
        <f ca="1">IFERROR(__xludf.DUMMYFUNCTION("""COMPUTED_VALUE"""),2.55)</f>
        <v>2.5499999999999998</v>
      </c>
      <c r="T932" s="1">
        <f ca="1">IFERROR(__xludf.DUMMYFUNCTION("""COMPUTED_VALUE"""),489539)</f>
        <v>489539</v>
      </c>
      <c r="U932" s="1">
        <f ca="1">IFERROR(__xludf.DUMMYFUNCTION("""COMPUTED_VALUE"""),408)</f>
        <v>408</v>
      </c>
    </row>
    <row r="933" spans="1:21" ht="12.75" x14ac:dyDescent="0.2">
      <c r="A933" s="3">
        <f ca="1">IFERROR(__xludf.DUMMYFUNCTION("""COMPUTED_VALUE"""),40148.5125)</f>
        <v>40148.512499999997</v>
      </c>
      <c r="B933" s="1">
        <f ca="1">IFERROR(__xludf.DUMMYFUNCTION("""COMPUTED_VALUE"""),2.55)</f>
        <v>2.5499999999999998</v>
      </c>
      <c r="E933" s="1" t="str">
        <f ca="1">IFERROR(__xludf.DUMMYFUNCTION("""COMPUTED_VALUE"""),"HEART IVORY TRELLIS SMALL")</f>
        <v>HEART IVORY TRELLIS SMALL</v>
      </c>
      <c r="F933" s="1">
        <f ca="1">IFERROR(__xludf.DUMMYFUNCTION("""COMPUTED_VALUE"""),8)</f>
        <v>8</v>
      </c>
      <c r="G933" s="1">
        <f ca="1">IFERROR(__xludf.DUMMYFUNCTION("""COMPUTED_VALUE"""),1.25)</f>
        <v>1.25</v>
      </c>
      <c r="J933" s="1" t="str">
        <f ca="1">IFERROR(__xludf.DUMMYFUNCTION("""COMPUTED_VALUE"""),"PAPER CHAIN KIT RETRO SPOT")</f>
        <v>PAPER CHAIN KIT RETRO SPOT</v>
      </c>
      <c r="K933" s="1">
        <f ca="1">IFERROR(__xludf.DUMMYFUNCTION("""COMPUTED_VALUE"""),160)</f>
        <v>160</v>
      </c>
      <c r="L933" s="1">
        <f ca="1">IFERROR(__xludf.DUMMYFUNCTION("""COMPUTED_VALUE"""),2.55)</f>
        <v>2.5499999999999998</v>
      </c>
      <c r="T933" s="1">
        <f ca="1">IFERROR(__xludf.DUMMYFUNCTION("""COMPUTED_VALUE"""),489539)</f>
        <v>489539</v>
      </c>
      <c r="U933" s="1">
        <f ca="1">IFERROR(__xludf.DUMMYFUNCTION("""COMPUTED_VALUE"""),408)</f>
        <v>408</v>
      </c>
    </row>
    <row r="934" spans="1:21" ht="12.75" x14ac:dyDescent="0.2">
      <c r="A934" s="3">
        <f ca="1">IFERROR(__xludf.DUMMYFUNCTION("""COMPUTED_VALUE"""),40148.5125)</f>
        <v>40148.512499999997</v>
      </c>
      <c r="B934" s="1">
        <f ca="1">IFERROR(__xludf.DUMMYFUNCTION("""COMPUTED_VALUE"""),0.85)</f>
        <v>0.85</v>
      </c>
      <c r="E934" s="1" t="str">
        <f ca="1">IFERROR(__xludf.DUMMYFUNCTION("""COMPUTED_VALUE"""),"HEART GARLAND RUSTIC PADDED")</f>
        <v>HEART GARLAND RUSTIC PADDED</v>
      </c>
      <c r="F934" s="1">
        <f ca="1">IFERROR(__xludf.DUMMYFUNCTION("""COMPUTED_VALUE"""),5)</f>
        <v>5</v>
      </c>
      <c r="G934" s="1">
        <f ca="1">IFERROR(__xludf.DUMMYFUNCTION("""COMPUTED_VALUE"""),2.95)</f>
        <v>2.95</v>
      </c>
      <c r="J934" s="1" t="str">
        <f ca="1">IFERROR(__xludf.DUMMYFUNCTION("""COMPUTED_VALUE"""),"BIG DOUGHNUT FRIDGE MAGNETS")</f>
        <v>BIG DOUGHNUT FRIDGE MAGNETS</v>
      </c>
      <c r="K934" s="1">
        <f ca="1">IFERROR(__xludf.DUMMYFUNCTION("""COMPUTED_VALUE"""),144)</f>
        <v>144</v>
      </c>
      <c r="L934" s="1">
        <f ca="1">IFERROR(__xludf.DUMMYFUNCTION("""COMPUTED_VALUE"""),0.85)</f>
        <v>0.85</v>
      </c>
      <c r="T934" s="1">
        <f ca="1">IFERROR(__xludf.DUMMYFUNCTION("""COMPUTED_VALUE"""),489539)</f>
        <v>489539</v>
      </c>
      <c r="U934" s="1">
        <f ca="1">IFERROR(__xludf.DUMMYFUNCTION("""COMPUTED_VALUE"""),122.399999999999)</f>
        <v>122.399999999999</v>
      </c>
    </row>
    <row r="935" spans="1:21" ht="12.75" x14ac:dyDescent="0.2">
      <c r="A935" s="3">
        <f ca="1">IFERROR(__xludf.DUMMYFUNCTION("""COMPUTED_VALUE"""),40148.5125)</f>
        <v>40148.512499999997</v>
      </c>
      <c r="B935" s="1">
        <f ca="1">IFERROR(__xludf.DUMMYFUNCTION("""COMPUTED_VALUE"""),0.34)</f>
        <v>0.34</v>
      </c>
      <c r="E935" s="1" t="str">
        <f ca="1">IFERROR(__xludf.DUMMYFUNCTION("""COMPUTED_VALUE"""),"HEART IVORY TRELLIS LARGE")</f>
        <v>HEART IVORY TRELLIS LARGE</v>
      </c>
      <c r="F935" s="1">
        <f ca="1">IFERROR(__xludf.DUMMYFUNCTION("""COMPUTED_VALUE"""),4)</f>
        <v>4</v>
      </c>
      <c r="G935" s="1">
        <f ca="1">IFERROR(__xludf.DUMMYFUNCTION("""COMPUTED_VALUE"""),1.65)</f>
        <v>1.65</v>
      </c>
      <c r="J935" s="1" t="str">
        <f ca="1">IFERROR(__xludf.DUMMYFUNCTION("""COMPUTED_VALUE"""),"PINK SPOTS  WRAP")</f>
        <v>PINK SPOTS  WRAP</v>
      </c>
      <c r="K935" s="1">
        <f ca="1">IFERROR(__xludf.DUMMYFUNCTION("""COMPUTED_VALUE"""),100)</f>
        <v>100</v>
      </c>
      <c r="L935" s="1">
        <f ca="1">IFERROR(__xludf.DUMMYFUNCTION("""COMPUTED_VALUE"""),0.34)</f>
        <v>0.34</v>
      </c>
      <c r="T935" s="1">
        <f ca="1">IFERROR(__xludf.DUMMYFUNCTION("""COMPUTED_VALUE"""),489539)</f>
        <v>489539</v>
      </c>
      <c r="U935" s="1">
        <f ca="1">IFERROR(__xludf.DUMMYFUNCTION("""COMPUTED_VALUE"""),34)</f>
        <v>34</v>
      </c>
    </row>
    <row r="936" spans="1:21" ht="12.75" x14ac:dyDescent="0.2">
      <c r="A936" s="3">
        <f ca="1">IFERROR(__xludf.DUMMYFUNCTION("""COMPUTED_VALUE"""),40148.5125)</f>
        <v>40148.512499999997</v>
      </c>
      <c r="B936" s="1">
        <f ca="1">IFERROR(__xludf.DUMMYFUNCTION("""COMPUTED_VALUE"""),1.69)</f>
        <v>1.69</v>
      </c>
      <c r="E936" s="1" t="str">
        <f ca="1">IFERROR(__xludf.DUMMYFUNCTION("""COMPUTED_VALUE"""),"CREAM HEART CARD HOLDER")</f>
        <v>CREAM HEART CARD HOLDER</v>
      </c>
      <c r="F936" s="1">
        <f ca="1">IFERROR(__xludf.DUMMYFUNCTION("""COMPUTED_VALUE"""),2)</f>
        <v>2</v>
      </c>
      <c r="G936" s="1">
        <f ca="1">IFERROR(__xludf.DUMMYFUNCTION("""COMPUTED_VALUE"""),3.95)</f>
        <v>3.95</v>
      </c>
      <c r="J936" s="1" t="str">
        <f ca="1">IFERROR(__xludf.DUMMYFUNCTION("""COMPUTED_VALUE"""),"ASSORTED COLOUR BIRD ORNAMENT")</f>
        <v>ASSORTED COLOUR BIRD ORNAMENT</v>
      </c>
      <c r="K936" s="1">
        <f ca="1">IFERROR(__xludf.DUMMYFUNCTION("""COMPUTED_VALUE"""),96)</f>
        <v>96</v>
      </c>
      <c r="L936" s="1">
        <f ca="1">IFERROR(__xludf.DUMMYFUNCTION("""COMPUTED_VALUE"""),1.69)</f>
        <v>1.69</v>
      </c>
      <c r="T936" s="1">
        <f ca="1">IFERROR(__xludf.DUMMYFUNCTION("""COMPUTED_VALUE"""),489539)</f>
        <v>489539</v>
      </c>
      <c r="U936" s="1">
        <f ca="1">IFERROR(__xludf.DUMMYFUNCTION("""COMPUTED_VALUE"""),162.24)</f>
        <v>162.24</v>
      </c>
    </row>
    <row r="937" spans="1:21" ht="12.75" x14ac:dyDescent="0.2">
      <c r="A937" s="3">
        <f ca="1">IFERROR(__xludf.DUMMYFUNCTION("""COMPUTED_VALUE"""),40148.5125)</f>
        <v>40148.512499999997</v>
      </c>
      <c r="B937" s="1">
        <f ca="1">IFERROR(__xludf.DUMMYFUNCTION("""COMPUTED_VALUE"""),0.85)</f>
        <v>0.85</v>
      </c>
      <c r="E937" s="1" t="str">
        <f ca="1">IFERROR(__xludf.DUMMYFUNCTION("""COMPUTED_VALUE"""),"JUMBO  BAG BAROQUE BLACK WHITE")</f>
        <v>JUMBO  BAG BAROQUE BLACK WHITE</v>
      </c>
      <c r="F937" s="1">
        <f ca="1">IFERROR(__xludf.DUMMYFUNCTION("""COMPUTED_VALUE"""),2)</f>
        <v>2</v>
      </c>
      <c r="G937" s="1">
        <f ca="1">IFERROR(__xludf.DUMMYFUNCTION("""COMPUTED_VALUE"""),1.95)</f>
        <v>1.95</v>
      </c>
      <c r="J937" s="1" t="str">
        <f ca="1">IFERROR(__xludf.DUMMYFUNCTION("""COMPUTED_VALUE"""),"FUNKY MONKEY MUG")</f>
        <v>FUNKY MONKEY MUG</v>
      </c>
      <c r="K937" s="1">
        <f ca="1">IFERROR(__xludf.DUMMYFUNCTION("""COMPUTED_VALUE"""),96)</f>
        <v>96</v>
      </c>
      <c r="L937" s="1">
        <f ca="1">IFERROR(__xludf.DUMMYFUNCTION("""COMPUTED_VALUE"""),0.85)</f>
        <v>0.85</v>
      </c>
      <c r="T937" s="1">
        <f ca="1">IFERROR(__xludf.DUMMYFUNCTION("""COMPUTED_VALUE"""),489539)</f>
        <v>489539</v>
      </c>
      <c r="U937" s="1">
        <f ca="1">IFERROR(__xludf.DUMMYFUNCTION("""COMPUTED_VALUE"""),81.6)</f>
        <v>81.599999999999994</v>
      </c>
    </row>
    <row r="938" spans="1:21" ht="12.75" x14ac:dyDescent="0.2">
      <c r="A938" s="3">
        <f ca="1">IFERROR(__xludf.DUMMYFUNCTION("""COMPUTED_VALUE"""),40148.5125)</f>
        <v>40148.512499999997</v>
      </c>
      <c r="B938" s="1">
        <f ca="1">IFERROR(__xludf.DUMMYFUNCTION("""COMPUTED_VALUE"""),3.75)</f>
        <v>3.75</v>
      </c>
      <c r="E938" s="1" t="str">
        <f ca="1">IFERROR(__xludf.DUMMYFUNCTION("""COMPUTED_VALUE"""),"ZINC METAL HEART DECORATION")</f>
        <v>ZINC METAL HEART DECORATION</v>
      </c>
      <c r="F938" s="1">
        <f ca="1">IFERROR(__xludf.DUMMYFUNCTION("""COMPUTED_VALUE"""),2)</f>
        <v>2</v>
      </c>
      <c r="G938" s="1">
        <f ca="1">IFERROR(__xludf.DUMMYFUNCTION("""COMPUTED_VALUE"""),1.25)</f>
        <v>1.25</v>
      </c>
      <c r="J938" s="1" t="str">
        <f ca="1">IFERROR(__xludf.DUMMYFUNCTION("""COMPUTED_VALUE"""),"FLORAL ELEPHANT SOFT TOY")</f>
        <v>FLORAL ELEPHANT SOFT TOY</v>
      </c>
      <c r="K938" s="1">
        <f ca="1">IFERROR(__xludf.DUMMYFUNCTION("""COMPUTED_VALUE"""),96)</f>
        <v>96</v>
      </c>
      <c r="L938" s="1">
        <f ca="1">IFERROR(__xludf.DUMMYFUNCTION("""COMPUTED_VALUE"""),3.75)</f>
        <v>3.75</v>
      </c>
      <c r="T938" s="1">
        <f ca="1">IFERROR(__xludf.DUMMYFUNCTION("""COMPUTED_VALUE"""),489539)</f>
        <v>489539</v>
      </c>
      <c r="U938" s="1">
        <f ca="1">IFERROR(__xludf.DUMMYFUNCTION("""COMPUTED_VALUE"""),360)</f>
        <v>360</v>
      </c>
    </row>
    <row r="939" spans="1:21" ht="12.75" x14ac:dyDescent="0.2">
      <c r="A939" s="3">
        <f ca="1">IFERROR(__xludf.DUMMYFUNCTION("""COMPUTED_VALUE"""),40148.5125)</f>
        <v>40148.512499999997</v>
      </c>
      <c r="B939" s="1">
        <f ca="1">IFERROR(__xludf.DUMMYFUNCTION("""COMPUTED_VALUE"""),4.25)</f>
        <v>4.25</v>
      </c>
      <c r="E939" s="1" t="str">
        <f ca="1">IFERROR(__xludf.DUMMYFUNCTION("""COMPUTED_VALUE"""),"BLUE PILLAR CANDLE SILVER FLOCK")</f>
        <v>BLUE PILLAR CANDLE SILVER FLOCK</v>
      </c>
      <c r="F939" s="1">
        <f ca="1">IFERROR(__xludf.DUMMYFUNCTION("""COMPUTED_VALUE"""),2)</f>
        <v>2</v>
      </c>
      <c r="G939" s="1">
        <f ca="1">IFERROR(__xludf.DUMMYFUNCTION("""COMPUTED_VALUE"""),2.95)</f>
        <v>2.95</v>
      </c>
      <c r="J939" s="1" t="str">
        <f ca="1">IFERROR(__xludf.DUMMYFUNCTION("""COMPUTED_VALUE"""),"RETRO SPOT TEA SET CERAMIC 11 PC")</f>
        <v>RETRO SPOT TEA SET CERAMIC 11 PC</v>
      </c>
      <c r="K939" s="1">
        <f ca="1">IFERROR(__xludf.DUMMYFUNCTION("""COMPUTED_VALUE"""),72)</f>
        <v>72</v>
      </c>
      <c r="L939" s="1">
        <f ca="1">IFERROR(__xludf.DUMMYFUNCTION("""COMPUTED_VALUE"""),4.25)</f>
        <v>4.25</v>
      </c>
      <c r="T939" s="1">
        <f ca="1">IFERROR(__xludf.DUMMYFUNCTION("""COMPUTED_VALUE"""),489539)</f>
        <v>489539</v>
      </c>
      <c r="U939" s="1">
        <f ca="1">IFERROR(__xludf.DUMMYFUNCTION("""COMPUTED_VALUE"""),306)</f>
        <v>306</v>
      </c>
    </row>
    <row r="940" spans="1:21" ht="12.75" x14ac:dyDescent="0.2">
      <c r="A940" s="3">
        <f ca="1">IFERROR(__xludf.DUMMYFUNCTION("""COMPUTED_VALUE"""),40148.5125)</f>
        <v>40148.512499999997</v>
      </c>
      <c r="B940" s="1">
        <f ca="1">IFERROR(__xludf.DUMMYFUNCTION("""COMPUTED_VALUE"""),1.06)</f>
        <v>1.06</v>
      </c>
      <c r="E940" s="1" t="str">
        <f ca="1">IFERROR(__xludf.DUMMYFUNCTION("""COMPUTED_VALUE"""),"ROSE 1 WICK MORRIS BOXED CANDLE")</f>
        <v>ROSE 1 WICK MORRIS BOXED CANDLE</v>
      </c>
      <c r="F940" s="1">
        <f ca="1">IFERROR(__xludf.DUMMYFUNCTION("""COMPUTED_VALUE"""),1)</f>
        <v>1</v>
      </c>
      <c r="G940" s="1">
        <f ca="1">IFERROR(__xludf.DUMMYFUNCTION("""COMPUTED_VALUE"""),4.25)</f>
        <v>4.25</v>
      </c>
      <c r="J940" s="1" t="str">
        <f ca="1">IFERROR(__xludf.DUMMYFUNCTION("""COMPUTED_VALUE"""),"WHITE SPOT BLUE CERAMIC DRAWER KNOB")</f>
        <v>WHITE SPOT BLUE CERAMIC DRAWER KNOB</v>
      </c>
      <c r="K940" s="1">
        <f ca="1">IFERROR(__xludf.DUMMYFUNCTION("""COMPUTED_VALUE"""),60)</f>
        <v>60</v>
      </c>
      <c r="L940" s="1">
        <f ca="1">IFERROR(__xludf.DUMMYFUNCTION("""COMPUTED_VALUE"""),1.06)</f>
        <v>1.06</v>
      </c>
      <c r="T940" s="1">
        <f ca="1">IFERROR(__xludf.DUMMYFUNCTION("""COMPUTED_VALUE"""),489539)</f>
        <v>489539</v>
      </c>
      <c r="U940" s="1">
        <f ca="1">IFERROR(__xludf.DUMMYFUNCTION("""COMPUTED_VALUE"""),63.6)</f>
        <v>63.6</v>
      </c>
    </row>
    <row r="941" spans="1:21" ht="12.75" x14ac:dyDescent="0.2">
      <c r="A941" s="3">
        <f ca="1">IFERROR(__xludf.DUMMYFUNCTION("""COMPUTED_VALUE"""),40148.5125)</f>
        <v>40148.512499999997</v>
      </c>
      <c r="B941" s="1">
        <f ca="1">IFERROR(__xludf.DUMMYFUNCTION("""COMPUTED_VALUE"""),1.06)</f>
        <v>1.06</v>
      </c>
      <c r="E941" s="1" t="str">
        <f ca="1">IFERROR(__xludf.DUMMYFUNCTION("""COMPUTED_VALUE"""),"GREY FLORAL FELTCRAFT SHOULDER BAG")</f>
        <v>GREY FLORAL FELTCRAFT SHOULDER BAG</v>
      </c>
      <c r="F941" s="1">
        <f ca="1">IFERROR(__xludf.DUMMYFUNCTION("""COMPUTED_VALUE"""),1)</f>
        <v>1</v>
      </c>
      <c r="G941" s="1">
        <f ca="1">IFERROR(__xludf.DUMMYFUNCTION("""COMPUTED_VALUE"""),3.75)</f>
        <v>3.75</v>
      </c>
      <c r="J941" s="1" t="str">
        <f ca="1">IFERROR(__xludf.DUMMYFUNCTION("""COMPUTED_VALUE"""),"RED SPOT CERAMIC DRAWER KNOB")</f>
        <v>RED SPOT CERAMIC DRAWER KNOB</v>
      </c>
      <c r="K941" s="1">
        <f ca="1">IFERROR(__xludf.DUMMYFUNCTION("""COMPUTED_VALUE"""),60)</f>
        <v>60</v>
      </c>
      <c r="L941" s="1">
        <f ca="1">IFERROR(__xludf.DUMMYFUNCTION("""COMPUTED_VALUE"""),1.06)</f>
        <v>1.06</v>
      </c>
      <c r="T941" s="1">
        <f ca="1">IFERROR(__xludf.DUMMYFUNCTION("""COMPUTED_VALUE"""),489539)</f>
        <v>489539</v>
      </c>
      <c r="U941" s="1">
        <f ca="1">IFERROR(__xludf.DUMMYFUNCTION("""COMPUTED_VALUE"""),63.6)</f>
        <v>63.6</v>
      </c>
    </row>
    <row r="942" spans="1:21" ht="12.75" x14ac:dyDescent="0.2">
      <c r="A942" s="3">
        <f ca="1">IFERROR(__xludf.DUMMYFUNCTION("""COMPUTED_VALUE"""),40148.5125)</f>
        <v>40148.512499999997</v>
      </c>
      <c r="B942" s="1">
        <f ca="1">IFERROR(__xludf.DUMMYFUNCTION("""COMPUTED_VALUE"""),1.06)</f>
        <v>1.06</v>
      </c>
      <c r="E942" s="1" t="str">
        <f ca="1">IFERROR(__xludf.DUMMYFUNCTION("""COMPUTED_VALUE"""),"SILVER GLASS T-LIGHT SET")</f>
        <v>SILVER GLASS T-LIGHT SET</v>
      </c>
      <c r="F942" s="1">
        <f ca="1">IFERROR(__xludf.DUMMYFUNCTION("""COMPUTED_VALUE"""),1)</f>
        <v>1</v>
      </c>
      <c r="G942" s="1">
        <f ca="1">IFERROR(__xludf.DUMMYFUNCTION("""COMPUTED_VALUE"""),2.95)</f>
        <v>2.95</v>
      </c>
      <c r="J942" s="1" t="str">
        <f ca="1">IFERROR(__xludf.DUMMYFUNCTION("""COMPUTED_VALUE"""),"BLUE STRIPE CERAMIC DRAWER KNOB")</f>
        <v>BLUE STRIPE CERAMIC DRAWER KNOB</v>
      </c>
      <c r="K942" s="1">
        <f ca="1">IFERROR(__xludf.DUMMYFUNCTION("""COMPUTED_VALUE"""),60)</f>
        <v>60</v>
      </c>
      <c r="L942" s="1">
        <f ca="1">IFERROR(__xludf.DUMMYFUNCTION("""COMPUTED_VALUE"""),1.06)</f>
        <v>1.06</v>
      </c>
      <c r="T942" s="1">
        <f ca="1">IFERROR(__xludf.DUMMYFUNCTION("""COMPUTED_VALUE"""),489539)</f>
        <v>489539</v>
      </c>
      <c r="U942" s="1">
        <f ca="1">IFERROR(__xludf.DUMMYFUNCTION("""COMPUTED_VALUE"""),63.6)</f>
        <v>63.6</v>
      </c>
    </row>
    <row r="943" spans="1:21" ht="12.75" x14ac:dyDescent="0.2">
      <c r="A943" s="3">
        <f ca="1">IFERROR(__xludf.DUMMYFUNCTION("""COMPUTED_VALUE"""),40148.5125)</f>
        <v>40148.512499999997</v>
      </c>
      <c r="B943" s="1">
        <f ca="1">IFERROR(__xludf.DUMMYFUNCTION("""COMPUTED_VALUE"""),1.45)</f>
        <v>1.45</v>
      </c>
      <c r="E943" s="1" t="str">
        <f ca="1">IFERROR(__xludf.DUMMYFUNCTION("""COMPUTED_VALUE"""),"FELTCRAFT DOLL MOLLY")</f>
        <v>FELTCRAFT DOLL MOLLY</v>
      </c>
      <c r="F943" s="1">
        <f ca="1">IFERROR(__xludf.DUMMYFUNCTION("""COMPUTED_VALUE"""),1)</f>
        <v>1</v>
      </c>
      <c r="G943" s="1">
        <f ca="1">IFERROR(__xludf.DUMMYFUNCTION("""COMPUTED_VALUE"""),2.95)</f>
        <v>2.95</v>
      </c>
      <c r="J943" s="1" t="str">
        <f ca="1">IFERROR(__xludf.DUMMYFUNCTION("""COMPUTED_VALUE"""),"SET/4 PINK ORCHID CANDLES IN BOWL")</f>
        <v>SET/4 PINK ORCHID CANDLES IN BOWL</v>
      </c>
      <c r="K943" s="1">
        <f ca="1">IFERROR(__xludf.DUMMYFUNCTION("""COMPUTED_VALUE"""),48)</f>
        <v>48</v>
      </c>
      <c r="L943" s="1">
        <f ca="1">IFERROR(__xludf.DUMMYFUNCTION("""COMPUTED_VALUE"""),1.45)</f>
        <v>1.45</v>
      </c>
      <c r="T943" s="1">
        <f ca="1">IFERROR(__xludf.DUMMYFUNCTION("""COMPUTED_VALUE"""),489539)</f>
        <v>489539</v>
      </c>
      <c r="U943" s="1">
        <f ca="1">IFERROR(__xludf.DUMMYFUNCTION("""COMPUTED_VALUE"""),69.6)</f>
        <v>69.599999999999994</v>
      </c>
    </row>
    <row r="944" spans="1:21" ht="12.75" x14ac:dyDescent="0.2">
      <c r="A944" s="3">
        <f ca="1">IFERROR(__xludf.DUMMYFUNCTION("""COMPUTED_VALUE"""),40148.5125)</f>
        <v>40148.512499999997</v>
      </c>
      <c r="B944" s="1">
        <f ca="1">IFERROR(__xludf.DUMMYFUNCTION("""COMPUTED_VALUE"""),5.95)</f>
        <v>5.95</v>
      </c>
      <c r="E944" s="1" t="str">
        <f ca="1">IFERROR(__xludf.DUMMYFUNCTION("""COMPUTED_VALUE"""),"FELTCRAFT DOLL MARIA")</f>
        <v>FELTCRAFT DOLL MARIA</v>
      </c>
      <c r="F944" s="1">
        <f ca="1">IFERROR(__xludf.DUMMYFUNCTION("""COMPUTED_VALUE"""),1)</f>
        <v>1</v>
      </c>
      <c r="G944" s="1">
        <f ca="1">IFERROR(__xludf.DUMMYFUNCTION("""COMPUTED_VALUE"""),2.95)</f>
        <v>2.95</v>
      </c>
      <c r="J944" s="1" t="str">
        <f ca="1">IFERROR(__xludf.DUMMYFUNCTION("""COMPUTED_VALUE"""),"RED SPOTTY COIR DOORMAT")</f>
        <v>RED SPOTTY COIR DOORMAT</v>
      </c>
      <c r="K944" s="1">
        <f ca="1">IFERROR(__xludf.DUMMYFUNCTION("""COMPUTED_VALUE"""),30)</f>
        <v>30</v>
      </c>
      <c r="L944" s="1">
        <f ca="1">IFERROR(__xludf.DUMMYFUNCTION("""COMPUTED_VALUE"""),5.95)</f>
        <v>5.95</v>
      </c>
      <c r="T944" s="1">
        <f ca="1">IFERROR(__xludf.DUMMYFUNCTION("""COMPUTED_VALUE"""),489539)</f>
        <v>489539</v>
      </c>
      <c r="U944" s="1">
        <f ca="1">IFERROR(__xludf.DUMMYFUNCTION("""COMPUTED_VALUE"""),178.5)</f>
        <v>178.5</v>
      </c>
    </row>
    <row r="945" spans="1:21" ht="12.75" x14ac:dyDescent="0.2">
      <c r="A945" s="3">
        <f ca="1">IFERROR(__xludf.DUMMYFUNCTION("""COMPUTED_VALUE"""),40148.5125)</f>
        <v>40148.512499999997</v>
      </c>
      <c r="B945" s="1">
        <f ca="1">IFERROR(__xludf.DUMMYFUNCTION("""COMPUTED_VALUE"""),5.45)</f>
        <v>5.45</v>
      </c>
      <c r="E945" s="1" t="str">
        <f ca="1">IFERROR(__xludf.DUMMYFUNCTION("""COMPUTED_VALUE"""),"FELTCRAFT DOLL ROSIE")</f>
        <v>FELTCRAFT DOLL ROSIE</v>
      </c>
      <c r="F945" s="1">
        <f ca="1">IFERROR(__xludf.DUMMYFUNCTION("""COMPUTED_VALUE"""),1)</f>
        <v>1</v>
      </c>
      <c r="G945" s="1">
        <f ca="1">IFERROR(__xludf.DUMMYFUNCTION("""COMPUTED_VALUE"""),2.95)</f>
        <v>2.95</v>
      </c>
      <c r="J945" s="1" t="str">
        <f ca="1">IFERROR(__xludf.DUMMYFUNCTION("""COMPUTED_VALUE"""),"PINK CHERRY LIGHTS")</f>
        <v>PINK CHERRY LIGHTS</v>
      </c>
      <c r="K945" s="1">
        <f ca="1">IFERROR(__xludf.DUMMYFUNCTION("""COMPUTED_VALUE"""),24)</f>
        <v>24</v>
      </c>
      <c r="L945" s="1">
        <f ca="1">IFERROR(__xludf.DUMMYFUNCTION("""COMPUTED_VALUE"""),5.45)</f>
        <v>5.45</v>
      </c>
      <c r="T945" s="1">
        <f ca="1">IFERROR(__xludf.DUMMYFUNCTION("""COMPUTED_VALUE"""),489539)</f>
        <v>489539</v>
      </c>
      <c r="U945" s="1">
        <f ca="1">IFERROR(__xludf.DUMMYFUNCTION("""COMPUTED_VALUE"""),130.8)</f>
        <v>130.80000000000001</v>
      </c>
    </row>
    <row r="946" spans="1:21" ht="12.75" x14ac:dyDescent="0.2">
      <c r="A946" s="3">
        <f ca="1">IFERROR(__xludf.DUMMYFUNCTION("""COMPUTED_VALUE"""),40148.5125)</f>
        <v>40148.512499999997</v>
      </c>
      <c r="B946" s="1">
        <f ca="1">IFERROR(__xludf.DUMMYFUNCTION("""COMPUTED_VALUE"""),5.95)</f>
        <v>5.95</v>
      </c>
      <c r="E946" s="1" t="str">
        <f ca="1">IFERROR(__xludf.DUMMYFUNCTION("""COMPUTED_VALUE"""),"PLEASE ONE PERSON  METAL SIGN")</f>
        <v>PLEASE ONE PERSON  METAL SIGN</v>
      </c>
      <c r="F946" s="1">
        <f ca="1">IFERROR(__xludf.DUMMYFUNCTION("""COMPUTED_VALUE"""),1)</f>
        <v>1</v>
      </c>
      <c r="G946" s="1">
        <f ca="1">IFERROR(__xludf.DUMMYFUNCTION("""COMPUTED_VALUE"""),2.1)</f>
        <v>2.1</v>
      </c>
      <c r="J946" s="1" t="str">
        <f ca="1">IFERROR(__xludf.DUMMYFUNCTION("""COMPUTED_VALUE"""),"DOOR MAT ENGLISH ROSE")</f>
        <v>DOOR MAT ENGLISH ROSE</v>
      </c>
      <c r="K946" s="1">
        <f ca="1">IFERROR(__xludf.DUMMYFUNCTION("""COMPUTED_VALUE"""),20)</f>
        <v>20</v>
      </c>
      <c r="L946" s="1">
        <f ca="1">IFERROR(__xludf.DUMMYFUNCTION("""COMPUTED_VALUE"""),5.95)</f>
        <v>5.95</v>
      </c>
      <c r="T946" s="1">
        <f ca="1">IFERROR(__xludf.DUMMYFUNCTION("""COMPUTED_VALUE"""),489539)</f>
        <v>489539</v>
      </c>
      <c r="U946" s="1">
        <f ca="1">IFERROR(__xludf.DUMMYFUNCTION("""COMPUTED_VALUE"""),119)</f>
        <v>119</v>
      </c>
    </row>
    <row r="947" spans="1:21" ht="12.75" x14ac:dyDescent="0.2">
      <c r="A947" s="3">
        <f ca="1">IFERROR(__xludf.DUMMYFUNCTION("""COMPUTED_VALUE"""),40148.5125)</f>
        <v>40148.512499999997</v>
      </c>
      <c r="B947" s="1">
        <f ca="1">IFERROR(__xludf.DUMMYFUNCTION("""COMPUTED_VALUE"""),2.55)</f>
        <v>2.5499999999999998</v>
      </c>
      <c r="E947" s="1" t="str">
        <f ca="1">IFERROR(__xludf.DUMMYFUNCTION("""COMPUTED_VALUE"""),"CHICK GREY HOT WATER BOTTLE")</f>
        <v>CHICK GREY HOT WATER BOTTLE</v>
      </c>
      <c r="F947" s="1">
        <f ca="1">IFERROR(__xludf.DUMMYFUNCTION("""COMPUTED_VALUE"""),1)</f>
        <v>1</v>
      </c>
      <c r="G947" s="1">
        <f ca="1">IFERROR(__xludf.DUMMYFUNCTION("""COMPUTED_VALUE"""),3.45)</f>
        <v>3.45</v>
      </c>
      <c r="J947" s="1" t="str">
        <f ca="1">IFERROR(__xludf.DUMMYFUNCTION("""COMPUTED_VALUE"""),"PAPER CHAIN KIT RETRO SPOT")</f>
        <v>PAPER CHAIN KIT RETRO SPOT</v>
      </c>
      <c r="K947" s="1">
        <f ca="1">IFERROR(__xludf.DUMMYFUNCTION("""COMPUTED_VALUE"""),58)</f>
        <v>58</v>
      </c>
      <c r="L947" s="1">
        <f ca="1">IFERROR(__xludf.DUMMYFUNCTION("""COMPUTED_VALUE"""),2.55)</f>
        <v>2.5499999999999998</v>
      </c>
      <c r="T947" s="1">
        <f ca="1">IFERROR(__xludf.DUMMYFUNCTION("""COMPUTED_VALUE"""),489540)</f>
        <v>489540</v>
      </c>
      <c r="U947" s="1">
        <f ca="1">IFERROR(__xludf.DUMMYFUNCTION("""COMPUTED_VALUE"""),147.899999999999)</f>
        <v>147.89999999999901</v>
      </c>
    </row>
    <row r="948" spans="1:21" ht="12.75" x14ac:dyDescent="0.2">
      <c r="A948" s="3">
        <f ca="1">IFERROR(__xludf.DUMMYFUNCTION("""COMPUTED_VALUE"""),40148.5125)</f>
        <v>40148.512499999997</v>
      </c>
      <c r="B948" s="1">
        <f ca="1">IFERROR(__xludf.DUMMYFUNCTION("""COMPUTED_VALUE"""),2.55)</f>
        <v>2.5499999999999998</v>
      </c>
      <c r="E948" s="1" t="str">
        <f ca="1">IFERROR(__xludf.DUMMYFUNCTION("""COMPUTED_VALUE"""),"WHITE SKULL HOT WATER BOTTLE")</f>
        <v>WHITE SKULL HOT WATER BOTTLE</v>
      </c>
      <c r="F948" s="1">
        <f ca="1">IFERROR(__xludf.DUMMYFUNCTION("""COMPUTED_VALUE"""),1)</f>
        <v>1</v>
      </c>
      <c r="G948" s="1">
        <f ca="1">IFERROR(__xludf.DUMMYFUNCTION("""COMPUTED_VALUE"""),3.75)</f>
        <v>3.75</v>
      </c>
      <c r="J948" s="1" t="str">
        <f ca="1">IFERROR(__xludf.DUMMYFUNCTION("""COMPUTED_VALUE"""),"PAPER CHAIN KIT 50'S CHRISTMAS")</f>
        <v>PAPER CHAIN KIT 50'S CHRISTMAS</v>
      </c>
      <c r="K948" s="1">
        <f ca="1">IFERROR(__xludf.DUMMYFUNCTION("""COMPUTED_VALUE"""),58)</f>
        <v>58</v>
      </c>
      <c r="L948" s="1">
        <f ca="1">IFERROR(__xludf.DUMMYFUNCTION("""COMPUTED_VALUE"""),2.55)</f>
        <v>2.5499999999999998</v>
      </c>
      <c r="T948" s="1">
        <f ca="1">IFERROR(__xludf.DUMMYFUNCTION("""COMPUTED_VALUE"""),489540)</f>
        <v>489540</v>
      </c>
      <c r="U948" s="1">
        <f ca="1">IFERROR(__xludf.DUMMYFUNCTION("""COMPUTED_VALUE"""),147.899999999999)</f>
        <v>147.89999999999901</v>
      </c>
    </row>
    <row r="949" spans="1:21" ht="12.75" x14ac:dyDescent="0.2">
      <c r="A949" s="3">
        <f ca="1">IFERROR(__xludf.DUMMYFUNCTION("""COMPUTED_VALUE"""),40148.5125)</f>
        <v>40148.512499999997</v>
      </c>
      <c r="B949" s="1">
        <f ca="1">IFERROR(__xludf.DUMMYFUNCTION("""COMPUTED_VALUE"""),3.39)</f>
        <v>3.39</v>
      </c>
      <c r="E949" s="1" t="str">
        <f ca="1">IFERROR(__xludf.DUMMYFUNCTION("""COMPUTED_VALUE"""),"KINGS CHOICE CIGAR BOX MATCHES")</f>
        <v>KINGS CHOICE CIGAR BOX MATCHES</v>
      </c>
      <c r="F949" s="1">
        <f ca="1">IFERROR(__xludf.DUMMYFUNCTION("""COMPUTED_VALUE"""),1)</f>
        <v>1</v>
      </c>
      <c r="G949" s="1">
        <f ca="1">IFERROR(__xludf.DUMMYFUNCTION("""COMPUTED_VALUE"""),1.25)</f>
        <v>1.25</v>
      </c>
      <c r="J949" s="1" t="str">
        <f ca="1">IFERROR(__xludf.DUMMYFUNCTION("""COMPUTED_VALUE"""),"RED HANGING METAL STAR TLIGHT HLDR")</f>
        <v>RED HANGING METAL STAR TLIGHT HLDR</v>
      </c>
      <c r="K949" s="1">
        <f ca="1">IFERROR(__xludf.DUMMYFUNCTION("""COMPUTED_VALUE"""),24)</f>
        <v>24</v>
      </c>
      <c r="L949" s="1">
        <f ca="1">IFERROR(__xludf.DUMMYFUNCTION("""COMPUTED_VALUE"""),3.39)</f>
        <v>3.39</v>
      </c>
      <c r="T949" s="1">
        <f ca="1">IFERROR(__xludf.DUMMYFUNCTION("""COMPUTED_VALUE"""),489540)</f>
        <v>489540</v>
      </c>
      <c r="U949" s="1">
        <f ca="1">IFERROR(__xludf.DUMMYFUNCTION("""COMPUTED_VALUE"""),81.36)</f>
        <v>81.36</v>
      </c>
    </row>
    <row r="950" spans="1:21" ht="12.75" x14ac:dyDescent="0.2">
      <c r="A950" s="3">
        <f ca="1">IFERROR(__xludf.DUMMYFUNCTION("""COMPUTED_VALUE"""),40148.5125)</f>
        <v>40148.512499999997</v>
      </c>
      <c r="B950" s="1">
        <f ca="1">IFERROR(__xludf.DUMMYFUNCTION("""COMPUTED_VALUE"""),5.45)</f>
        <v>5.45</v>
      </c>
      <c r="E950" s="1" t="str">
        <f ca="1">IFERROR(__xludf.DUMMYFUNCTION("""COMPUTED_VALUE"""),"COSY HOUR GIANT TUBE MATCHES")</f>
        <v>COSY HOUR GIANT TUBE MATCHES</v>
      </c>
      <c r="F950" s="1">
        <f ca="1">IFERROR(__xludf.DUMMYFUNCTION("""COMPUTED_VALUE"""),1)</f>
        <v>1</v>
      </c>
      <c r="G950" s="1">
        <f ca="1">IFERROR(__xludf.DUMMYFUNCTION("""COMPUTED_VALUE"""),2.55)</f>
        <v>2.5499999999999998</v>
      </c>
      <c r="J950" s="1" t="str">
        <f ca="1">IFERROR(__xludf.DUMMYFUNCTION("""COMPUTED_VALUE"""),"HOME BUILDING BLOCK WORD")</f>
        <v>HOME BUILDING BLOCK WORD</v>
      </c>
      <c r="K950" s="1">
        <f ca="1">IFERROR(__xludf.DUMMYFUNCTION("""COMPUTED_VALUE"""),24)</f>
        <v>24</v>
      </c>
      <c r="L950" s="1">
        <f ca="1">IFERROR(__xludf.DUMMYFUNCTION("""COMPUTED_VALUE"""),5.45)</f>
        <v>5.45</v>
      </c>
      <c r="T950" s="1">
        <f ca="1">IFERROR(__xludf.DUMMYFUNCTION("""COMPUTED_VALUE"""),489540)</f>
        <v>489540</v>
      </c>
      <c r="U950" s="1">
        <f ca="1">IFERROR(__xludf.DUMMYFUNCTION("""COMPUTED_VALUE"""),130.8)</f>
        <v>130.80000000000001</v>
      </c>
    </row>
    <row r="951" spans="1:21" ht="12.75" x14ac:dyDescent="0.2">
      <c r="A951" s="3">
        <f ca="1">IFERROR(__xludf.DUMMYFUNCTION("""COMPUTED_VALUE"""),40148.5125)</f>
        <v>40148.512499999997</v>
      </c>
      <c r="B951" s="1">
        <f ca="1">IFERROR(__xludf.DUMMYFUNCTION("""COMPUTED_VALUE"""),1.25)</f>
        <v>1.25</v>
      </c>
      <c r="E951" s="1" t="str">
        <f ca="1">IFERROR(__xludf.DUMMYFUNCTION("""COMPUTED_VALUE"""),"GLASS STAR FROSTED T-LIGHT HOLDER")</f>
        <v>GLASS STAR FROSTED T-LIGHT HOLDER</v>
      </c>
      <c r="F951" s="1">
        <f ca="1">IFERROR(__xludf.DUMMYFUNCTION("""COMPUTED_VALUE"""),1)</f>
        <v>1</v>
      </c>
      <c r="G951" s="1">
        <f ca="1">IFERROR(__xludf.DUMMYFUNCTION("""COMPUTED_VALUE"""),4.95)</f>
        <v>4.95</v>
      </c>
      <c r="J951" s="1" t="str">
        <f ca="1">IFERROR(__xludf.DUMMYFUNCTION("""COMPUTED_VALUE"""),"ANTIQUE SILVER TEA GLASS ETCHED")</f>
        <v>ANTIQUE SILVER TEA GLASS ETCHED</v>
      </c>
      <c r="K951" s="1">
        <f ca="1">IFERROR(__xludf.DUMMYFUNCTION("""COMPUTED_VALUE"""),24)</f>
        <v>24</v>
      </c>
      <c r="L951" s="1">
        <f ca="1">IFERROR(__xludf.DUMMYFUNCTION("""COMPUTED_VALUE"""),1.25)</f>
        <v>1.25</v>
      </c>
      <c r="T951" s="1">
        <f ca="1">IFERROR(__xludf.DUMMYFUNCTION("""COMPUTED_VALUE"""),489540)</f>
        <v>489540</v>
      </c>
      <c r="U951" s="1">
        <f ca="1">IFERROR(__xludf.DUMMYFUNCTION("""COMPUTED_VALUE"""),30)</f>
        <v>30</v>
      </c>
    </row>
    <row r="952" spans="1:21" ht="12.75" x14ac:dyDescent="0.2">
      <c r="A952" s="3">
        <f ca="1">IFERROR(__xludf.DUMMYFUNCTION("""COMPUTED_VALUE"""),40148.5125)</f>
        <v>40148.512499999997</v>
      </c>
      <c r="B952" s="1">
        <f ca="1">IFERROR(__xludf.DUMMYFUNCTION("""COMPUTED_VALUE"""),9.58)</f>
        <v>9.58</v>
      </c>
      <c r="E952" s="1" t="str">
        <f ca="1">IFERROR(__xludf.DUMMYFUNCTION("""COMPUTED_VALUE"""),"BAKING SET 9 PIECE RETROSPOT")</f>
        <v>BAKING SET 9 PIECE RETROSPOT</v>
      </c>
      <c r="F952" s="1">
        <f ca="1">IFERROR(__xludf.DUMMYFUNCTION("""COMPUTED_VALUE"""),1)</f>
        <v>1</v>
      </c>
      <c r="G952" s="1">
        <f ca="1">IFERROR(__xludf.DUMMYFUNCTION("""COMPUTED_VALUE"""),4.95)</f>
        <v>4.95</v>
      </c>
      <c r="J952" s="1" t="str">
        <f ca="1">IFERROR(__xludf.DUMMYFUNCTION("""COMPUTED_VALUE"""),"POSTAGE")</f>
        <v>POSTAGE</v>
      </c>
      <c r="K952" s="1">
        <f ca="1">IFERROR(__xludf.DUMMYFUNCTION("""COMPUTED_VALUE"""),-1)</f>
        <v>-1</v>
      </c>
      <c r="L952" s="1">
        <f ca="1">IFERROR(__xludf.DUMMYFUNCTION("""COMPUTED_VALUE"""),9.58)</f>
        <v>9.58</v>
      </c>
      <c r="T952" s="1"/>
      <c r="U952" s="1">
        <f ca="1">IFERROR(__xludf.DUMMYFUNCTION("""COMPUTED_VALUE"""),-9.58)</f>
        <v>-9.58</v>
      </c>
    </row>
    <row r="953" spans="1:21" ht="12.75" x14ac:dyDescent="0.2">
      <c r="A953" s="3">
        <f ca="1">IFERROR(__xludf.DUMMYFUNCTION("""COMPUTED_VALUE"""),40148.5125)</f>
        <v>40148.512499999997</v>
      </c>
      <c r="B953" s="1">
        <f ca="1">IFERROR(__xludf.DUMMYFUNCTION("""COMPUTED_VALUE"""),6.75)</f>
        <v>6.75</v>
      </c>
      <c r="E953" s="1" t="str">
        <f ca="1">IFERROR(__xludf.DUMMYFUNCTION("""COMPUTED_VALUE"""),"HANGING BAUBLE T-LIGHT HOLDER LARGE")</f>
        <v>HANGING BAUBLE T-LIGHT HOLDER LARGE</v>
      </c>
      <c r="F953" s="1">
        <f ca="1">IFERROR(__xludf.DUMMYFUNCTION("""COMPUTED_VALUE"""),1)</f>
        <v>1</v>
      </c>
      <c r="G953" s="1">
        <f ca="1">IFERROR(__xludf.DUMMYFUNCTION("""COMPUTED_VALUE"""),2.95)</f>
        <v>2.95</v>
      </c>
      <c r="J953" s="1" t="str">
        <f ca="1">IFERROR(__xludf.DUMMYFUNCTION("""COMPUTED_VALUE"""),"CAKE STAND VICTORIAN FILIGREE MED")</f>
        <v>CAKE STAND VICTORIAN FILIGREE MED</v>
      </c>
      <c r="K953" s="1">
        <f ca="1">IFERROR(__xludf.DUMMYFUNCTION("""COMPUTED_VALUE"""),-4)</f>
        <v>-4</v>
      </c>
      <c r="L953" s="1">
        <f ca="1">IFERROR(__xludf.DUMMYFUNCTION("""COMPUTED_VALUE"""),6.75)</f>
        <v>6.75</v>
      </c>
      <c r="T953" s="1"/>
      <c r="U953" s="1">
        <f ca="1">IFERROR(__xludf.DUMMYFUNCTION("""COMPUTED_VALUE"""),-27)</f>
        <v>-27</v>
      </c>
    </row>
    <row r="954" spans="1:21" ht="12.75" x14ac:dyDescent="0.2">
      <c r="A954" s="3">
        <f ca="1">IFERROR(__xludf.DUMMYFUNCTION("""COMPUTED_VALUE"""),40148.5125)</f>
        <v>40148.512499999997</v>
      </c>
      <c r="B954" s="1">
        <f ca="1">IFERROR(__xludf.DUMMYFUNCTION("""COMPUTED_VALUE"""),2.95)</f>
        <v>2.95</v>
      </c>
      <c r="E954" s="1" t="str">
        <f ca="1">IFERROR(__xludf.DUMMYFUNCTION("""COMPUTED_VALUE"""),"COSY SLIPPER SHOES LARGE GREEN")</f>
        <v>COSY SLIPPER SHOES LARGE GREEN</v>
      </c>
      <c r="F954" s="1">
        <f ca="1">IFERROR(__xludf.DUMMYFUNCTION("""COMPUTED_VALUE"""),1)</f>
        <v>1</v>
      </c>
      <c r="G954" s="1">
        <f ca="1">IFERROR(__xludf.DUMMYFUNCTION("""COMPUTED_VALUE"""),2.95)</f>
        <v>2.95</v>
      </c>
      <c r="J954" s="1" t="str">
        <f ca="1">IFERROR(__xludf.DUMMYFUNCTION("""COMPUTED_VALUE"""),"SET OF KITCHEN WALL  STICKERS")</f>
        <v>SET OF KITCHEN WALL  STICKERS</v>
      </c>
      <c r="K954" s="1">
        <f ca="1">IFERROR(__xludf.DUMMYFUNCTION("""COMPUTED_VALUE"""),-4)</f>
        <v>-4</v>
      </c>
      <c r="L954" s="1">
        <f ca="1">IFERROR(__xludf.DUMMYFUNCTION("""COMPUTED_VALUE"""),2.95)</f>
        <v>2.95</v>
      </c>
      <c r="T954" s="1"/>
      <c r="U954" s="1">
        <f ca="1">IFERROR(__xludf.DUMMYFUNCTION("""COMPUTED_VALUE"""),-11.8)</f>
        <v>-11.8</v>
      </c>
    </row>
    <row r="955" spans="1:21" ht="12.75" x14ac:dyDescent="0.2">
      <c r="A955" s="3">
        <f ca="1">IFERROR(__xludf.DUMMYFUNCTION("""COMPUTED_VALUE"""),40148.5131944444)</f>
        <v>40148.5131944444</v>
      </c>
      <c r="B955" s="1">
        <f ca="1">IFERROR(__xludf.DUMMYFUNCTION("""COMPUTED_VALUE"""),0.85)</f>
        <v>0.85</v>
      </c>
      <c r="E955" s="1" t="str">
        <f ca="1">IFERROR(__xludf.DUMMYFUNCTION("""COMPUTED_VALUE"""),"COSY SLIPPER SHOES LARGE RED")</f>
        <v>COSY SLIPPER SHOES LARGE RED</v>
      </c>
      <c r="F955" s="1">
        <f ca="1">IFERROR(__xludf.DUMMYFUNCTION("""COMPUTED_VALUE"""),1)</f>
        <v>1</v>
      </c>
      <c r="G955" s="1">
        <f ca="1">IFERROR(__xludf.DUMMYFUNCTION("""COMPUTED_VALUE"""),2.95)</f>
        <v>2.95</v>
      </c>
      <c r="J955" s="1" t="str">
        <f ca="1">IFERROR(__xludf.DUMMYFUNCTION("""COMPUTED_VALUE"""),"BLACK AND WHITE PAISLEY FLOWER MUG")</f>
        <v>BLACK AND WHITE PAISLEY FLOWER MUG</v>
      </c>
      <c r="K955" s="1">
        <f ca="1">IFERROR(__xludf.DUMMYFUNCTION("""COMPUTED_VALUE"""),216)</f>
        <v>216</v>
      </c>
      <c r="L955" s="1">
        <f ca="1">IFERROR(__xludf.DUMMYFUNCTION("""COMPUTED_VALUE"""),0.85)</f>
        <v>0.85</v>
      </c>
      <c r="T955" s="1">
        <f ca="1">IFERROR(__xludf.DUMMYFUNCTION("""COMPUTED_VALUE"""),489542)</f>
        <v>489542</v>
      </c>
      <c r="U955" s="1">
        <f ca="1">IFERROR(__xludf.DUMMYFUNCTION("""COMPUTED_VALUE"""),183.6)</f>
        <v>183.6</v>
      </c>
    </row>
    <row r="956" spans="1:21" ht="12.75" x14ac:dyDescent="0.2">
      <c r="A956" s="3">
        <f ca="1">IFERROR(__xludf.DUMMYFUNCTION("""COMPUTED_VALUE"""),40148.5131944444)</f>
        <v>40148.5131944444</v>
      </c>
      <c r="B956" s="1">
        <f ca="1">IFERROR(__xludf.DUMMYFUNCTION("""COMPUTED_VALUE"""),4.25)</f>
        <v>4.25</v>
      </c>
      <c r="E956" s="1" t="str">
        <f ca="1">IFERROR(__xludf.DUMMYFUNCTION("""COMPUTED_VALUE"""),"CHARLIE+LOLA MY ROOM DOOR SIGN")</f>
        <v>CHARLIE+LOLA MY ROOM DOOR SIGN</v>
      </c>
      <c r="F956" s="1">
        <f ca="1">IFERROR(__xludf.DUMMYFUNCTION("""COMPUTED_VALUE"""),1)</f>
        <v>1</v>
      </c>
      <c r="G956" s="1">
        <f ca="1">IFERROR(__xludf.DUMMYFUNCTION("""COMPUTED_VALUE"""),2.55)</f>
        <v>2.5499999999999998</v>
      </c>
      <c r="J956" s="1" t="str">
        <f ca="1">IFERROR(__xludf.DUMMYFUNCTION("""COMPUTED_VALUE"""),"RETRO SPOT TEA SET CERAMIC 11 PC")</f>
        <v>RETRO SPOT TEA SET CERAMIC 11 PC</v>
      </c>
      <c r="K956" s="1">
        <f ca="1">IFERROR(__xludf.DUMMYFUNCTION("""COMPUTED_VALUE"""),48)</f>
        <v>48</v>
      </c>
      <c r="L956" s="1">
        <f ca="1">IFERROR(__xludf.DUMMYFUNCTION("""COMPUTED_VALUE"""),4.25)</f>
        <v>4.25</v>
      </c>
      <c r="T956" s="1">
        <f ca="1">IFERROR(__xludf.DUMMYFUNCTION("""COMPUTED_VALUE"""),489542)</f>
        <v>489542</v>
      </c>
      <c r="U956" s="1">
        <f ca="1">IFERROR(__xludf.DUMMYFUNCTION("""COMPUTED_VALUE"""),204)</f>
        <v>204</v>
      </c>
    </row>
    <row r="957" spans="1:21" ht="12.75" x14ac:dyDescent="0.2">
      <c r="A957" s="3">
        <f ca="1">IFERROR(__xludf.DUMMYFUNCTION("""COMPUTED_VALUE"""),40148.5131944444)</f>
        <v>40148.5131944444</v>
      </c>
      <c r="B957" s="1">
        <f ca="1">IFERROR(__xludf.DUMMYFUNCTION("""COMPUTED_VALUE"""),8.95)</f>
        <v>8.9499999999999993</v>
      </c>
      <c r="E957" s="1" t="str">
        <f ca="1">IFERROR(__xludf.DUMMYFUNCTION("""COMPUTED_VALUE"""),"COFFEE MUG DOG + BALL DESIGN")</f>
        <v>COFFEE MUG DOG + BALL DESIGN</v>
      </c>
      <c r="F957" s="1">
        <f ca="1">IFERROR(__xludf.DUMMYFUNCTION("""COMPUTED_VALUE"""),6)</f>
        <v>6</v>
      </c>
      <c r="G957" s="1">
        <f ca="1">IFERROR(__xludf.DUMMYFUNCTION("""COMPUTED_VALUE"""),2.55)</f>
        <v>2.5499999999999998</v>
      </c>
      <c r="J957" s="1" t="str">
        <f ca="1">IFERROR(__xludf.DUMMYFUNCTION("""COMPUTED_VALUE"""),"WOODEN BOX ADVENT CALENDAR")</f>
        <v>WOODEN BOX ADVENT CALENDAR</v>
      </c>
      <c r="K957" s="1">
        <f ca="1">IFERROR(__xludf.DUMMYFUNCTION("""COMPUTED_VALUE"""),-2)</f>
        <v>-2</v>
      </c>
      <c r="L957" s="1">
        <f ca="1">IFERROR(__xludf.DUMMYFUNCTION("""COMPUTED_VALUE"""),8.95)</f>
        <v>8.9499999999999993</v>
      </c>
      <c r="T957" s="1"/>
      <c r="U957" s="1">
        <f ca="1">IFERROR(__xludf.DUMMYFUNCTION("""COMPUTED_VALUE"""),-17.9)</f>
        <v>-17.899999999999999</v>
      </c>
    </row>
    <row r="958" spans="1:21" ht="12.75" x14ac:dyDescent="0.2">
      <c r="A958" s="3">
        <f ca="1">IFERROR(__xludf.DUMMYFUNCTION("""COMPUTED_VALUE"""),40148.5138888888)</f>
        <v>40148.513888888803</v>
      </c>
      <c r="B958" s="1">
        <f ca="1">IFERROR(__xludf.DUMMYFUNCTION("""COMPUTED_VALUE"""),0.29)</f>
        <v>0.28999999999999998</v>
      </c>
      <c r="E958" s="1" t="str">
        <f ca="1">IFERROR(__xludf.DUMMYFUNCTION("""COMPUTED_VALUE"""),"ANTIQUE SILVER TEA GLASS ETCHED")</f>
        <v>ANTIQUE SILVER TEA GLASS ETCHED</v>
      </c>
      <c r="F958" s="1">
        <f ca="1">IFERROR(__xludf.DUMMYFUNCTION("""COMPUTED_VALUE"""),6)</f>
        <v>6</v>
      </c>
      <c r="G958" s="1">
        <f ca="1">IFERROR(__xludf.DUMMYFUNCTION("""COMPUTED_VALUE"""),1.25)</f>
        <v>1.25</v>
      </c>
      <c r="J958" s="1" t="str">
        <f ca="1">IFERROR(__xludf.DUMMYFUNCTION("""COMPUTED_VALUE"""),"PACK OF 12 RED SPOTTY TISSUES")</f>
        <v>PACK OF 12 RED SPOTTY TISSUES</v>
      </c>
      <c r="K958" s="1">
        <f ca="1">IFERROR(__xludf.DUMMYFUNCTION("""COMPUTED_VALUE"""),48)</f>
        <v>48</v>
      </c>
      <c r="L958" s="1">
        <f ca="1">IFERROR(__xludf.DUMMYFUNCTION("""COMPUTED_VALUE"""),0.29)</f>
        <v>0.28999999999999998</v>
      </c>
      <c r="T958" s="1">
        <f ca="1">IFERROR(__xludf.DUMMYFUNCTION("""COMPUTED_VALUE"""),489544)</f>
        <v>489544</v>
      </c>
      <c r="U958" s="1">
        <f ca="1">IFERROR(__xludf.DUMMYFUNCTION("""COMPUTED_VALUE"""),13.9199999999999)</f>
        <v>13.9199999999999</v>
      </c>
    </row>
    <row r="959" spans="1:21" ht="12.75" x14ac:dyDescent="0.2">
      <c r="A959" s="3">
        <f ca="1">IFERROR(__xludf.DUMMYFUNCTION("""COMPUTED_VALUE"""),40148.5138888888)</f>
        <v>40148.513888888803</v>
      </c>
      <c r="B959" s="1">
        <f ca="1">IFERROR(__xludf.DUMMYFUNCTION("""COMPUTED_VALUE"""),0.29)</f>
        <v>0.28999999999999998</v>
      </c>
      <c r="E959" s="1" t="str">
        <f ca="1">IFERROR(__xludf.DUMMYFUNCTION("""COMPUTED_VALUE"""),"WIRE FLOWER T-LIGHT HOLDER")</f>
        <v>WIRE FLOWER T-LIGHT HOLDER</v>
      </c>
      <c r="F959" s="1">
        <f ca="1">IFERROR(__xludf.DUMMYFUNCTION("""COMPUTED_VALUE"""),6)</f>
        <v>6</v>
      </c>
      <c r="G959" s="1">
        <f ca="1">IFERROR(__xludf.DUMMYFUNCTION("""COMPUTED_VALUE"""),1.25)</f>
        <v>1.25</v>
      </c>
      <c r="J959" s="1" t="str">
        <f ca="1">IFERROR(__xludf.DUMMYFUNCTION("""COMPUTED_VALUE"""),"PACK OF 12 SKULL TISSUES")</f>
        <v>PACK OF 12 SKULL TISSUES</v>
      </c>
      <c r="K959" s="1">
        <f ca="1">IFERROR(__xludf.DUMMYFUNCTION("""COMPUTED_VALUE"""),48)</f>
        <v>48</v>
      </c>
      <c r="L959" s="1">
        <f ca="1">IFERROR(__xludf.DUMMYFUNCTION("""COMPUTED_VALUE"""),0.29)</f>
        <v>0.28999999999999998</v>
      </c>
      <c r="T959" s="1">
        <f ca="1">IFERROR(__xludf.DUMMYFUNCTION("""COMPUTED_VALUE"""),489544)</f>
        <v>489544</v>
      </c>
      <c r="U959" s="1">
        <f ca="1">IFERROR(__xludf.DUMMYFUNCTION("""COMPUTED_VALUE"""),13.9199999999999)</f>
        <v>13.9199999999999</v>
      </c>
    </row>
    <row r="960" spans="1:21" ht="12.75" x14ac:dyDescent="0.2">
      <c r="A960" s="3">
        <f ca="1">IFERROR(__xludf.DUMMYFUNCTION("""COMPUTED_VALUE"""),40148.5138888888)</f>
        <v>40148.513888888803</v>
      </c>
      <c r="B960" s="1">
        <f ca="1">IFERROR(__xludf.DUMMYFUNCTION("""COMPUTED_VALUE"""),0.65)</f>
        <v>0.65</v>
      </c>
      <c r="E960" s="1" t="str">
        <f ca="1">IFERROR(__xludf.DUMMYFUNCTION("""COMPUTED_VALUE"""),"VICTORIAN GLASS HANGING T-LIGHT")</f>
        <v>VICTORIAN GLASS HANGING T-LIGHT</v>
      </c>
      <c r="F960" s="1">
        <f ca="1">IFERROR(__xludf.DUMMYFUNCTION("""COMPUTED_VALUE"""),6)</f>
        <v>6</v>
      </c>
      <c r="G960" s="1">
        <f ca="1">IFERROR(__xludf.DUMMYFUNCTION("""COMPUTED_VALUE"""),1.25)</f>
        <v>1.25</v>
      </c>
      <c r="J960" s="1" t="str">
        <f ca="1">IFERROR(__xludf.DUMMYFUNCTION("""COMPUTED_VALUE"""),"12 PENCILS SMALL TUBE RED SPOTTY")</f>
        <v>12 PENCILS SMALL TUBE RED SPOTTY</v>
      </c>
      <c r="K960" s="1">
        <f ca="1">IFERROR(__xludf.DUMMYFUNCTION("""COMPUTED_VALUE"""),24)</f>
        <v>24</v>
      </c>
      <c r="L960" s="1">
        <f ca="1">IFERROR(__xludf.DUMMYFUNCTION("""COMPUTED_VALUE"""),0.65)</f>
        <v>0.65</v>
      </c>
      <c r="T960" s="1">
        <f ca="1">IFERROR(__xludf.DUMMYFUNCTION("""COMPUTED_VALUE"""),489544)</f>
        <v>489544</v>
      </c>
      <c r="U960" s="1">
        <f ca="1">IFERROR(__xludf.DUMMYFUNCTION("""COMPUTED_VALUE"""),15.6)</f>
        <v>15.6</v>
      </c>
    </row>
    <row r="961" spans="1:21" ht="12.75" x14ac:dyDescent="0.2">
      <c r="A961" s="3">
        <f ca="1">IFERROR(__xludf.DUMMYFUNCTION("""COMPUTED_VALUE"""),40148.5138888888)</f>
        <v>40148.513888888803</v>
      </c>
      <c r="B961" s="1">
        <f ca="1">IFERROR(__xludf.DUMMYFUNCTION("""COMPUTED_VALUE"""),2.95)</f>
        <v>2.95</v>
      </c>
      <c r="E961" s="1" t="str">
        <f ca="1">IFERROR(__xludf.DUMMYFUNCTION("""COMPUTED_VALUE"""),"HEART SHAPED MIRROR")</f>
        <v>HEART SHAPED MIRROR</v>
      </c>
      <c r="F961" s="1">
        <f ca="1">IFERROR(__xludf.DUMMYFUNCTION("""COMPUTED_VALUE"""),6)</f>
        <v>6</v>
      </c>
      <c r="G961" s="1">
        <f ca="1">IFERROR(__xludf.DUMMYFUNCTION("""COMPUTED_VALUE"""),1.69)</f>
        <v>1.69</v>
      </c>
      <c r="J961" s="1" t="str">
        <f ca="1">IFERROR(__xludf.DUMMYFUNCTION("""COMPUTED_VALUE"""),"PAPER CHAIN KIT 50'S CHRISTMAS")</f>
        <v>PAPER CHAIN KIT 50'S CHRISTMAS</v>
      </c>
      <c r="K961" s="1">
        <f ca="1">IFERROR(__xludf.DUMMYFUNCTION("""COMPUTED_VALUE"""),18)</f>
        <v>18</v>
      </c>
      <c r="L961" s="1">
        <f ca="1">IFERROR(__xludf.DUMMYFUNCTION("""COMPUTED_VALUE"""),2.95)</f>
        <v>2.95</v>
      </c>
      <c r="T961" s="1">
        <f ca="1">IFERROR(__xludf.DUMMYFUNCTION("""COMPUTED_VALUE"""),489544)</f>
        <v>489544</v>
      </c>
      <c r="U961" s="1">
        <f ca="1">IFERROR(__xludf.DUMMYFUNCTION("""COMPUTED_VALUE"""),53.1)</f>
        <v>53.1</v>
      </c>
    </row>
    <row r="962" spans="1:21" ht="12.75" x14ac:dyDescent="0.2">
      <c r="A962" s="3">
        <f ca="1">IFERROR(__xludf.DUMMYFUNCTION("""COMPUTED_VALUE"""),40148.5138888888)</f>
        <v>40148.513888888803</v>
      </c>
      <c r="B962" s="1">
        <f ca="1">IFERROR(__xludf.DUMMYFUNCTION("""COMPUTED_VALUE"""),2.55)</f>
        <v>2.5499999999999998</v>
      </c>
      <c r="E962" s="1" t="str">
        <f ca="1">IFERROR(__xludf.DUMMYFUNCTION("""COMPUTED_VALUE"""),"RIBBON REEL FLORA + FAUNA")</f>
        <v>RIBBON REEL FLORA + FAUNA</v>
      </c>
      <c r="F962" s="1">
        <f ca="1">IFERROR(__xludf.DUMMYFUNCTION("""COMPUTED_VALUE"""),5)</f>
        <v>5</v>
      </c>
      <c r="G962" s="1">
        <f ca="1">IFERROR(__xludf.DUMMYFUNCTION("""COMPUTED_VALUE"""),1.65)</f>
        <v>1.65</v>
      </c>
      <c r="J962" s="1" t="str">
        <f ca="1">IFERROR(__xludf.DUMMYFUNCTION("""COMPUTED_VALUE"""),"ROTATING SILVER ANGELS T-LIGHT HLDR")</f>
        <v>ROTATING SILVER ANGELS T-LIGHT HLDR</v>
      </c>
      <c r="K962" s="1">
        <f ca="1">IFERROR(__xludf.DUMMYFUNCTION("""COMPUTED_VALUE"""),18)</f>
        <v>18</v>
      </c>
      <c r="L962" s="1">
        <f ca="1">IFERROR(__xludf.DUMMYFUNCTION("""COMPUTED_VALUE"""),2.55)</f>
        <v>2.5499999999999998</v>
      </c>
      <c r="T962" s="1">
        <f ca="1">IFERROR(__xludf.DUMMYFUNCTION("""COMPUTED_VALUE"""),489544)</f>
        <v>489544</v>
      </c>
      <c r="U962" s="1">
        <f ca="1">IFERROR(__xludf.DUMMYFUNCTION("""COMPUTED_VALUE"""),45.9)</f>
        <v>45.9</v>
      </c>
    </row>
    <row r="963" spans="1:21" ht="12.75" x14ac:dyDescent="0.2">
      <c r="A963" s="3">
        <f ca="1">IFERROR(__xludf.DUMMYFUNCTION("""COMPUTED_VALUE"""),40148.5138888888)</f>
        <v>40148.513888888803</v>
      </c>
      <c r="B963" s="1">
        <f ca="1">IFERROR(__xludf.DUMMYFUNCTION("""COMPUTED_VALUE"""),1.45)</f>
        <v>1.45</v>
      </c>
      <c r="E963" s="1" t="str">
        <f ca="1">IFERROR(__xludf.DUMMYFUNCTION("""COMPUTED_VALUE"""),"HEART IVORY TRELLIS SMALL")</f>
        <v>HEART IVORY TRELLIS SMALL</v>
      </c>
      <c r="F963" s="1">
        <f ca="1">IFERROR(__xludf.DUMMYFUNCTION("""COMPUTED_VALUE"""),5)</f>
        <v>5</v>
      </c>
      <c r="G963" s="1">
        <f ca="1">IFERROR(__xludf.DUMMYFUNCTION("""COMPUTED_VALUE"""),1.25)</f>
        <v>1.25</v>
      </c>
      <c r="J963" s="1" t="str">
        <f ca="1">IFERROR(__xludf.DUMMYFUNCTION("""COMPUTED_VALUE"""),"CHRISTMAS PUDDING TRINKET POT")</f>
        <v>CHRISTMAS PUDDING TRINKET POT</v>
      </c>
      <c r="K963" s="1">
        <f ca="1">IFERROR(__xludf.DUMMYFUNCTION("""COMPUTED_VALUE"""),12)</f>
        <v>12</v>
      </c>
      <c r="L963" s="1">
        <f ca="1">IFERROR(__xludf.DUMMYFUNCTION("""COMPUTED_VALUE"""),1.45)</f>
        <v>1.45</v>
      </c>
      <c r="T963" s="1">
        <f ca="1">IFERROR(__xludf.DUMMYFUNCTION("""COMPUTED_VALUE"""),489544)</f>
        <v>489544</v>
      </c>
      <c r="U963" s="1">
        <f ca="1">IFERROR(__xludf.DUMMYFUNCTION("""COMPUTED_VALUE"""),17.4)</f>
        <v>17.399999999999999</v>
      </c>
    </row>
    <row r="964" spans="1:21" ht="12.75" x14ac:dyDescent="0.2">
      <c r="A964" s="3">
        <f ca="1">IFERROR(__xludf.DUMMYFUNCTION("""COMPUTED_VALUE"""),40148.5138888888)</f>
        <v>40148.513888888803</v>
      </c>
      <c r="B964" s="1">
        <f ca="1">IFERROR(__xludf.DUMMYFUNCTION("""COMPUTED_VALUE"""),0.19)</f>
        <v>0.19</v>
      </c>
      <c r="E964" s="1" t="str">
        <f ca="1">IFERROR(__xludf.DUMMYFUNCTION("""COMPUTED_VALUE"""),"SET OF 6 CAKE CHOPSTICKS")</f>
        <v>SET OF 6 CAKE CHOPSTICKS</v>
      </c>
      <c r="F964" s="1">
        <f ca="1">IFERROR(__xludf.DUMMYFUNCTION("""COMPUTED_VALUE"""),5)</f>
        <v>5</v>
      </c>
      <c r="G964" s="1">
        <f ca="1">IFERROR(__xludf.DUMMYFUNCTION("""COMPUTED_VALUE"""),1.25)</f>
        <v>1.25</v>
      </c>
      <c r="J964" s="1" t="str">
        <f ca="1">IFERROR(__xludf.DUMMYFUNCTION("""COMPUTED_VALUE"""),"GREETING CARD, RITA")</f>
        <v>GREETING CARD, RITA</v>
      </c>
      <c r="K964" s="1">
        <f ca="1">IFERROR(__xludf.DUMMYFUNCTION("""COMPUTED_VALUE"""),12)</f>
        <v>12</v>
      </c>
      <c r="L964" s="1">
        <f ca="1">IFERROR(__xludf.DUMMYFUNCTION("""COMPUTED_VALUE"""),0.19)</f>
        <v>0.19</v>
      </c>
      <c r="T964" s="1">
        <f ca="1">IFERROR(__xludf.DUMMYFUNCTION("""COMPUTED_VALUE"""),489544)</f>
        <v>489544</v>
      </c>
      <c r="U964" s="1">
        <f ca="1">IFERROR(__xludf.DUMMYFUNCTION("""COMPUTED_VALUE"""),2.28)</f>
        <v>2.2799999999999998</v>
      </c>
    </row>
    <row r="965" spans="1:21" ht="12.75" x14ac:dyDescent="0.2">
      <c r="A965" s="3">
        <f ca="1">IFERROR(__xludf.DUMMYFUNCTION("""COMPUTED_VALUE"""),40148.5138888888)</f>
        <v>40148.513888888803</v>
      </c>
      <c r="B965" s="1">
        <f ca="1">IFERROR(__xludf.DUMMYFUNCTION("""COMPUTED_VALUE"""),0.85)</f>
        <v>0.85</v>
      </c>
      <c r="E965" s="1" t="str">
        <f ca="1">IFERROR(__xludf.DUMMYFUNCTION("""COMPUTED_VALUE"""),"RIBBON REEL HEARTS DESIGN")</f>
        <v>RIBBON REEL HEARTS DESIGN</v>
      </c>
      <c r="F965" s="1">
        <f ca="1">IFERROR(__xludf.DUMMYFUNCTION("""COMPUTED_VALUE"""),5)</f>
        <v>5</v>
      </c>
      <c r="G965" s="1">
        <f ca="1">IFERROR(__xludf.DUMMYFUNCTION("""COMPUTED_VALUE"""),1.65)</f>
        <v>1.65</v>
      </c>
      <c r="J965" s="1" t="str">
        <f ca="1">IFERROR(__xludf.DUMMYFUNCTION("""COMPUTED_VALUE"""),"SET/20 RED SPOTTY PAPER NAPKINS")</f>
        <v>SET/20 RED SPOTTY PAPER NAPKINS</v>
      </c>
      <c r="K965" s="1">
        <f ca="1">IFERROR(__xludf.DUMMYFUNCTION("""COMPUTED_VALUE"""),12)</f>
        <v>12</v>
      </c>
      <c r="L965" s="1">
        <f ca="1">IFERROR(__xludf.DUMMYFUNCTION("""COMPUTED_VALUE"""),0.85)</f>
        <v>0.85</v>
      </c>
      <c r="T965" s="1">
        <f ca="1">IFERROR(__xludf.DUMMYFUNCTION("""COMPUTED_VALUE"""),489544)</f>
        <v>489544</v>
      </c>
      <c r="U965" s="1">
        <f ca="1">IFERROR(__xludf.DUMMYFUNCTION("""COMPUTED_VALUE"""),10.2)</f>
        <v>10.199999999999999</v>
      </c>
    </row>
    <row r="966" spans="1:21" ht="12.75" x14ac:dyDescent="0.2">
      <c r="A966" s="3">
        <f ca="1">IFERROR(__xludf.DUMMYFUNCTION("""COMPUTED_VALUE"""),40148.5138888888)</f>
        <v>40148.513888888803</v>
      </c>
      <c r="B966" s="1">
        <f ca="1">IFERROR(__xludf.DUMMYFUNCTION("""COMPUTED_VALUE"""),1.25)</f>
        <v>1.25</v>
      </c>
      <c r="E966" s="1" t="str">
        <f ca="1">IFERROR(__xludf.DUMMYFUNCTION("""COMPUTED_VALUE"""),"RIBBON REEL SPOTS DESIGN")</f>
        <v>RIBBON REEL SPOTS DESIGN</v>
      </c>
      <c r="F966" s="1">
        <f ca="1">IFERROR(__xludf.DUMMYFUNCTION("""COMPUTED_VALUE"""),5)</f>
        <v>5</v>
      </c>
      <c r="G966" s="1">
        <f ca="1">IFERROR(__xludf.DUMMYFUNCTION("""COMPUTED_VALUE"""),1.65)</f>
        <v>1.65</v>
      </c>
      <c r="J966" s="1" t="str">
        <f ca="1">IFERROR(__xludf.DUMMYFUNCTION("""COMPUTED_VALUE"""),"CHRISTMAS HANGING TREE WITH BELL")</f>
        <v>CHRISTMAS HANGING TREE WITH BELL</v>
      </c>
      <c r="K966" s="1">
        <f ca="1">IFERROR(__xludf.DUMMYFUNCTION("""COMPUTED_VALUE"""),12)</f>
        <v>12</v>
      </c>
      <c r="L966" s="1">
        <f ca="1">IFERROR(__xludf.DUMMYFUNCTION("""COMPUTED_VALUE"""),1.25)</f>
        <v>1.25</v>
      </c>
      <c r="T966" s="1">
        <f ca="1">IFERROR(__xludf.DUMMYFUNCTION("""COMPUTED_VALUE"""),489544)</f>
        <v>489544</v>
      </c>
      <c r="U966" s="1">
        <f ca="1">IFERROR(__xludf.DUMMYFUNCTION("""COMPUTED_VALUE"""),15)</f>
        <v>15</v>
      </c>
    </row>
    <row r="967" spans="1:21" ht="12.75" x14ac:dyDescent="0.2">
      <c r="A967" s="3">
        <f ca="1">IFERROR(__xludf.DUMMYFUNCTION("""COMPUTED_VALUE"""),40148.5138888888)</f>
        <v>40148.513888888803</v>
      </c>
      <c r="B967" s="1">
        <f ca="1">IFERROR(__xludf.DUMMYFUNCTION("""COMPUTED_VALUE"""),4.95)</f>
        <v>4.95</v>
      </c>
      <c r="E967" s="1" t="str">
        <f ca="1">IFERROR(__xludf.DUMMYFUNCTION("""COMPUTED_VALUE"""),"RIBBON REEL STRIPES DESIGN")</f>
        <v>RIBBON REEL STRIPES DESIGN</v>
      </c>
      <c r="F967" s="1">
        <f ca="1">IFERROR(__xludf.DUMMYFUNCTION("""COMPUTED_VALUE"""),5)</f>
        <v>5</v>
      </c>
      <c r="G967" s="1">
        <f ca="1">IFERROR(__xludf.DUMMYFUNCTION("""COMPUTED_VALUE"""),1.65)</f>
        <v>1.65</v>
      </c>
      <c r="J967" s="1" t="str">
        <f ca="1">IFERROR(__xludf.DUMMYFUNCTION("""COMPUTED_VALUE"""),"GARLAND WITH STARS AND BELLS")</f>
        <v>GARLAND WITH STARS AND BELLS</v>
      </c>
      <c r="K967" s="1">
        <f ca="1">IFERROR(__xludf.DUMMYFUNCTION("""COMPUTED_VALUE"""),6)</f>
        <v>6</v>
      </c>
      <c r="L967" s="1">
        <f ca="1">IFERROR(__xludf.DUMMYFUNCTION("""COMPUTED_VALUE"""),4.95)</f>
        <v>4.95</v>
      </c>
      <c r="T967" s="1">
        <f ca="1">IFERROR(__xludf.DUMMYFUNCTION("""COMPUTED_VALUE"""),489544)</f>
        <v>489544</v>
      </c>
      <c r="U967" s="1">
        <f ca="1">IFERROR(__xludf.DUMMYFUNCTION("""COMPUTED_VALUE"""),29.7)</f>
        <v>29.7</v>
      </c>
    </row>
    <row r="968" spans="1:21" ht="12.75" x14ac:dyDescent="0.2">
      <c r="A968" s="3">
        <f ca="1">IFERROR(__xludf.DUMMYFUNCTION("""COMPUTED_VALUE"""),40148.5138888888)</f>
        <v>40148.513888888803</v>
      </c>
      <c r="B968" s="1">
        <f ca="1">IFERROR(__xludf.DUMMYFUNCTION("""COMPUTED_VALUE"""),2.95)</f>
        <v>2.95</v>
      </c>
      <c r="E968" s="1" t="str">
        <f ca="1">IFERROR(__xludf.DUMMYFUNCTION("""COMPUTED_VALUE"""),"SMALL GLASS HEART TRINKET POT")</f>
        <v>SMALL GLASS HEART TRINKET POT</v>
      </c>
      <c r="F968" s="1">
        <f ca="1">IFERROR(__xludf.DUMMYFUNCTION("""COMPUTED_VALUE"""),4)</f>
        <v>4</v>
      </c>
      <c r="G968" s="1">
        <f ca="1">IFERROR(__xludf.DUMMYFUNCTION("""COMPUTED_VALUE"""),2.1)</f>
        <v>2.1</v>
      </c>
      <c r="J968" s="1" t="str">
        <f ca="1">IFERROR(__xludf.DUMMYFUNCTION("""COMPUTED_VALUE"""),"RETRO SPOT MUG")</f>
        <v>RETRO SPOT MUG</v>
      </c>
      <c r="K968" s="1">
        <f ca="1">IFERROR(__xludf.DUMMYFUNCTION("""COMPUTED_VALUE"""),6)</f>
        <v>6</v>
      </c>
      <c r="L968" s="1">
        <f ca="1">IFERROR(__xludf.DUMMYFUNCTION("""COMPUTED_VALUE"""),2.95)</f>
        <v>2.95</v>
      </c>
      <c r="T968" s="1">
        <f ca="1">IFERROR(__xludf.DUMMYFUNCTION("""COMPUTED_VALUE"""),489544)</f>
        <v>489544</v>
      </c>
      <c r="U968" s="1">
        <f ca="1">IFERROR(__xludf.DUMMYFUNCTION("""COMPUTED_VALUE"""),17.7)</f>
        <v>17.7</v>
      </c>
    </row>
    <row r="969" spans="1:21" ht="12.75" x14ac:dyDescent="0.2">
      <c r="A969" s="3">
        <f ca="1">IFERROR(__xludf.DUMMYFUNCTION("""COMPUTED_VALUE"""),40148.5138888888)</f>
        <v>40148.513888888803</v>
      </c>
      <c r="B969" s="1">
        <f ca="1">IFERROR(__xludf.DUMMYFUNCTION("""COMPUTED_VALUE"""),3.75)</f>
        <v>3.75</v>
      </c>
      <c r="E969" s="1" t="str">
        <f ca="1">IFERROR(__xludf.DUMMYFUNCTION("""COMPUTED_VALUE"""),"SET/6 BEAD COASTERS GAUZE BAG GOLD")</f>
        <v>SET/6 BEAD COASTERS GAUZE BAG GOLD</v>
      </c>
      <c r="F969" s="1">
        <f ca="1">IFERROR(__xludf.DUMMYFUNCTION("""COMPUTED_VALUE"""),4)</f>
        <v>4</v>
      </c>
      <c r="G969" s="1">
        <f ca="1">IFERROR(__xludf.DUMMYFUNCTION("""COMPUTED_VALUE"""),1.25)</f>
        <v>1.25</v>
      </c>
      <c r="J969" s="1" t="str">
        <f ca="1">IFERROR(__xludf.DUMMYFUNCTION("""COMPUTED_VALUE"""),"SMALL RETRO SPOT MUG IN BOX  RED")</f>
        <v>SMALL RETRO SPOT MUG IN BOX  RED</v>
      </c>
      <c r="K969" s="1">
        <f ca="1">IFERROR(__xludf.DUMMYFUNCTION("""COMPUTED_VALUE"""),6)</f>
        <v>6</v>
      </c>
      <c r="L969" s="1">
        <f ca="1">IFERROR(__xludf.DUMMYFUNCTION("""COMPUTED_VALUE"""),3.75)</f>
        <v>3.75</v>
      </c>
      <c r="T969" s="1">
        <f ca="1">IFERROR(__xludf.DUMMYFUNCTION("""COMPUTED_VALUE"""),489544)</f>
        <v>489544</v>
      </c>
      <c r="U969" s="1">
        <f ca="1">IFERROR(__xludf.DUMMYFUNCTION("""COMPUTED_VALUE"""),22.5)</f>
        <v>22.5</v>
      </c>
    </row>
    <row r="970" spans="1:21" ht="12.75" x14ac:dyDescent="0.2">
      <c r="A970" s="3">
        <f ca="1">IFERROR(__xludf.DUMMYFUNCTION("""COMPUTED_VALUE"""),40148.5138888888)</f>
        <v>40148.513888888803</v>
      </c>
      <c r="B970" s="1">
        <f ca="1">IFERROR(__xludf.DUMMYFUNCTION("""COMPUTED_VALUE"""),5.95)</f>
        <v>5.95</v>
      </c>
      <c r="E970" s="1" t="str">
        <f ca="1">IFERROR(__xludf.DUMMYFUNCTION("""COMPUTED_VALUE"""),"GARDEN METAL SIGN")</f>
        <v>GARDEN METAL SIGN</v>
      </c>
      <c r="F970" s="1">
        <f ca="1">IFERROR(__xludf.DUMMYFUNCTION("""COMPUTED_VALUE"""),4)</f>
        <v>4</v>
      </c>
      <c r="G970" s="1">
        <f ca="1">IFERROR(__xludf.DUMMYFUNCTION("""COMPUTED_VALUE"""),1.65)</f>
        <v>1.65</v>
      </c>
      <c r="J970" s="1" t="str">
        <f ca="1">IFERROR(__xludf.DUMMYFUNCTION("""COMPUTED_VALUE"""),"UNION JACK HOT WATER BOTTLE")</f>
        <v>UNION JACK HOT WATER BOTTLE</v>
      </c>
      <c r="K970" s="1">
        <f ca="1">IFERROR(__xludf.DUMMYFUNCTION("""COMPUTED_VALUE"""),3)</f>
        <v>3</v>
      </c>
      <c r="L970" s="1">
        <f ca="1">IFERROR(__xludf.DUMMYFUNCTION("""COMPUTED_VALUE"""),5.95)</f>
        <v>5.95</v>
      </c>
      <c r="T970" s="1">
        <f ca="1">IFERROR(__xludf.DUMMYFUNCTION("""COMPUTED_VALUE"""),489544)</f>
        <v>489544</v>
      </c>
      <c r="U970" s="1">
        <f ca="1">IFERROR(__xludf.DUMMYFUNCTION("""COMPUTED_VALUE"""),17.85)</f>
        <v>17.850000000000001</v>
      </c>
    </row>
    <row r="971" spans="1:21" ht="12.75" x14ac:dyDescent="0.2">
      <c r="A971" s="3">
        <f ca="1">IFERROR(__xludf.DUMMYFUNCTION("""COMPUTED_VALUE"""),40148.5138888888)</f>
        <v>40148.513888888803</v>
      </c>
      <c r="B971" s="1">
        <f ca="1">IFERROR(__xludf.DUMMYFUNCTION("""COMPUTED_VALUE"""),6.75)</f>
        <v>6.75</v>
      </c>
      <c r="E971" s="1" t="str">
        <f ca="1">IFERROR(__xludf.DUMMYFUNCTION("""COMPUTED_VALUE"""),"SET OF 6 HEART CHOPSTICKS")</f>
        <v>SET OF 6 HEART CHOPSTICKS</v>
      </c>
      <c r="F971" s="1">
        <f ca="1">IFERROR(__xludf.DUMMYFUNCTION("""COMPUTED_VALUE"""),3)</f>
        <v>3</v>
      </c>
      <c r="G971" s="1">
        <f ca="1">IFERROR(__xludf.DUMMYFUNCTION("""COMPUTED_VALUE"""),1.25)</f>
        <v>1.25</v>
      </c>
      <c r="J971" s="1" t="str">
        <f ca="1">IFERROR(__xludf.DUMMYFUNCTION("""COMPUTED_VALUE"""),"PEACE SMALL WOOD LETTERS")</f>
        <v>PEACE SMALL WOOD LETTERS</v>
      </c>
      <c r="K971" s="1">
        <f ca="1">IFERROR(__xludf.DUMMYFUNCTION("""COMPUTED_VALUE"""),1)</f>
        <v>1</v>
      </c>
      <c r="L971" s="1">
        <f ca="1">IFERROR(__xludf.DUMMYFUNCTION("""COMPUTED_VALUE"""),6.75)</f>
        <v>6.75</v>
      </c>
      <c r="T971" s="1">
        <f ca="1">IFERROR(__xludf.DUMMYFUNCTION("""COMPUTED_VALUE"""),489544)</f>
        <v>489544</v>
      </c>
      <c r="U971" s="1">
        <f ca="1">IFERROR(__xludf.DUMMYFUNCTION("""COMPUTED_VALUE"""),6.75)</f>
        <v>6.75</v>
      </c>
    </row>
    <row r="972" spans="1:21" ht="12.75" x14ac:dyDescent="0.2">
      <c r="A972" s="3">
        <f ca="1">IFERROR(__xludf.DUMMYFUNCTION("""COMPUTED_VALUE"""),40148.5152777777)</f>
        <v>40148.515277777697</v>
      </c>
      <c r="B972" s="1">
        <f ca="1">IFERROR(__xludf.DUMMYFUNCTION("""COMPUTED_VALUE"""),0.42)</f>
        <v>0.42</v>
      </c>
      <c r="E972" s="1" t="str">
        <f ca="1">IFERROR(__xludf.DUMMYFUNCTION("""COMPUTED_VALUE"""),"MOBILE VINTAGE HEARTS")</f>
        <v>MOBILE VINTAGE HEARTS</v>
      </c>
      <c r="F972" s="1">
        <f ca="1">IFERROR(__xludf.DUMMYFUNCTION("""COMPUTED_VALUE"""),3)</f>
        <v>3</v>
      </c>
      <c r="G972" s="1">
        <f ca="1">IFERROR(__xludf.DUMMYFUNCTION("""COMPUTED_VALUE"""),4.95)</f>
        <v>4.95</v>
      </c>
      <c r="J972" s="1" t="str">
        <f ca="1">IFERROR(__xludf.DUMMYFUNCTION("""COMPUTED_VALUE"""),"PLACE SETTING WHITE STAR")</f>
        <v>PLACE SETTING WHITE STAR</v>
      </c>
      <c r="K972" s="1">
        <f ca="1">IFERROR(__xludf.DUMMYFUNCTION("""COMPUTED_VALUE"""),15)</f>
        <v>15</v>
      </c>
      <c r="L972" s="1">
        <f ca="1">IFERROR(__xludf.DUMMYFUNCTION("""COMPUTED_VALUE"""),0.42)</f>
        <v>0.42</v>
      </c>
      <c r="T972" s="1">
        <f ca="1">IFERROR(__xludf.DUMMYFUNCTION("""COMPUTED_VALUE"""),489545)</f>
        <v>489545</v>
      </c>
      <c r="U972" s="1">
        <f ca="1">IFERROR(__xludf.DUMMYFUNCTION("""COMPUTED_VALUE"""),6.3)</f>
        <v>6.3</v>
      </c>
    </row>
    <row r="973" spans="1:21" ht="12.75" x14ac:dyDescent="0.2">
      <c r="A973" s="3">
        <f ca="1">IFERROR(__xludf.DUMMYFUNCTION("""COMPUTED_VALUE"""),40148.5152777777)</f>
        <v>40148.515277777697</v>
      </c>
      <c r="B973" s="1">
        <f ca="1">IFERROR(__xludf.DUMMYFUNCTION("""COMPUTED_VALUE"""),0.42)</f>
        <v>0.42</v>
      </c>
      <c r="E973" s="1" t="str">
        <f ca="1">IFERROR(__xludf.DUMMYFUNCTION("""COMPUTED_VALUE"""),"BEACH HUT PHOTO FRAME")</f>
        <v>BEACH HUT PHOTO FRAME</v>
      </c>
      <c r="F973" s="1">
        <f ca="1">IFERROR(__xludf.DUMMYFUNCTION("""COMPUTED_VALUE"""),2)</f>
        <v>2</v>
      </c>
      <c r="G973" s="1">
        <f ca="1">IFERROR(__xludf.DUMMYFUNCTION("""COMPUTED_VALUE"""),2.55)</f>
        <v>2.5499999999999998</v>
      </c>
      <c r="J973" s="1" t="str">
        <f ca="1">IFERROR(__xludf.DUMMYFUNCTION("""COMPUTED_VALUE"""),"ANGEL DECORATION 3 BUTTONS")</f>
        <v>ANGEL DECORATION 3 BUTTONS</v>
      </c>
      <c r="K973" s="1">
        <f ca="1">IFERROR(__xludf.DUMMYFUNCTION("""COMPUTED_VALUE"""),8)</f>
        <v>8</v>
      </c>
      <c r="L973" s="1">
        <f ca="1">IFERROR(__xludf.DUMMYFUNCTION("""COMPUTED_VALUE"""),0.42)</f>
        <v>0.42</v>
      </c>
      <c r="T973" s="1">
        <f ca="1">IFERROR(__xludf.DUMMYFUNCTION("""COMPUTED_VALUE"""),489545)</f>
        <v>489545</v>
      </c>
      <c r="U973" s="1">
        <f ca="1">IFERROR(__xludf.DUMMYFUNCTION("""COMPUTED_VALUE"""),3.36)</f>
        <v>3.36</v>
      </c>
    </row>
    <row r="974" spans="1:21" ht="12.75" x14ac:dyDescent="0.2">
      <c r="A974" s="3">
        <f ca="1">IFERROR(__xludf.DUMMYFUNCTION("""COMPUTED_VALUE"""),40148.5152777777)</f>
        <v>40148.515277777697</v>
      </c>
      <c r="B974" s="1">
        <f ca="1">IFERROR(__xludf.DUMMYFUNCTION("""COMPUTED_VALUE"""),1.25)</f>
        <v>1.25</v>
      </c>
      <c r="E974" s="1" t="str">
        <f ca="1">IFERROR(__xludf.DUMMYFUNCTION("""COMPUTED_VALUE"""),"EMBOSSED FLOWER TRELLIS PHOTO FRAME")</f>
        <v>EMBOSSED FLOWER TRELLIS PHOTO FRAME</v>
      </c>
      <c r="F974" s="1">
        <f ca="1">IFERROR(__xludf.DUMMYFUNCTION("""COMPUTED_VALUE"""),2)</f>
        <v>2</v>
      </c>
      <c r="G974" s="1">
        <f ca="1">IFERROR(__xludf.DUMMYFUNCTION("""COMPUTED_VALUE"""),2.55)</f>
        <v>2.5499999999999998</v>
      </c>
      <c r="J974" s="1" t="str">
        <f ca="1">IFERROR(__xludf.DUMMYFUNCTION("""COMPUTED_VALUE"""),"WIRE FLOWER T-LIGHT HOLDER")</f>
        <v>WIRE FLOWER T-LIGHT HOLDER</v>
      </c>
      <c r="K974" s="1">
        <f ca="1">IFERROR(__xludf.DUMMYFUNCTION("""COMPUTED_VALUE"""),6)</f>
        <v>6</v>
      </c>
      <c r="L974" s="1">
        <f ca="1">IFERROR(__xludf.DUMMYFUNCTION("""COMPUTED_VALUE"""),1.25)</f>
        <v>1.25</v>
      </c>
      <c r="T974" s="1">
        <f ca="1">IFERROR(__xludf.DUMMYFUNCTION("""COMPUTED_VALUE"""),489545)</f>
        <v>489545</v>
      </c>
      <c r="U974" s="1">
        <f ca="1">IFERROR(__xludf.DUMMYFUNCTION("""COMPUTED_VALUE"""),7.5)</f>
        <v>7.5</v>
      </c>
    </row>
    <row r="975" spans="1:21" ht="12.75" x14ac:dyDescent="0.2">
      <c r="A975" s="3">
        <f ca="1">IFERROR(__xludf.DUMMYFUNCTION("""COMPUTED_VALUE"""),40148.5152777777)</f>
        <v>40148.515277777697</v>
      </c>
      <c r="B975" s="1">
        <f ca="1">IFERROR(__xludf.DUMMYFUNCTION("""COMPUTED_VALUE"""),0.42)</f>
        <v>0.42</v>
      </c>
      <c r="E975" s="1" t="str">
        <f ca="1">IFERROR(__xludf.DUMMYFUNCTION("""COMPUTED_VALUE"""),"WOODEN FRAME ANTIQUE WHITE")</f>
        <v>WOODEN FRAME ANTIQUE WHITE</v>
      </c>
      <c r="F975" s="1">
        <f ca="1">IFERROR(__xludf.DUMMYFUNCTION("""COMPUTED_VALUE"""),2)</f>
        <v>2</v>
      </c>
      <c r="G975" s="1">
        <f ca="1">IFERROR(__xludf.DUMMYFUNCTION("""COMPUTED_VALUE"""),2.95)</f>
        <v>2.95</v>
      </c>
      <c r="J975" s="1" t="str">
        <f ca="1">IFERROR(__xludf.DUMMYFUNCTION("""COMPUTED_VALUE"""),"ASSORTED FRAGRANCE BATH CONFETTI")</f>
        <v>ASSORTED FRAGRANCE BATH CONFETTI</v>
      </c>
      <c r="K975" s="1">
        <f ca="1">IFERROR(__xludf.DUMMYFUNCTION("""COMPUTED_VALUE"""),6)</f>
        <v>6</v>
      </c>
      <c r="L975" s="1">
        <f ca="1">IFERROR(__xludf.DUMMYFUNCTION("""COMPUTED_VALUE"""),0.42)</f>
        <v>0.42</v>
      </c>
      <c r="T975" s="1">
        <f ca="1">IFERROR(__xludf.DUMMYFUNCTION("""COMPUTED_VALUE"""),489545)</f>
        <v>489545</v>
      </c>
      <c r="U975" s="1">
        <f ca="1">IFERROR(__xludf.DUMMYFUNCTION("""COMPUTED_VALUE"""),2.52)</f>
        <v>2.52</v>
      </c>
    </row>
    <row r="976" spans="1:21" ht="12.75" x14ac:dyDescent="0.2">
      <c r="A976" s="3">
        <f ca="1">IFERROR(__xludf.DUMMYFUNCTION("""COMPUTED_VALUE"""),40148.5152777777)</f>
        <v>40148.515277777697</v>
      </c>
      <c r="B976" s="1">
        <f ca="1">IFERROR(__xludf.DUMMYFUNCTION("""COMPUTED_VALUE"""),0.42)</f>
        <v>0.42</v>
      </c>
      <c r="E976" s="1" t="str">
        <f ca="1">IFERROR(__xludf.DUMMYFUNCTION("""COMPUTED_VALUE"""),"WOODEN PICTURE FRAME WHITE FINISH")</f>
        <v>WOODEN PICTURE FRAME WHITE FINISH</v>
      </c>
      <c r="F976" s="1">
        <f ca="1">IFERROR(__xludf.DUMMYFUNCTION("""COMPUTED_VALUE"""),2)</f>
        <v>2</v>
      </c>
      <c r="G976" s="1">
        <f ca="1">IFERROR(__xludf.DUMMYFUNCTION("""COMPUTED_VALUE"""),2.55)</f>
        <v>2.5499999999999998</v>
      </c>
      <c r="J976" s="1" t="str">
        <f ca="1">IFERROR(__xludf.DUMMYFUNCTION("""COMPUTED_VALUE"""),"SMALL FOLKART STAR CHRISTMAS DEC")</f>
        <v>SMALL FOLKART STAR CHRISTMAS DEC</v>
      </c>
      <c r="K976" s="1">
        <f ca="1">IFERROR(__xludf.DUMMYFUNCTION("""COMPUTED_VALUE"""),6)</f>
        <v>6</v>
      </c>
      <c r="L976" s="1">
        <f ca="1">IFERROR(__xludf.DUMMYFUNCTION("""COMPUTED_VALUE"""),0.42)</f>
        <v>0.42</v>
      </c>
      <c r="T976" s="1">
        <f ca="1">IFERROR(__xludf.DUMMYFUNCTION("""COMPUTED_VALUE"""),489545)</f>
        <v>489545</v>
      </c>
      <c r="U976" s="1">
        <f ca="1">IFERROR(__xludf.DUMMYFUNCTION("""COMPUTED_VALUE"""),2.52)</f>
        <v>2.52</v>
      </c>
    </row>
    <row r="977" spans="1:21" ht="12.75" x14ac:dyDescent="0.2">
      <c r="A977" s="3">
        <f ca="1">IFERROR(__xludf.DUMMYFUNCTION("""COMPUTED_VALUE"""),40148.5152777777)</f>
        <v>40148.515277777697</v>
      </c>
      <c r="B977" s="1">
        <f ca="1">IFERROR(__xludf.DUMMYFUNCTION("""COMPUTED_VALUE"""),0.42)</f>
        <v>0.42</v>
      </c>
      <c r="E977" s="1" t="str">
        <f ca="1">IFERROR(__xludf.DUMMYFUNCTION("""COMPUTED_VALUE"""),"CLASSIC WHITE FRAME")</f>
        <v>CLASSIC WHITE FRAME</v>
      </c>
      <c r="F977" s="1">
        <f ca="1">IFERROR(__xludf.DUMMYFUNCTION("""COMPUTED_VALUE"""),2)</f>
        <v>2</v>
      </c>
      <c r="G977" s="1">
        <f ca="1">IFERROR(__xludf.DUMMYFUNCTION("""COMPUTED_VALUE"""),2.95)</f>
        <v>2.95</v>
      </c>
      <c r="J977" s="1" t="str">
        <f ca="1">IFERROR(__xludf.DUMMYFUNCTION("""COMPUTED_VALUE"""),"SMALLFOLKART BAUBLE CHRISTMAS DEC")</f>
        <v>SMALLFOLKART BAUBLE CHRISTMAS DEC</v>
      </c>
      <c r="K977" s="1">
        <f ca="1">IFERROR(__xludf.DUMMYFUNCTION("""COMPUTED_VALUE"""),6)</f>
        <v>6</v>
      </c>
      <c r="L977" s="1">
        <f ca="1">IFERROR(__xludf.DUMMYFUNCTION("""COMPUTED_VALUE"""),0.42)</f>
        <v>0.42</v>
      </c>
      <c r="T977" s="1">
        <f ca="1">IFERROR(__xludf.DUMMYFUNCTION("""COMPUTED_VALUE"""),489545)</f>
        <v>489545</v>
      </c>
      <c r="U977" s="1">
        <f ca="1">IFERROR(__xludf.DUMMYFUNCTION("""COMPUTED_VALUE"""),2.52)</f>
        <v>2.52</v>
      </c>
    </row>
    <row r="978" spans="1:21" ht="12.75" x14ac:dyDescent="0.2">
      <c r="A978" s="3">
        <f ca="1">IFERROR(__xludf.DUMMYFUNCTION("""COMPUTED_VALUE"""),40148.5152777777)</f>
        <v>40148.515277777697</v>
      </c>
      <c r="B978" s="1">
        <f ca="1">IFERROR(__xludf.DUMMYFUNCTION("""COMPUTED_VALUE"""),4.95)</f>
        <v>4.95</v>
      </c>
      <c r="E978" s="1" t="str">
        <f ca="1">IFERROR(__xludf.DUMMYFUNCTION("""COMPUTED_VALUE"""),"FRENCH ENAMEL WATER BASIN")</f>
        <v>FRENCH ENAMEL WATER BASIN</v>
      </c>
      <c r="F978" s="1">
        <f ca="1">IFERROR(__xludf.DUMMYFUNCTION("""COMPUTED_VALUE"""),2)</f>
        <v>2</v>
      </c>
      <c r="G978" s="1">
        <f ca="1">IFERROR(__xludf.DUMMYFUNCTION("""COMPUTED_VALUE"""),3.75)</f>
        <v>3.75</v>
      </c>
      <c r="J978" s="1" t="str">
        <f ca="1">IFERROR(__xludf.DUMMYFUNCTION("""COMPUTED_VALUE"""),"RETRO SPOT TEA SET CERAMIC 11 PC")</f>
        <v>RETRO SPOT TEA SET CERAMIC 11 PC</v>
      </c>
      <c r="K978" s="1">
        <f ca="1">IFERROR(__xludf.DUMMYFUNCTION("""COMPUTED_VALUE"""),4)</f>
        <v>4</v>
      </c>
      <c r="L978" s="1">
        <f ca="1">IFERROR(__xludf.DUMMYFUNCTION("""COMPUTED_VALUE"""),4.95)</f>
        <v>4.95</v>
      </c>
      <c r="T978" s="1">
        <f ca="1">IFERROR(__xludf.DUMMYFUNCTION("""COMPUTED_VALUE"""),489545)</f>
        <v>489545</v>
      </c>
      <c r="U978" s="1">
        <f ca="1">IFERROR(__xludf.DUMMYFUNCTION("""COMPUTED_VALUE"""),19.8)</f>
        <v>19.8</v>
      </c>
    </row>
    <row r="979" spans="1:21" ht="12.75" x14ac:dyDescent="0.2">
      <c r="A979" s="3">
        <f ca="1">IFERROR(__xludf.DUMMYFUNCTION("""COMPUTED_VALUE"""),40148.5152777777)</f>
        <v>40148.515277777697</v>
      </c>
      <c r="B979" s="1">
        <f ca="1">IFERROR(__xludf.DUMMYFUNCTION("""COMPUTED_VALUE"""),0.42)</f>
        <v>0.42</v>
      </c>
      <c r="E979" s="1" t="str">
        <f ca="1">IFERROR(__xludf.DUMMYFUNCTION("""COMPUTED_VALUE"""),"JUMBO BAG SCANDINAVIAN PAISLEY")</f>
        <v>JUMBO BAG SCANDINAVIAN PAISLEY</v>
      </c>
      <c r="F979" s="1">
        <f ca="1">IFERROR(__xludf.DUMMYFUNCTION("""COMPUTED_VALUE"""),2)</f>
        <v>2</v>
      </c>
      <c r="G979" s="1">
        <f ca="1">IFERROR(__xludf.DUMMYFUNCTION("""COMPUTED_VALUE"""),1.95)</f>
        <v>1.95</v>
      </c>
      <c r="J979" s="1" t="str">
        <f ca="1">IFERROR(__xludf.DUMMYFUNCTION("""COMPUTED_VALUE"""),"SMALL FOLKART CHRISTMAS TREE DEC")</f>
        <v>SMALL FOLKART CHRISTMAS TREE DEC</v>
      </c>
      <c r="K979" s="1">
        <f ca="1">IFERROR(__xludf.DUMMYFUNCTION("""COMPUTED_VALUE"""),4)</f>
        <v>4</v>
      </c>
      <c r="L979" s="1">
        <f ca="1">IFERROR(__xludf.DUMMYFUNCTION("""COMPUTED_VALUE"""),0.42)</f>
        <v>0.42</v>
      </c>
      <c r="T979" s="1">
        <f ca="1">IFERROR(__xludf.DUMMYFUNCTION("""COMPUTED_VALUE"""),489545)</f>
        <v>489545</v>
      </c>
      <c r="U979" s="1">
        <f ca="1">IFERROR(__xludf.DUMMYFUNCTION("""COMPUTED_VALUE"""),1.68)</f>
        <v>1.68</v>
      </c>
    </row>
    <row r="980" spans="1:21" ht="12.75" x14ac:dyDescent="0.2">
      <c r="A980" s="3">
        <f ca="1">IFERROR(__xludf.DUMMYFUNCTION("""COMPUTED_VALUE"""),40148.5152777777)</f>
        <v>40148.515277777697</v>
      </c>
      <c r="B980" s="1">
        <f ca="1">IFERROR(__xludf.DUMMYFUNCTION("""COMPUTED_VALUE"""),2.1)</f>
        <v>2.1</v>
      </c>
      <c r="E980" s="1" t="str">
        <f ca="1">IFERROR(__xludf.DUMMYFUNCTION("""COMPUTED_VALUE"""),"JUMBO  BAG BAROQUE BLACK WHITE")</f>
        <v>JUMBO  BAG BAROQUE BLACK WHITE</v>
      </c>
      <c r="F980" s="1">
        <f ca="1">IFERROR(__xludf.DUMMYFUNCTION("""COMPUTED_VALUE"""),2)</f>
        <v>2</v>
      </c>
      <c r="G980" s="1">
        <f ca="1">IFERROR(__xludf.DUMMYFUNCTION("""COMPUTED_VALUE"""),1.95)</f>
        <v>1.95</v>
      </c>
      <c r="J980" s="1" t="str">
        <f ca="1">IFERROR(__xludf.DUMMYFUNCTION("""COMPUTED_VALUE"""),"PREMIUM CHURCH CANDLE")</f>
        <v>PREMIUM CHURCH CANDLE</v>
      </c>
      <c r="K980" s="1">
        <f ca="1">IFERROR(__xludf.DUMMYFUNCTION("""COMPUTED_VALUE"""),3)</f>
        <v>3</v>
      </c>
      <c r="L980" s="1">
        <f ca="1">IFERROR(__xludf.DUMMYFUNCTION("""COMPUTED_VALUE"""),2.1)</f>
        <v>2.1</v>
      </c>
      <c r="T980" s="1">
        <f ca="1">IFERROR(__xludf.DUMMYFUNCTION("""COMPUTED_VALUE"""),489545)</f>
        <v>489545</v>
      </c>
      <c r="U980" s="1">
        <f ca="1">IFERROR(__xludf.DUMMYFUNCTION("""COMPUTED_VALUE"""),6.3)</f>
        <v>6.3</v>
      </c>
    </row>
    <row r="981" spans="1:21" ht="12.75" x14ac:dyDescent="0.2">
      <c r="A981" s="3">
        <f ca="1">IFERROR(__xludf.DUMMYFUNCTION("""COMPUTED_VALUE"""),40148.5152777777)</f>
        <v>40148.515277777697</v>
      </c>
      <c r="B981" s="1">
        <f ca="1">IFERROR(__xludf.DUMMYFUNCTION("""COMPUTED_VALUE"""),0.85)</f>
        <v>0.85</v>
      </c>
      <c r="E981" s="1" t="str">
        <f ca="1">IFERROR(__xludf.DUMMYFUNCTION("""COMPUTED_VALUE"""),"DAIRY MAID  PUDDING BOWL")</f>
        <v>DAIRY MAID  PUDDING BOWL</v>
      </c>
      <c r="F981" s="1">
        <f ca="1">IFERROR(__xludf.DUMMYFUNCTION("""COMPUTED_VALUE"""),2)</f>
        <v>2</v>
      </c>
      <c r="G981" s="1">
        <f ca="1">IFERROR(__xludf.DUMMYFUNCTION("""COMPUTED_VALUE"""),3.75)</f>
        <v>3.75</v>
      </c>
      <c r="J981" s="1" t="str">
        <f ca="1">IFERROR(__xludf.DUMMYFUNCTION("""COMPUTED_VALUE"""),"POPCORN HOLDER , SMALL ")</f>
        <v xml:space="preserve">POPCORN HOLDER , SMALL </v>
      </c>
      <c r="K981" s="1">
        <f ca="1">IFERROR(__xludf.DUMMYFUNCTION("""COMPUTED_VALUE"""),3)</f>
        <v>3</v>
      </c>
      <c r="L981" s="1">
        <f ca="1">IFERROR(__xludf.DUMMYFUNCTION("""COMPUTED_VALUE"""),0.85)</f>
        <v>0.85</v>
      </c>
      <c r="T981" s="1">
        <f ca="1">IFERROR(__xludf.DUMMYFUNCTION("""COMPUTED_VALUE"""),489545)</f>
        <v>489545</v>
      </c>
      <c r="U981" s="1">
        <f ca="1">IFERROR(__xludf.DUMMYFUNCTION("""COMPUTED_VALUE"""),2.55)</f>
        <v>2.5499999999999998</v>
      </c>
    </row>
    <row r="982" spans="1:21" ht="12.75" x14ac:dyDescent="0.2">
      <c r="A982" s="3">
        <f ca="1">IFERROR(__xludf.DUMMYFUNCTION("""COMPUTED_VALUE"""),40148.5152777777)</f>
        <v>40148.515277777697</v>
      </c>
      <c r="B982" s="1">
        <f ca="1">IFERROR(__xludf.DUMMYFUNCTION("""COMPUTED_VALUE"""),0.85)</f>
        <v>0.85</v>
      </c>
      <c r="E982" s="1" t="str">
        <f ca="1">IFERROR(__xludf.DUMMYFUNCTION("""COMPUTED_VALUE"""),"DAIRY MAID LARGE MILK JUG")</f>
        <v>DAIRY MAID LARGE MILK JUG</v>
      </c>
      <c r="F982" s="1">
        <f ca="1">IFERROR(__xludf.DUMMYFUNCTION("""COMPUTED_VALUE"""),2)</f>
        <v>2</v>
      </c>
      <c r="G982" s="1">
        <f ca="1">IFERROR(__xludf.DUMMYFUNCTION("""COMPUTED_VALUE"""),4.95)</f>
        <v>4.95</v>
      </c>
      <c r="J982" s="1" t="str">
        <f ca="1">IFERROR(__xludf.DUMMYFUNCTION("""COMPUTED_VALUE"""),"ABSTRACT CIRCLES POCKET BOOK")</f>
        <v>ABSTRACT CIRCLES POCKET BOOK</v>
      </c>
      <c r="K982" s="1">
        <f ca="1">IFERROR(__xludf.DUMMYFUNCTION("""COMPUTED_VALUE"""),3)</f>
        <v>3</v>
      </c>
      <c r="L982" s="1">
        <f ca="1">IFERROR(__xludf.DUMMYFUNCTION("""COMPUTED_VALUE"""),0.85)</f>
        <v>0.85</v>
      </c>
      <c r="T982" s="1">
        <f ca="1">IFERROR(__xludf.DUMMYFUNCTION("""COMPUTED_VALUE"""),489545)</f>
        <v>489545</v>
      </c>
      <c r="U982" s="1">
        <f ca="1">IFERROR(__xludf.DUMMYFUNCTION("""COMPUTED_VALUE"""),2.55)</f>
        <v>2.5499999999999998</v>
      </c>
    </row>
    <row r="983" spans="1:21" ht="12.75" x14ac:dyDescent="0.2">
      <c r="A983" s="3">
        <f ca="1">IFERROR(__xludf.DUMMYFUNCTION("""COMPUTED_VALUE"""),40148.5152777777)</f>
        <v>40148.515277777697</v>
      </c>
      <c r="B983" s="1">
        <f ca="1">IFERROR(__xludf.DUMMYFUNCTION("""COMPUTED_VALUE"""),0.85)</f>
        <v>0.85</v>
      </c>
      <c r="E983" s="1" t="str">
        <f ca="1">IFERROR(__xludf.DUMMYFUNCTION("""COMPUTED_VALUE"""),"DAIRY MAID CERAMIC BUTTER DISH")</f>
        <v>DAIRY MAID CERAMIC BUTTER DISH</v>
      </c>
      <c r="F983" s="1">
        <f ca="1">IFERROR(__xludf.DUMMYFUNCTION("""COMPUTED_VALUE"""),2)</f>
        <v>2</v>
      </c>
      <c r="G983" s="1">
        <f ca="1">IFERROR(__xludf.DUMMYFUNCTION("""COMPUTED_VALUE"""),4.25)</f>
        <v>4.25</v>
      </c>
      <c r="J983" s="1" t="str">
        <f ca="1">IFERROR(__xludf.DUMMYFUNCTION("""COMPUTED_VALUE"""),"GREEN FERN POCKET BOOK")</f>
        <v>GREEN FERN POCKET BOOK</v>
      </c>
      <c r="K983" s="1">
        <f ca="1">IFERROR(__xludf.DUMMYFUNCTION("""COMPUTED_VALUE"""),3)</f>
        <v>3</v>
      </c>
      <c r="L983" s="1">
        <f ca="1">IFERROR(__xludf.DUMMYFUNCTION("""COMPUTED_VALUE"""),0.85)</f>
        <v>0.85</v>
      </c>
      <c r="T983" s="1">
        <f ca="1">IFERROR(__xludf.DUMMYFUNCTION("""COMPUTED_VALUE"""),489545)</f>
        <v>489545</v>
      </c>
      <c r="U983" s="1">
        <f ca="1">IFERROR(__xludf.DUMMYFUNCTION("""COMPUTED_VALUE"""),2.55)</f>
        <v>2.5499999999999998</v>
      </c>
    </row>
    <row r="984" spans="1:21" ht="12.75" x14ac:dyDescent="0.2">
      <c r="A984" s="3">
        <f ca="1">IFERROR(__xludf.DUMMYFUNCTION("""COMPUTED_VALUE"""),40148.5152777777)</f>
        <v>40148.515277777697</v>
      </c>
      <c r="B984" s="1">
        <f ca="1">IFERROR(__xludf.DUMMYFUNCTION("""COMPUTED_VALUE"""),1.65)</f>
        <v>1.65</v>
      </c>
      <c r="E984" s="1" t="str">
        <f ca="1">IFERROR(__xludf.DUMMYFUNCTION("""COMPUTED_VALUE"""),"FRENCH ENAMEL POT W LID")</f>
        <v>FRENCH ENAMEL POT W LID</v>
      </c>
      <c r="F984" s="1">
        <f ca="1">IFERROR(__xludf.DUMMYFUNCTION("""COMPUTED_VALUE"""),2)</f>
        <v>2</v>
      </c>
      <c r="G984" s="1">
        <f ca="1">IFERROR(__xludf.DUMMYFUNCTION("""COMPUTED_VALUE"""),2.95)</f>
        <v>2.95</v>
      </c>
      <c r="J984" s="1" t="str">
        <f ca="1">IFERROR(__xludf.DUMMYFUNCTION("""COMPUTED_VALUE"""),"MIRROR MOSAIC T-LIGHT HOLDER")</f>
        <v>MIRROR MOSAIC T-LIGHT HOLDER</v>
      </c>
      <c r="K984" s="1">
        <f ca="1">IFERROR(__xludf.DUMMYFUNCTION("""COMPUTED_VALUE"""),3)</f>
        <v>3</v>
      </c>
      <c r="L984" s="1">
        <f ca="1">IFERROR(__xludf.DUMMYFUNCTION("""COMPUTED_VALUE"""),1.65)</f>
        <v>1.65</v>
      </c>
      <c r="T984" s="1">
        <f ca="1">IFERROR(__xludf.DUMMYFUNCTION("""COMPUTED_VALUE"""),489545)</f>
        <v>489545</v>
      </c>
      <c r="U984" s="1">
        <f ca="1">IFERROR(__xludf.DUMMYFUNCTION("""COMPUTED_VALUE"""),4.94999999999999)</f>
        <v>4.9499999999999904</v>
      </c>
    </row>
    <row r="985" spans="1:21" ht="12.75" x14ac:dyDescent="0.2">
      <c r="A985" s="3">
        <f ca="1">IFERROR(__xludf.DUMMYFUNCTION("""COMPUTED_VALUE"""),40148.5152777777)</f>
        <v>40148.515277777697</v>
      </c>
      <c r="B985" s="1">
        <f ca="1">IFERROR(__xludf.DUMMYFUNCTION("""COMPUTED_VALUE"""),2.95)</f>
        <v>2.95</v>
      </c>
      <c r="E985" s="1" t="str">
        <f ca="1">IFERROR(__xludf.DUMMYFUNCTION("""COMPUTED_VALUE"""),"FRENCH ENAMEL CANDLEHOLDER")</f>
        <v>FRENCH ENAMEL CANDLEHOLDER</v>
      </c>
      <c r="F985" s="1">
        <f ca="1">IFERROR(__xludf.DUMMYFUNCTION("""COMPUTED_VALUE"""),2)</f>
        <v>2</v>
      </c>
      <c r="G985" s="1">
        <f ca="1">IFERROR(__xludf.DUMMYFUNCTION("""COMPUTED_VALUE"""),2.1)</f>
        <v>2.1</v>
      </c>
      <c r="J985" s="1" t="str">
        <f ca="1">IFERROR(__xludf.DUMMYFUNCTION("""COMPUTED_VALUE"""),"PINK STRIPE HOT WATER BOTTLE")</f>
        <v>PINK STRIPE HOT WATER BOTTLE</v>
      </c>
      <c r="K985" s="1">
        <f ca="1">IFERROR(__xludf.DUMMYFUNCTION("""COMPUTED_VALUE"""),2)</f>
        <v>2</v>
      </c>
      <c r="L985" s="1">
        <f ca="1">IFERROR(__xludf.DUMMYFUNCTION("""COMPUTED_VALUE"""),2.95)</f>
        <v>2.95</v>
      </c>
      <c r="T985" s="1">
        <f ca="1">IFERROR(__xludf.DUMMYFUNCTION("""COMPUTED_VALUE"""),489545)</f>
        <v>489545</v>
      </c>
      <c r="U985" s="1">
        <f ca="1">IFERROR(__xludf.DUMMYFUNCTION("""COMPUTED_VALUE"""),5.9)</f>
        <v>5.9</v>
      </c>
    </row>
    <row r="986" spans="1:21" ht="12.75" x14ac:dyDescent="0.2">
      <c r="A986" s="3">
        <f ca="1">IFERROR(__xludf.DUMMYFUNCTION("""COMPUTED_VALUE"""),40148.5152777777)</f>
        <v>40148.515277777697</v>
      </c>
      <c r="B986" s="1">
        <f ca="1">IFERROR(__xludf.DUMMYFUNCTION("""COMPUTED_VALUE"""),3.45)</f>
        <v>3.45</v>
      </c>
      <c r="E986" s="1" t="str">
        <f ca="1">IFERROR(__xludf.DUMMYFUNCTION("""COMPUTED_VALUE"""),"DAIRY MAID SUGAR JAM BOWL")</f>
        <v>DAIRY MAID SUGAR JAM BOWL</v>
      </c>
      <c r="F986" s="1">
        <f ca="1">IFERROR(__xludf.DUMMYFUNCTION("""COMPUTED_VALUE"""),2)</f>
        <v>2</v>
      </c>
      <c r="G986" s="1">
        <f ca="1">IFERROR(__xludf.DUMMYFUNCTION("""COMPUTED_VALUE"""),2.1)</f>
        <v>2.1</v>
      </c>
      <c r="J986" s="1" t="str">
        <f ca="1">IFERROR(__xludf.DUMMYFUNCTION("""COMPUTED_VALUE"""),"CHICK GREY HOT WATER BOTTLE")</f>
        <v>CHICK GREY HOT WATER BOTTLE</v>
      </c>
      <c r="K986" s="1">
        <f ca="1">IFERROR(__xludf.DUMMYFUNCTION("""COMPUTED_VALUE"""),2)</f>
        <v>2</v>
      </c>
      <c r="L986" s="1">
        <f ca="1">IFERROR(__xludf.DUMMYFUNCTION("""COMPUTED_VALUE"""),3.45)</f>
        <v>3.45</v>
      </c>
      <c r="T986" s="1">
        <f ca="1">IFERROR(__xludf.DUMMYFUNCTION("""COMPUTED_VALUE"""),489545)</f>
        <v>489545</v>
      </c>
      <c r="U986" s="1">
        <f ca="1">IFERROR(__xludf.DUMMYFUNCTION("""COMPUTED_VALUE"""),6.9)</f>
        <v>6.9</v>
      </c>
    </row>
    <row r="987" spans="1:21" ht="12.75" x14ac:dyDescent="0.2">
      <c r="A987" s="3">
        <f ca="1">IFERROR(__xludf.DUMMYFUNCTION("""COMPUTED_VALUE"""),40148.5152777777)</f>
        <v>40148.515277777697</v>
      </c>
      <c r="B987" s="1">
        <f ca="1">IFERROR(__xludf.DUMMYFUNCTION("""COMPUTED_VALUE"""),1.25)</f>
        <v>1.25</v>
      </c>
      <c r="E987" s="1" t="str">
        <f ca="1">IFERROR(__xludf.DUMMYFUNCTION("""COMPUTED_VALUE"""),"DAIRY MAID CERAMIC TOASTRACK")</f>
        <v>DAIRY MAID CERAMIC TOASTRACK</v>
      </c>
      <c r="F987" s="1">
        <f ca="1">IFERROR(__xludf.DUMMYFUNCTION("""COMPUTED_VALUE"""),2)</f>
        <v>2</v>
      </c>
      <c r="G987" s="1">
        <f ca="1">IFERROR(__xludf.DUMMYFUNCTION("""COMPUTED_VALUE"""),2.95)</f>
        <v>2.95</v>
      </c>
      <c r="J987" s="1" t="str">
        <f ca="1">IFERROR(__xludf.DUMMYFUNCTION("""COMPUTED_VALUE"""),"RETRO COFFEE MUGS ASSORTED")</f>
        <v>RETRO COFFEE MUGS ASSORTED</v>
      </c>
      <c r="K987" s="1">
        <f ca="1">IFERROR(__xludf.DUMMYFUNCTION("""COMPUTED_VALUE"""),2)</f>
        <v>2</v>
      </c>
      <c r="L987" s="1">
        <f ca="1">IFERROR(__xludf.DUMMYFUNCTION("""COMPUTED_VALUE"""),1.25)</f>
        <v>1.25</v>
      </c>
      <c r="T987" s="1">
        <f ca="1">IFERROR(__xludf.DUMMYFUNCTION("""COMPUTED_VALUE"""),489545)</f>
        <v>489545</v>
      </c>
      <c r="U987" s="1">
        <f ca="1">IFERROR(__xludf.DUMMYFUNCTION("""COMPUTED_VALUE"""),2.5)</f>
        <v>2.5</v>
      </c>
    </row>
    <row r="988" spans="1:21" ht="12.75" x14ac:dyDescent="0.2">
      <c r="A988" s="3">
        <f ca="1">IFERROR(__xludf.DUMMYFUNCTION("""COMPUTED_VALUE"""),40148.5152777777)</f>
        <v>40148.515277777697</v>
      </c>
      <c r="B988" s="1">
        <f ca="1">IFERROR(__xludf.DUMMYFUNCTION("""COMPUTED_VALUE"""),12.75)</f>
        <v>12.75</v>
      </c>
      <c r="E988" s="1" t="str">
        <f ca="1">IFERROR(__xludf.DUMMYFUNCTION("""COMPUTED_VALUE"""),"YELLOW BREAKFAST CUP AND SAUCER")</f>
        <v>YELLOW BREAKFAST CUP AND SAUCER</v>
      </c>
      <c r="F988" s="1">
        <f ca="1">IFERROR(__xludf.DUMMYFUNCTION("""COMPUTED_VALUE"""),2)</f>
        <v>2</v>
      </c>
      <c r="G988" s="1">
        <f ca="1">IFERROR(__xludf.DUMMYFUNCTION("""COMPUTED_VALUE"""),2.95)</f>
        <v>2.95</v>
      </c>
      <c r="J988" s="1" t="str">
        <f ca="1">IFERROR(__xludf.DUMMYFUNCTION("""COMPUTED_VALUE"""),"CARNIVAL BRACELET")</f>
        <v>CARNIVAL BRACELET</v>
      </c>
      <c r="K988" s="1">
        <f ca="1">IFERROR(__xludf.DUMMYFUNCTION("""COMPUTED_VALUE"""),1)</f>
        <v>1</v>
      </c>
      <c r="L988" s="1">
        <f ca="1">IFERROR(__xludf.DUMMYFUNCTION("""COMPUTED_VALUE"""),12.75)</f>
        <v>12.75</v>
      </c>
      <c r="T988" s="1">
        <f ca="1">IFERROR(__xludf.DUMMYFUNCTION("""COMPUTED_VALUE"""),489545)</f>
        <v>489545</v>
      </c>
      <c r="U988" s="1">
        <f ca="1">IFERROR(__xludf.DUMMYFUNCTION("""COMPUTED_VALUE"""),12.75)</f>
        <v>12.75</v>
      </c>
    </row>
    <row r="989" spans="1:21" ht="12.75" x14ac:dyDescent="0.2">
      <c r="A989" s="3">
        <f ca="1">IFERROR(__xludf.DUMMYFUNCTION("""COMPUTED_VALUE"""),40148.5152777777)</f>
        <v>40148.515277777697</v>
      </c>
      <c r="B989" s="1">
        <f ca="1">IFERROR(__xludf.DUMMYFUNCTION("""COMPUTED_VALUE"""),3.45)</f>
        <v>3.45</v>
      </c>
      <c r="E989" s="1" t="str">
        <f ca="1">IFERROR(__xludf.DUMMYFUNCTION("""COMPUTED_VALUE"""),"BLUE BREAKFAST CUP AND SAUCER")</f>
        <v>BLUE BREAKFAST CUP AND SAUCER</v>
      </c>
      <c r="F989" s="1">
        <f ca="1">IFERROR(__xludf.DUMMYFUNCTION("""COMPUTED_VALUE"""),2)</f>
        <v>2</v>
      </c>
      <c r="G989" s="1">
        <f ca="1">IFERROR(__xludf.DUMMYFUNCTION("""COMPUTED_VALUE"""),2.95)</f>
        <v>2.95</v>
      </c>
      <c r="J989" s="1" t="str">
        <f ca="1">IFERROR(__xludf.DUMMYFUNCTION("""COMPUTED_VALUE"""),"BIRD HOUSE HOT WATER BOTTLE")</f>
        <v>BIRD HOUSE HOT WATER BOTTLE</v>
      </c>
      <c r="K989" s="1">
        <f ca="1">IFERROR(__xludf.DUMMYFUNCTION("""COMPUTED_VALUE"""),1)</f>
        <v>1</v>
      </c>
      <c r="L989" s="1">
        <f ca="1">IFERROR(__xludf.DUMMYFUNCTION("""COMPUTED_VALUE"""),3.45)</f>
        <v>3.45</v>
      </c>
      <c r="T989" s="1">
        <f ca="1">IFERROR(__xludf.DUMMYFUNCTION("""COMPUTED_VALUE"""),489545)</f>
        <v>489545</v>
      </c>
      <c r="U989" s="1">
        <f ca="1">IFERROR(__xludf.DUMMYFUNCTION("""COMPUTED_VALUE"""),3.45)</f>
        <v>3.45</v>
      </c>
    </row>
    <row r="990" spans="1:21" ht="12.75" x14ac:dyDescent="0.2">
      <c r="A990" s="3">
        <f ca="1">IFERROR(__xludf.DUMMYFUNCTION("""COMPUTED_VALUE"""),40148.5152777777)</f>
        <v>40148.515277777697</v>
      </c>
      <c r="B990" s="1">
        <f ca="1">IFERROR(__xludf.DUMMYFUNCTION("""COMPUTED_VALUE"""),3.45)</f>
        <v>3.45</v>
      </c>
      <c r="E990" s="1" t="str">
        <f ca="1">IFERROR(__xludf.DUMMYFUNCTION("""COMPUTED_VALUE"""),"PINK BREAKFAST CUP AND SAUCER")</f>
        <v>PINK BREAKFAST CUP AND SAUCER</v>
      </c>
      <c r="F990" s="1">
        <f ca="1">IFERROR(__xludf.DUMMYFUNCTION("""COMPUTED_VALUE"""),2)</f>
        <v>2</v>
      </c>
      <c r="G990" s="1">
        <f ca="1">IFERROR(__xludf.DUMMYFUNCTION("""COMPUTED_VALUE"""),2.95)</f>
        <v>2.95</v>
      </c>
      <c r="J990" s="1" t="str">
        <f ca="1">IFERROR(__xludf.DUMMYFUNCTION("""COMPUTED_VALUE"""),"GREY HEART HOT WATER BOTTLE")</f>
        <v>GREY HEART HOT WATER BOTTLE</v>
      </c>
      <c r="K990" s="1">
        <f ca="1">IFERROR(__xludf.DUMMYFUNCTION("""COMPUTED_VALUE"""),1)</f>
        <v>1</v>
      </c>
      <c r="L990" s="1">
        <f ca="1">IFERROR(__xludf.DUMMYFUNCTION("""COMPUTED_VALUE"""),3.45)</f>
        <v>3.45</v>
      </c>
      <c r="T990" s="1">
        <f ca="1">IFERROR(__xludf.DUMMYFUNCTION("""COMPUTED_VALUE"""),489545)</f>
        <v>489545</v>
      </c>
      <c r="U990" s="1">
        <f ca="1">IFERROR(__xludf.DUMMYFUNCTION("""COMPUTED_VALUE"""),3.45)</f>
        <v>3.45</v>
      </c>
    </row>
    <row r="991" spans="1:21" ht="12.75" x14ac:dyDescent="0.2">
      <c r="A991" s="3">
        <f ca="1">IFERROR(__xludf.DUMMYFUNCTION("""COMPUTED_VALUE"""),40148.5152777777)</f>
        <v>40148.515277777697</v>
      </c>
      <c r="B991" s="1">
        <f ca="1">IFERROR(__xludf.DUMMYFUNCTION("""COMPUTED_VALUE"""),2.95)</f>
        <v>2.95</v>
      </c>
      <c r="E991" s="1" t="str">
        <f ca="1">IFERROR(__xludf.DUMMYFUNCTION("""COMPUTED_VALUE"""),"FRENCH ENAMEL UTENSIL HOLDER")</f>
        <v>FRENCH ENAMEL UTENSIL HOLDER</v>
      </c>
      <c r="F991" s="1">
        <f ca="1">IFERROR(__xludf.DUMMYFUNCTION("""COMPUTED_VALUE"""),2)</f>
        <v>2</v>
      </c>
      <c r="G991" s="1">
        <f ca="1">IFERROR(__xludf.DUMMYFUNCTION("""COMPUTED_VALUE"""),3.75)</f>
        <v>3.75</v>
      </c>
      <c r="J991" s="1" t="str">
        <f ca="1">IFERROR(__xludf.DUMMYFUNCTION("""COMPUTED_VALUE"""),"SET/5 RED SPOTTY LID GLASS BOWLS")</f>
        <v>SET/5 RED SPOTTY LID GLASS BOWLS</v>
      </c>
      <c r="K991" s="1">
        <f ca="1">IFERROR(__xludf.DUMMYFUNCTION("""COMPUTED_VALUE"""),1)</f>
        <v>1</v>
      </c>
      <c r="L991" s="1">
        <f ca="1">IFERROR(__xludf.DUMMYFUNCTION("""COMPUTED_VALUE"""),2.95)</f>
        <v>2.95</v>
      </c>
      <c r="T991" s="1">
        <f ca="1">IFERROR(__xludf.DUMMYFUNCTION("""COMPUTED_VALUE"""),489545)</f>
        <v>489545</v>
      </c>
      <c r="U991" s="1">
        <f ca="1">IFERROR(__xludf.DUMMYFUNCTION("""COMPUTED_VALUE"""),2.95)</f>
        <v>2.95</v>
      </c>
    </row>
    <row r="992" spans="1:21" ht="12.75" x14ac:dyDescent="0.2">
      <c r="A992" s="3">
        <f ca="1">IFERROR(__xludf.DUMMYFUNCTION("""COMPUTED_VALUE"""),40148.5152777777)</f>
        <v>40148.515277777697</v>
      </c>
      <c r="B992" s="1">
        <f ca="1">IFERROR(__xludf.DUMMYFUNCTION("""COMPUTED_VALUE"""),1.25)</f>
        <v>1.25</v>
      </c>
      <c r="E992" s="1" t="str">
        <f ca="1">IFERROR(__xludf.DUMMYFUNCTION("""COMPUTED_VALUE"""),"FRENCH CHATEAU SMALL FRUITBOWL")</f>
        <v>FRENCH CHATEAU SMALL FRUITBOWL</v>
      </c>
      <c r="F992" s="1">
        <f ca="1">IFERROR(__xludf.DUMMYFUNCTION("""COMPUTED_VALUE"""),2)</f>
        <v>2</v>
      </c>
      <c r="G992" s="1">
        <f ca="1">IFERROR(__xludf.DUMMYFUNCTION("""COMPUTED_VALUE"""),4.95)</f>
        <v>4.95</v>
      </c>
      <c r="J992" s="1" t="str">
        <f ca="1">IFERROR(__xludf.DUMMYFUNCTION("""COMPUTED_VALUE"""),"POTTING SHED TEA MUG")</f>
        <v>POTTING SHED TEA MUG</v>
      </c>
      <c r="K992" s="1">
        <f ca="1">IFERROR(__xludf.DUMMYFUNCTION("""COMPUTED_VALUE"""),1)</f>
        <v>1</v>
      </c>
      <c r="L992" s="1">
        <f ca="1">IFERROR(__xludf.DUMMYFUNCTION("""COMPUTED_VALUE"""),1.25)</f>
        <v>1.25</v>
      </c>
      <c r="T992" s="1">
        <f ca="1">IFERROR(__xludf.DUMMYFUNCTION("""COMPUTED_VALUE"""),489545)</f>
        <v>489545</v>
      </c>
      <c r="U992" s="1">
        <f ca="1">IFERROR(__xludf.DUMMYFUNCTION("""COMPUTED_VALUE"""),1.25)</f>
        <v>1.25</v>
      </c>
    </row>
    <row r="993" spans="1:21" ht="12.75" x14ac:dyDescent="0.2">
      <c r="A993" s="3">
        <f ca="1">IFERROR(__xludf.DUMMYFUNCTION("""COMPUTED_VALUE"""),40148.5152777777)</f>
        <v>40148.515277777697</v>
      </c>
      <c r="B993" s="1">
        <f ca="1">IFERROR(__xludf.DUMMYFUNCTION("""COMPUTED_VALUE"""),1.45)</f>
        <v>1.45</v>
      </c>
      <c r="E993" s="1" t="str">
        <f ca="1">IFERROR(__xludf.DUMMYFUNCTION("""COMPUTED_VALUE"""),"CHRISTMAS CRAFT HEART STOCKING")</f>
        <v>CHRISTMAS CRAFT HEART STOCKING</v>
      </c>
      <c r="F993" s="1">
        <f ca="1">IFERROR(__xludf.DUMMYFUNCTION("""COMPUTED_VALUE"""),2)</f>
        <v>2</v>
      </c>
      <c r="G993" s="1">
        <f ca="1">IFERROR(__xludf.DUMMYFUNCTION("""COMPUTED_VALUE"""),2.1)</f>
        <v>2.1</v>
      </c>
      <c r="J993" s="1" t="str">
        <f ca="1">IFERROR(__xludf.DUMMYFUNCTION("""COMPUTED_VALUE"""),"TOXIC AREA  DOOR HANGER")</f>
        <v>TOXIC AREA  DOOR HANGER</v>
      </c>
      <c r="K993" s="1">
        <f ca="1">IFERROR(__xludf.DUMMYFUNCTION("""COMPUTED_VALUE"""),1)</f>
        <v>1</v>
      </c>
      <c r="L993" s="1">
        <f ca="1">IFERROR(__xludf.DUMMYFUNCTION("""COMPUTED_VALUE"""),1.45)</f>
        <v>1.45</v>
      </c>
      <c r="T993" s="1">
        <f ca="1">IFERROR(__xludf.DUMMYFUNCTION("""COMPUTED_VALUE"""),489545)</f>
        <v>489545</v>
      </c>
      <c r="U993" s="1">
        <f ca="1">IFERROR(__xludf.DUMMYFUNCTION("""COMPUTED_VALUE"""),1.45)</f>
        <v>1.45</v>
      </c>
    </row>
    <row r="994" spans="1:21" ht="12.75" x14ac:dyDescent="0.2">
      <c r="A994" s="3">
        <f ca="1">IFERROR(__xludf.DUMMYFUNCTION("""COMPUTED_VALUE"""),40148.5152777777)</f>
        <v>40148.515277777697</v>
      </c>
      <c r="B994" s="1">
        <f ca="1">IFERROR(__xludf.DUMMYFUNCTION("""COMPUTED_VALUE"""),2.1)</f>
        <v>2.1</v>
      </c>
      <c r="E994" s="1" t="str">
        <f ca="1">IFERROR(__xludf.DUMMYFUNCTION("""COMPUTED_VALUE"""),"CHRISTMAS CRAFT WHITE FAIRY")</f>
        <v>CHRISTMAS CRAFT WHITE FAIRY</v>
      </c>
      <c r="F994" s="1">
        <f ca="1">IFERROR(__xludf.DUMMYFUNCTION("""COMPUTED_VALUE"""),2)</f>
        <v>2</v>
      </c>
      <c r="G994" s="1">
        <f ca="1">IFERROR(__xludf.DUMMYFUNCTION("""COMPUTED_VALUE"""),1.45)</f>
        <v>1.45</v>
      </c>
      <c r="J994" s="1" t="str">
        <f ca="1">IFERROR(__xludf.DUMMYFUNCTION("""COMPUTED_VALUE"""),"CHRISTMAS CRAFT HEART DECORATIONS")</f>
        <v>CHRISTMAS CRAFT HEART DECORATIONS</v>
      </c>
      <c r="K994" s="1">
        <f ca="1">IFERROR(__xludf.DUMMYFUNCTION("""COMPUTED_VALUE"""),1)</f>
        <v>1</v>
      </c>
      <c r="L994" s="1">
        <f ca="1">IFERROR(__xludf.DUMMYFUNCTION("""COMPUTED_VALUE"""),2.1)</f>
        <v>2.1</v>
      </c>
      <c r="T994" s="1">
        <f ca="1">IFERROR(__xludf.DUMMYFUNCTION("""COMPUTED_VALUE"""),489545)</f>
        <v>489545</v>
      </c>
      <c r="U994" s="1">
        <f ca="1">IFERROR(__xludf.DUMMYFUNCTION("""COMPUTED_VALUE"""),2.1)</f>
        <v>2.1</v>
      </c>
    </row>
    <row r="995" spans="1:21" ht="12.75" x14ac:dyDescent="0.2">
      <c r="A995" s="3">
        <f ca="1">IFERROR(__xludf.DUMMYFUNCTION("""COMPUTED_VALUE"""),40148.5152777777)</f>
        <v>40148.515277777697</v>
      </c>
      <c r="B995" s="1">
        <f ca="1">IFERROR(__xludf.DUMMYFUNCTION("""COMPUTED_VALUE"""),1.65)</f>
        <v>1.65</v>
      </c>
      <c r="E995" s="1" t="str">
        <f ca="1">IFERROR(__xludf.DUMMYFUNCTION("""COMPUTED_VALUE"""),"SET OF THREE 50'S GIFT WRAPS")</f>
        <v>SET OF THREE 50'S GIFT WRAPS</v>
      </c>
      <c r="F995" s="1">
        <f ca="1">IFERROR(__xludf.DUMMYFUNCTION("""COMPUTED_VALUE"""),2)</f>
        <v>2</v>
      </c>
      <c r="G995" s="1">
        <f ca="1">IFERROR(__xludf.DUMMYFUNCTION("""COMPUTED_VALUE"""),1.95)</f>
        <v>1.95</v>
      </c>
      <c r="J995" s="1" t="str">
        <f ca="1">IFERROR(__xludf.DUMMYFUNCTION("""COMPUTED_VALUE"""),"RIBBON REEL FLORA + FAUNA")</f>
        <v>RIBBON REEL FLORA + FAUNA</v>
      </c>
      <c r="K995" s="1">
        <f ca="1">IFERROR(__xludf.DUMMYFUNCTION("""COMPUTED_VALUE"""),1)</f>
        <v>1</v>
      </c>
      <c r="L995" s="1">
        <f ca="1">IFERROR(__xludf.DUMMYFUNCTION("""COMPUTED_VALUE"""),1.65)</f>
        <v>1.65</v>
      </c>
      <c r="T995" s="1">
        <f ca="1">IFERROR(__xludf.DUMMYFUNCTION("""COMPUTED_VALUE"""),489545)</f>
        <v>489545</v>
      </c>
      <c r="U995" s="1">
        <f ca="1">IFERROR(__xludf.DUMMYFUNCTION("""COMPUTED_VALUE"""),1.65)</f>
        <v>1.65</v>
      </c>
    </row>
    <row r="996" spans="1:21" ht="12.75" x14ac:dyDescent="0.2">
      <c r="A996" s="3">
        <f ca="1">IFERROR(__xludf.DUMMYFUNCTION("""COMPUTED_VALUE"""),40148.5152777777)</f>
        <v>40148.515277777697</v>
      </c>
      <c r="B996" s="1">
        <f ca="1">IFERROR(__xludf.DUMMYFUNCTION("""COMPUTED_VALUE"""),1.65)</f>
        <v>1.65</v>
      </c>
      <c r="E996" s="1" t="str">
        <f ca="1">IFERROR(__xludf.DUMMYFUNCTION("""COMPUTED_VALUE"""),"SET OF 72 IVORY PAPER DOILIES")</f>
        <v>SET OF 72 IVORY PAPER DOILIES</v>
      </c>
      <c r="F996" s="1">
        <f ca="1">IFERROR(__xludf.DUMMYFUNCTION("""COMPUTED_VALUE"""),2)</f>
        <v>2</v>
      </c>
      <c r="G996" s="1">
        <f ca="1">IFERROR(__xludf.DUMMYFUNCTION("""COMPUTED_VALUE"""),1.45)</f>
        <v>1.45</v>
      </c>
      <c r="J996" s="1" t="str">
        <f ca="1">IFERROR(__xludf.DUMMYFUNCTION("""COMPUTED_VALUE"""),"RIBBON REEL HEARTS DESIGN")</f>
        <v>RIBBON REEL HEARTS DESIGN</v>
      </c>
      <c r="K996" s="1">
        <f ca="1">IFERROR(__xludf.DUMMYFUNCTION("""COMPUTED_VALUE"""),1)</f>
        <v>1</v>
      </c>
      <c r="L996" s="1">
        <f ca="1">IFERROR(__xludf.DUMMYFUNCTION("""COMPUTED_VALUE"""),1.65)</f>
        <v>1.65</v>
      </c>
      <c r="T996" s="1">
        <f ca="1">IFERROR(__xludf.DUMMYFUNCTION("""COMPUTED_VALUE"""),489545)</f>
        <v>489545</v>
      </c>
      <c r="U996" s="1">
        <f ca="1">IFERROR(__xludf.DUMMYFUNCTION("""COMPUTED_VALUE"""),1.65)</f>
        <v>1.65</v>
      </c>
    </row>
    <row r="997" spans="1:21" ht="12.75" x14ac:dyDescent="0.2">
      <c r="A997" s="3">
        <f ca="1">IFERROR(__xludf.DUMMYFUNCTION("""COMPUTED_VALUE"""),40148.5152777777)</f>
        <v>40148.515277777697</v>
      </c>
      <c r="B997" s="1">
        <f ca="1">IFERROR(__xludf.DUMMYFUNCTION("""COMPUTED_VALUE"""),2.95)</f>
        <v>2.95</v>
      </c>
      <c r="E997" s="1" t="str">
        <f ca="1">IFERROR(__xludf.DUMMYFUNCTION("""COMPUTED_VALUE"""),"SET OF 72 BLACK PAPER DOILIES")</f>
        <v>SET OF 72 BLACK PAPER DOILIES</v>
      </c>
      <c r="F997" s="1">
        <f ca="1">IFERROR(__xludf.DUMMYFUNCTION("""COMPUTED_VALUE"""),2)</f>
        <v>2</v>
      </c>
      <c r="G997" s="1">
        <f ca="1">IFERROR(__xludf.DUMMYFUNCTION("""COMPUTED_VALUE"""),1.45)</f>
        <v>1.45</v>
      </c>
      <c r="J997" s="1" t="str">
        <f ca="1">IFERROR(__xludf.DUMMYFUNCTION("""COMPUTED_VALUE"""),"FELTCRAFT DOLL MOLLY")</f>
        <v>FELTCRAFT DOLL MOLLY</v>
      </c>
      <c r="K997" s="1">
        <f ca="1">IFERROR(__xludf.DUMMYFUNCTION("""COMPUTED_VALUE"""),1)</f>
        <v>1</v>
      </c>
      <c r="L997" s="1">
        <f ca="1">IFERROR(__xludf.DUMMYFUNCTION("""COMPUTED_VALUE"""),2.95)</f>
        <v>2.95</v>
      </c>
      <c r="T997" s="1">
        <f ca="1">IFERROR(__xludf.DUMMYFUNCTION("""COMPUTED_VALUE"""),489545)</f>
        <v>489545</v>
      </c>
      <c r="U997" s="1">
        <f ca="1">IFERROR(__xludf.DUMMYFUNCTION("""COMPUTED_VALUE"""),2.95)</f>
        <v>2.95</v>
      </c>
    </row>
    <row r="998" spans="1:21" ht="12.75" x14ac:dyDescent="0.2">
      <c r="A998" s="3">
        <f ca="1">IFERROR(__xludf.DUMMYFUNCTION("""COMPUTED_VALUE"""),40148.5152777777)</f>
        <v>40148.515277777697</v>
      </c>
      <c r="B998" s="1">
        <f ca="1">IFERROR(__xludf.DUMMYFUNCTION("""COMPUTED_VALUE"""),2.95)</f>
        <v>2.95</v>
      </c>
      <c r="E998" s="1" t="str">
        <f ca="1">IFERROR(__xludf.DUMMYFUNCTION("""COMPUTED_VALUE"""),"SET OF 72 GREEN PAPER DOILIES")</f>
        <v>SET OF 72 GREEN PAPER DOILIES</v>
      </c>
      <c r="F998" s="1">
        <f ca="1">IFERROR(__xludf.DUMMYFUNCTION("""COMPUTED_VALUE"""),2)</f>
        <v>2</v>
      </c>
      <c r="G998" s="1">
        <f ca="1">IFERROR(__xludf.DUMMYFUNCTION("""COMPUTED_VALUE"""),1.45)</f>
        <v>1.45</v>
      </c>
      <c r="J998" s="1" t="str">
        <f ca="1">IFERROR(__xludf.DUMMYFUNCTION("""COMPUTED_VALUE"""),"FELTCRAFT DOLL MARIA")</f>
        <v>FELTCRAFT DOLL MARIA</v>
      </c>
      <c r="K998" s="1">
        <f ca="1">IFERROR(__xludf.DUMMYFUNCTION("""COMPUTED_VALUE"""),1)</f>
        <v>1</v>
      </c>
      <c r="L998" s="1">
        <f ca="1">IFERROR(__xludf.DUMMYFUNCTION("""COMPUTED_VALUE"""),2.95)</f>
        <v>2.95</v>
      </c>
      <c r="T998" s="1">
        <f ca="1">IFERROR(__xludf.DUMMYFUNCTION("""COMPUTED_VALUE"""),489545)</f>
        <v>489545</v>
      </c>
      <c r="U998" s="1">
        <f ca="1">IFERROR(__xludf.DUMMYFUNCTION("""COMPUTED_VALUE"""),2.95)</f>
        <v>2.95</v>
      </c>
    </row>
    <row r="999" spans="1:21" ht="12.75" x14ac:dyDescent="0.2">
      <c r="A999" s="3">
        <f ca="1">IFERROR(__xludf.DUMMYFUNCTION("""COMPUTED_VALUE"""),40148.5152777777)</f>
        <v>40148.515277777697</v>
      </c>
      <c r="B999" s="1">
        <f ca="1">IFERROR(__xludf.DUMMYFUNCTION("""COMPUTED_VALUE"""),2.95)</f>
        <v>2.95</v>
      </c>
      <c r="E999" s="1" t="str">
        <f ca="1">IFERROR(__xludf.DUMMYFUNCTION("""COMPUTED_VALUE"""),"GEISHA GIRL CHOPSTICKS SET/5")</f>
        <v>GEISHA GIRL CHOPSTICKS SET/5</v>
      </c>
      <c r="F999" s="1">
        <f ca="1">IFERROR(__xludf.DUMMYFUNCTION("""COMPUTED_VALUE"""),2)</f>
        <v>2</v>
      </c>
      <c r="G999" s="1">
        <f ca="1">IFERROR(__xludf.DUMMYFUNCTION("""COMPUTED_VALUE"""),1.95)</f>
        <v>1.95</v>
      </c>
      <c r="J999" s="1" t="str">
        <f ca="1">IFERROR(__xludf.DUMMYFUNCTION("""COMPUTED_VALUE"""),"FELTCRAFT DOLL EMILY")</f>
        <v>FELTCRAFT DOLL EMILY</v>
      </c>
      <c r="K999" s="1">
        <f ca="1">IFERROR(__xludf.DUMMYFUNCTION("""COMPUTED_VALUE"""),1)</f>
        <v>1</v>
      </c>
      <c r="L999" s="1">
        <f ca="1">IFERROR(__xludf.DUMMYFUNCTION("""COMPUTED_VALUE"""),2.95)</f>
        <v>2.95</v>
      </c>
      <c r="T999" s="1">
        <f ca="1">IFERROR(__xludf.DUMMYFUNCTION("""COMPUTED_VALUE"""),489545)</f>
        <v>489545</v>
      </c>
      <c r="U999" s="1">
        <f ca="1">IFERROR(__xludf.DUMMYFUNCTION("""COMPUTED_VALUE"""),2.95)</f>
        <v>2.95</v>
      </c>
    </row>
    <row r="1000" spans="1:21" ht="12.75" x14ac:dyDescent="0.2">
      <c r="A1000" s="3">
        <f ca="1">IFERROR(__xludf.DUMMYFUNCTION("""COMPUTED_VALUE"""),40148.5152777777)</f>
        <v>40148.515277777697</v>
      </c>
      <c r="B1000" s="1">
        <f ca="1">IFERROR(__xludf.DUMMYFUNCTION("""COMPUTED_VALUE"""),1.25)</f>
        <v>1.25</v>
      </c>
      <c r="E1000" s="1" t="str">
        <f ca="1">IFERROR(__xludf.DUMMYFUNCTION("""COMPUTED_VALUE"""),"URBAN CHIC CHOPSTICKS SET/5")</f>
        <v>URBAN CHIC CHOPSTICKS SET/5</v>
      </c>
      <c r="F1000" s="1">
        <f ca="1">IFERROR(__xludf.DUMMYFUNCTION("""COMPUTED_VALUE"""),2)</f>
        <v>2</v>
      </c>
      <c r="G1000" s="1">
        <f ca="1">IFERROR(__xludf.DUMMYFUNCTION("""COMPUTED_VALUE"""),1.95)</f>
        <v>1.95</v>
      </c>
      <c r="J1000" s="1" t="str">
        <f ca="1">IFERROR(__xludf.DUMMYFUNCTION("""COMPUTED_VALUE"""),"SET/10 BLUE SPOTTY PARTY CANDLES")</f>
        <v>SET/10 BLUE SPOTTY PARTY CANDLES</v>
      </c>
      <c r="K1000" s="1">
        <f ca="1">IFERROR(__xludf.DUMMYFUNCTION("""COMPUTED_VALUE"""),1)</f>
        <v>1</v>
      </c>
      <c r="L1000" s="1">
        <f ca="1">IFERROR(__xludf.DUMMYFUNCTION("""COMPUTED_VALUE"""),1.25)</f>
        <v>1.25</v>
      </c>
      <c r="T1000" s="1">
        <f ca="1">IFERROR(__xludf.DUMMYFUNCTION("""COMPUTED_VALUE"""),489545)</f>
        <v>489545</v>
      </c>
      <c r="U1000" s="1">
        <f ca="1">IFERROR(__xludf.DUMMYFUNCTION("""COMPUTED_VALUE"""),1.25)</f>
        <v>1.25</v>
      </c>
    </row>
    <row r="1001" spans="1:21" ht="12.75" x14ac:dyDescent="0.2">
      <c r="A1001" s="3">
        <f ca="1">IFERROR(__xludf.DUMMYFUNCTION("""COMPUTED_VALUE"""),40148.5152777777)</f>
        <v>40148.515277777697</v>
      </c>
      <c r="B1001" s="1">
        <f ca="1">IFERROR(__xludf.DUMMYFUNCTION("""COMPUTED_VALUE"""),1.25)</f>
        <v>1.25</v>
      </c>
      <c r="E1001" s="1" t="str">
        <f ca="1">IFERROR(__xludf.DUMMYFUNCTION("""COMPUTED_VALUE"""),"VINTAGE BILLBOARD MUG")</f>
        <v>VINTAGE BILLBOARD MUG</v>
      </c>
      <c r="F1001" s="1">
        <f ca="1">IFERROR(__xludf.DUMMYFUNCTION("""COMPUTED_VALUE"""),2)</f>
        <v>2</v>
      </c>
      <c r="G1001" s="1">
        <f ca="1">IFERROR(__xludf.DUMMYFUNCTION("""COMPUTED_VALUE"""),1.25)</f>
        <v>1.25</v>
      </c>
      <c r="J1001" s="1" t="str">
        <f ca="1">IFERROR(__xludf.DUMMYFUNCTION("""COMPUTED_VALUE"""),"SET/10 PINK SPOTTY PARTY CANDLES")</f>
        <v>SET/10 PINK SPOTTY PARTY CANDLES</v>
      </c>
      <c r="K1001" s="1">
        <f ca="1">IFERROR(__xludf.DUMMYFUNCTION("""COMPUTED_VALUE"""),1)</f>
        <v>1</v>
      </c>
      <c r="L1001" s="1">
        <f ca="1">IFERROR(__xludf.DUMMYFUNCTION("""COMPUTED_VALUE"""),1.25)</f>
        <v>1.25</v>
      </c>
      <c r="T1001" s="1">
        <f ca="1">IFERROR(__xludf.DUMMYFUNCTION("""COMPUTED_VALUE"""),489545)</f>
        <v>489545</v>
      </c>
      <c r="U1001" s="1">
        <f ca="1">IFERROR(__xludf.DUMMYFUNCTION("""COMPUTED_VALUE"""),1.25)</f>
        <v>1.25</v>
      </c>
    </row>
    <row r="1002" spans="1:21" ht="12.75" x14ac:dyDescent="0.2">
      <c r="A1002" s="3">
        <f ca="1">IFERROR(__xludf.DUMMYFUNCTION("""COMPUTED_VALUE"""),40148.5152777777)</f>
        <v>40148.515277777697</v>
      </c>
      <c r="B1002" s="1">
        <f ca="1">IFERROR(__xludf.DUMMYFUNCTION("""COMPUTED_VALUE"""),1.25)</f>
        <v>1.25</v>
      </c>
      <c r="E1002" s="1" t="str">
        <f ca="1">IFERROR(__xludf.DUMMYFUNCTION("""COMPUTED_VALUE"""),"VINTAGE RED MUG")</f>
        <v>VINTAGE RED MUG</v>
      </c>
      <c r="F1002" s="1">
        <f ca="1">IFERROR(__xludf.DUMMYFUNCTION("""COMPUTED_VALUE"""),2)</f>
        <v>2</v>
      </c>
      <c r="G1002" s="1">
        <f ca="1">IFERROR(__xludf.DUMMYFUNCTION("""COMPUTED_VALUE"""),1.25)</f>
        <v>1.25</v>
      </c>
      <c r="J1002" s="1" t="str">
        <f ca="1">IFERROR(__xludf.DUMMYFUNCTION("""COMPUTED_VALUE"""),"SET OF 6 GIRLS CELEBRATION CANDLES")</f>
        <v>SET OF 6 GIRLS CELEBRATION CANDLES</v>
      </c>
      <c r="K1002" s="1">
        <f ca="1">IFERROR(__xludf.DUMMYFUNCTION("""COMPUTED_VALUE"""),1)</f>
        <v>1</v>
      </c>
      <c r="L1002" s="1">
        <f ca="1">IFERROR(__xludf.DUMMYFUNCTION("""COMPUTED_VALUE"""),1.25)</f>
        <v>1.25</v>
      </c>
      <c r="T1002" s="1">
        <f ca="1">IFERROR(__xludf.DUMMYFUNCTION("""COMPUTED_VALUE"""),489545)</f>
        <v>489545</v>
      </c>
      <c r="U1002" s="1">
        <f ca="1">IFERROR(__xludf.DUMMYFUNCTION("""COMPUTED_VALUE"""),1.25)</f>
        <v>1.25</v>
      </c>
    </row>
    <row r="1003" spans="1:21" ht="12.75" x14ac:dyDescent="0.2">
      <c r="A1003" s="3">
        <f ca="1">IFERROR(__xludf.DUMMYFUNCTION("""COMPUTED_VALUE"""),40148.5152777777)</f>
        <v>40148.515277777697</v>
      </c>
      <c r="B1003" s="1">
        <f ca="1">IFERROR(__xludf.DUMMYFUNCTION("""COMPUTED_VALUE"""),1.25)</f>
        <v>1.25</v>
      </c>
      <c r="E1003" s="1" t="str">
        <f ca="1">IFERROR(__xludf.DUMMYFUNCTION("""COMPUTED_VALUE"""),"VINTAGE RED TEATIME MUG")</f>
        <v>VINTAGE RED TEATIME MUG</v>
      </c>
      <c r="F1003" s="1">
        <f ca="1">IFERROR(__xludf.DUMMYFUNCTION("""COMPUTED_VALUE"""),2)</f>
        <v>2</v>
      </c>
      <c r="G1003" s="1">
        <f ca="1">IFERROR(__xludf.DUMMYFUNCTION("""COMPUTED_VALUE"""),1.25)</f>
        <v>1.25</v>
      </c>
      <c r="J1003" s="1" t="str">
        <f ca="1">IFERROR(__xludf.DUMMYFUNCTION("""COMPUTED_VALUE"""),"SET 6 FOOTBALL CELEBRATION CANDLES")</f>
        <v>SET 6 FOOTBALL CELEBRATION CANDLES</v>
      </c>
      <c r="K1003" s="1">
        <f ca="1">IFERROR(__xludf.DUMMYFUNCTION("""COMPUTED_VALUE"""),1)</f>
        <v>1</v>
      </c>
      <c r="L1003" s="1">
        <f ca="1">IFERROR(__xludf.DUMMYFUNCTION("""COMPUTED_VALUE"""),1.25)</f>
        <v>1.25</v>
      </c>
      <c r="T1003" s="1">
        <f ca="1">IFERROR(__xludf.DUMMYFUNCTION("""COMPUTED_VALUE"""),489545)</f>
        <v>489545</v>
      </c>
      <c r="U1003" s="1">
        <f ca="1">IFERROR(__xludf.DUMMYFUNCTION("""COMPUTED_VALUE"""),1.25)</f>
        <v>1.25</v>
      </c>
    </row>
    <row r="1004" spans="1:21" ht="12.75" x14ac:dyDescent="0.2">
      <c r="A1004" s="3">
        <f ca="1">IFERROR(__xludf.DUMMYFUNCTION("""COMPUTED_VALUE"""),40148.5208333333)</f>
        <v>40148.520833333299</v>
      </c>
      <c r="B1004" s="1">
        <f ca="1">IFERROR(__xludf.DUMMYFUNCTION("""COMPUTED_VALUE"""),0.55)</f>
        <v>0.55000000000000004</v>
      </c>
      <c r="E1004" s="1" t="str">
        <f ca="1">IFERROR(__xludf.DUMMYFUNCTION("""COMPUTED_VALUE"""),"VINTAGE BILLBOARD TEA MUG")</f>
        <v>VINTAGE BILLBOARD TEA MUG</v>
      </c>
      <c r="F1004" s="1">
        <f ca="1">IFERROR(__xludf.DUMMYFUNCTION("""COMPUTED_VALUE"""),2)</f>
        <v>2</v>
      </c>
      <c r="G1004" s="1">
        <f ca="1">IFERROR(__xludf.DUMMYFUNCTION("""COMPUTED_VALUE"""),1.25)</f>
        <v>1.25</v>
      </c>
      <c r="J1004" s="1" t="str">
        <f ca="1">IFERROR(__xludf.DUMMYFUNCTION("""COMPUTED_VALUE"""),"PACK OF 72 RETRO SPOT CAKE CASES")</f>
        <v>PACK OF 72 RETRO SPOT CAKE CASES</v>
      </c>
      <c r="K1004" s="1">
        <f ca="1">IFERROR(__xludf.DUMMYFUNCTION("""COMPUTED_VALUE"""),24)</f>
        <v>24</v>
      </c>
      <c r="L1004" s="1">
        <f ca="1">IFERROR(__xludf.DUMMYFUNCTION("""COMPUTED_VALUE"""),0.55)</f>
        <v>0.55000000000000004</v>
      </c>
      <c r="T1004" s="1">
        <f ca="1">IFERROR(__xludf.DUMMYFUNCTION("""COMPUTED_VALUE"""),489546)</f>
        <v>489546</v>
      </c>
      <c r="U1004" s="1">
        <f ca="1">IFERROR(__xludf.DUMMYFUNCTION("""COMPUTED_VALUE"""),13.2)</f>
        <v>13.2</v>
      </c>
    </row>
    <row r="1005" spans="1:21" ht="12.75" x14ac:dyDescent="0.2">
      <c r="A1005" s="3">
        <f ca="1">IFERROR(__xludf.DUMMYFUNCTION("""COMPUTED_VALUE"""),40148.5208333333)</f>
        <v>40148.520833333299</v>
      </c>
      <c r="B1005" s="1">
        <f ca="1">IFERROR(__xludf.DUMMYFUNCTION("""COMPUTED_VALUE"""),1.25)</f>
        <v>1.25</v>
      </c>
      <c r="E1005" s="1" t="str">
        <f ca="1">IFERROR(__xludf.DUMMYFUNCTION("""COMPUTED_VALUE"""),"PINK FLOWER CROCHET FOOD COVER")</f>
        <v>PINK FLOWER CROCHET FOOD COVER</v>
      </c>
      <c r="F1005" s="1">
        <f ca="1">IFERROR(__xludf.DUMMYFUNCTION("""COMPUTED_VALUE"""),1)</f>
        <v>1</v>
      </c>
      <c r="G1005" s="1">
        <f ca="1">IFERROR(__xludf.DUMMYFUNCTION("""COMPUTED_VALUE"""),3.75)</f>
        <v>3.75</v>
      </c>
      <c r="J1005" s="1" t="str">
        <f ca="1">IFERROR(__xludf.DUMMYFUNCTION("""COMPUTED_VALUE"""),"STRAWBERRY CERAMIC TRINKET BOX")</f>
        <v>STRAWBERRY CERAMIC TRINKET BOX</v>
      </c>
      <c r="K1005" s="1">
        <f ca="1">IFERROR(__xludf.DUMMYFUNCTION("""COMPUTED_VALUE"""),12)</f>
        <v>12</v>
      </c>
      <c r="L1005" s="1">
        <f ca="1">IFERROR(__xludf.DUMMYFUNCTION("""COMPUTED_VALUE"""),1.25)</f>
        <v>1.25</v>
      </c>
      <c r="T1005" s="1">
        <f ca="1">IFERROR(__xludf.DUMMYFUNCTION("""COMPUTED_VALUE"""),489546)</f>
        <v>489546</v>
      </c>
      <c r="U1005" s="1">
        <f ca="1">IFERROR(__xludf.DUMMYFUNCTION("""COMPUTED_VALUE"""),15)</f>
        <v>15</v>
      </c>
    </row>
    <row r="1006" spans="1:21" ht="12.75" x14ac:dyDescent="0.2">
      <c r="A1006" s="3">
        <f ca="1">IFERROR(__xludf.DUMMYFUNCTION("""COMPUTED_VALUE"""),40148.5208333333)</f>
        <v>40148.520833333299</v>
      </c>
      <c r="B1006" s="1">
        <f ca="1">IFERROR(__xludf.DUMMYFUNCTION("""COMPUTED_VALUE"""),1.25)</f>
        <v>1.25</v>
      </c>
      <c r="E1006" s="1" t="str">
        <f ca="1">IFERROR(__xludf.DUMMYFUNCTION("""COMPUTED_VALUE"""),"RED FLOWER CROCHET FOOD COVER")</f>
        <v>RED FLOWER CROCHET FOOD COVER</v>
      </c>
      <c r="F1006" s="1">
        <f ca="1">IFERROR(__xludf.DUMMYFUNCTION("""COMPUTED_VALUE"""),1)</f>
        <v>1</v>
      </c>
      <c r="G1006" s="1">
        <f ca="1">IFERROR(__xludf.DUMMYFUNCTION("""COMPUTED_VALUE"""),3.75)</f>
        <v>3.75</v>
      </c>
      <c r="J1006" s="1" t="str">
        <f ca="1">IFERROR(__xludf.DUMMYFUNCTION("""COMPUTED_VALUE"""),"SWEETHEART CERAMIC TRINKET BOX")</f>
        <v>SWEETHEART CERAMIC TRINKET BOX</v>
      </c>
      <c r="K1006" s="1">
        <f ca="1">IFERROR(__xludf.DUMMYFUNCTION("""COMPUTED_VALUE"""),12)</f>
        <v>12</v>
      </c>
      <c r="L1006" s="1">
        <f ca="1">IFERROR(__xludf.DUMMYFUNCTION("""COMPUTED_VALUE"""),1.25)</f>
        <v>1.25</v>
      </c>
      <c r="T1006" s="1">
        <f ca="1">IFERROR(__xludf.DUMMYFUNCTION("""COMPUTED_VALUE"""),489546)</f>
        <v>489546</v>
      </c>
      <c r="U1006" s="1">
        <f ca="1">IFERROR(__xludf.DUMMYFUNCTION("""COMPUTED_VALUE"""),15)</f>
        <v>15</v>
      </c>
    </row>
    <row r="1007" spans="1:21" ht="12.75" x14ac:dyDescent="0.2">
      <c r="A1007" s="3">
        <f ca="1">IFERROR(__xludf.DUMMYFUNCTION("""COMPUTED_VALUE"""),40148.5208333333)</f>
        <v>40148.520833333299</v>
      </c>
      <c r="B1007" s="1">
        <f ca="1">IFERROR(__xludf.DUMMYFUNCTION("""COMPUTED_VALUE"""),0.85)</f>
        <v>0.85</v>
      </c>
      <c r="E1007" s="1" t="str">
        <f ca="1">IFERROR(__xludf.DUMMYFUNCTION("""COMPUTED_VALUE"""),"CHERRY CROCHET FOOD COVER")</f>
        <v>CHERRY CROCHET FOOD COVER</v>
      </c>
      <c r="F1007" s="1">
        <f ca="1">IFERROR(__xludf.DUMMYFUNCTION("""COMPUTED_VALUE"""),1)</f>
        <v>1</v>
      </c>
      <c r="G1007" s="1">
        <f ca="1">IFERROR(__xludf.DUMMYFUNCTION("""COMPUTED_VALUE"""),3.75)</f>
        <v>3.75</v>
      </c>
      <c r="J1007" s="1" t="str">
        <f ca="1">IFERROR(__xludf.DUMMYFUNCTION("""COMPUTED_VALUE"""),"SET/20 FRUIT SALAD PAPER NAPKINS")</f>
        <v>SET/20 FRUIT SALAD PAPER NAPKINS</v>
      </c>
      <c r="K1007" s="1">
        <f ca="1">IFERROR(__xludf.DUMMYFUNCTION("""COMPUTED_VALUE"""),12)</f>
        <v>12</v>
      </c>
      <c r="L1007" s="1">
        <f ca="1">IFERROR(__xludf.DUMMYFUNCTION("""COMPUTED_VALUE"""),0.85)</f>
        <v>0.85</v>
      </c>
      <c r="T1007" s="1">
        <f ca="1">IFERROR(__xludf.DUMMYFUNCTION("""COMPUTED_VALUE"""),489546)</f>
        <v>489546</v>
      </c>
      <c r="U1007" s="1">
        <f ca="1">IFERROR(__xludf.DUMMYFUNCTION("""COMPUTED_VALUE"""),10.2)</f>
        <v>10.199999999999999</v>
      </c>
    </row>
    <row r="1008" spans="1:21" ht="12.75" x14ac:dyDescent="0.2">
      <c r="A1008" s="3">
        <f ca="1">IFERROR(__xludf.DUMMYFUNCTION("""COMPUTED_VALUE"""),40148.5208333333)</f>
        <v>40148.520833333299</v>
      </c>
      <c r="B1008" s="1">
        <f ca="1">IFERROR(__xludf.DUMMYFUNCTION("""COMPUTED_VALUE"""),2.1)</f>
        <v>2.1</v>
      </c>
      <c r="E1008" s="1" t="str">
        <f ca="1">IFERROR(__xludf.DUMMYFUNCTION("""COMPUTED_VALUE"""),"FLOWER VINE RAFFIA FOOD COVER")</f>
        <v>FLOWER VINE RAFFIA FOOD COVER</v>
      </c>
      <c r="F1008" s="1">
        <f ca="1">IFERROR(__xludf.DUMMYFUNCTION("""COMPUTED_VALUE"""),1)</f>
        <v>1</v>
      </c>
      <c r="G1008" s="1">
        <f ca="1">IFERROR(__xludf.DUMMYFUNCTION("""COMPUTED_VALUE"""),3.75)</f>
        <v>3.75</v>
      </c>
      <c r="J1008" s="1" t="str">
        <f ca="1">IFERROR(__xludf.DUMMYFUNCTION("""COMPUTED_VALUE"""),"FUNKY WASHING UP GLOVES ASSORTED")</f>
        <v>FUNKY WASHING UP GLOVES ASSORTED</v>
      </c>
      <c r="K1008" s="1">
        <f ca="1">IFERROR(__xludf.DUMMYFUNCTION("""COMPUTED_VALUE"""),12)</f>
        <v>12</v>
      </c>
      <c r="L1008" s="1">
        <f ca="1">IFERROR(__xludf.DUMMYFUNCTION("""COMPUTED_VALUE"""),2.1)</f>
        <v>2.1</v>
      </c>
      <c r="T1008" s="1">
        <f ca="1">IFERROR(__xludf.DUMMYFUNCTION("""COMPUTED_VALUE"""),489546)</f>
        <v>489546</v>
      </c>
      <c r="U1008" s="1">
        <f ca="1">IFERROR(__xludf.DUMMYFUNCTION("""COMPUTED_VALUE"""),25.2)</f>
        <v>25.2</v>
      </c>
    </row>
    <row r="1009" spans="1:21" ht="12.75" x14ac:dyDescent="0.2">
      <c r="A1009" s="3">
        <f ca="1">IFERROR(__xludf.DUMMYFUNCTION("""COMPUTED_VALUE"""),40148.5208333333)</f>
        <v>40148.520833333299</v>
      </c>
      <c r="B1009" s="1">
        <f ca="1">IFERROR(__xludf.DUMMYFUNCTION("""COMPUTED_VALUE"""),1.65)</f>
        <v>1.65</v>
      </c>
      <c r="E1009" s="1" t="str">
        <f ca="1">IFERROR(__xludf.DUMMYFUNCTION("""COMPUTED_VALUE"""),"LADYBIRD + BEE RAFFIA FOOD COVER")</f>
        <v>LADYBIRD + BEE RAFFIA FOOD COVER</v>
      </c>
      <c r="F1009" s="1">
        <f ca="1">IFERROR(__xludf.DUMMYFUNCTION("""COMPUTED_VALUE"""),1)</f>
        <v>1</v>
      </c>
      <c r="G1009" s="1">
        <f ca="1">IFERROR(__xludf.DUMMYFUNCTION("""COMPUTED_VALUE"""),3.75)</f>
        <v>3.75</v>
      </c>
      <c r="J1009" s="1" t="str">
        <f ca="1">IFERROR(__xludf.DUMMYFUNCTION("""COMPUTED_VALUE"""),"LARGE HEART MEASURING SPOONS")</f>
        <v>LARGE HEART MEASURING SPOONS</v>
      </c>
      <c r="K1009" s="1">
        <f ca="1">IFERROR(__xludf.DUMMYFUNCTION("""COMPUTED_VALUE"""),12)</f>
        <v>12</v>
      </c>
      <c r="L1009" s="1">
        <f ca="1">IFERROR(__xludf.DUMMYFUNCTION("""COMPUTED_VALUE"""),1.65)</f>
        <v>1.65</v>
      </c>
      <c r="T1009" s="1">
        <f ca="1">IFERROR(__xludf.DUMMYFUNCTION("""COMPUTED_VALUE"""),489546)</f>
        <v>489546</v>
      </c>
      <c r="U1009" s="1">
        <f ca="1">IFERROR(__xludf.DUMMYFUNCTION("""COMPUTED_VALUE"""),19.7999999999999)</f>
        <v>19.799999999999901</v>
      </c>
    </row>
    <row r="1010" spans="1:21" ht="12.75" x14ac:dyDescent="0.2">
      <c r="A1010" s="3">
        <f ca="1">IFERROR(__xludf.DUMMYFUNCTION("""COMPUTED_VALUE"""),40148.5208333333)</f>
        <v>40148.520833333299</v>
      </c>
      <c r="B1010" s="1">
        <f ca="1">IFERROR(__xludf.DUMMYFUNCTION("""COMPUTED_VALUE"""),0.85)</f>
        <v>0.85</v>
      </c>
      <c r="E1010" s="1" t="str">
        <f ca="1">IFERROR(__xludf.DUMMYFUNCTION("""COMPUTED_VALUE"""),"STRAWBERRY RAFFIA FOOD COVER")</f>
        <v>STRAWBERRY RAFFIA FOOD COVER</v>
      </c>
      <c r="F1010" s="1">
        <f ca="1">IFERROR(__xludf.DUMMYFUNCTION("""COMPUTED_VALUE"""),1)</f>
        <v>1</v>
      </c>
      <c r="G1010" s="1">
        <f ca="1">IFERROR(__xludf.DUMMYFUNCTION("""COMPUTED_VALUE"""),3.75)</f>
        <v>3.75</v>
      </c>
      <c r="J1010" s="1" t="str">
        <f ca="1">IFERROR(__xludf.DUMMYFUNCTION("""COMPUTED_VALUE"""),"SMALL HEART MEASURING SPOONS")</f>
        <v>SMALL HEART MEASURING SPOONS</v>
      </c>
      <c r="K1010" s="1">
        <f ca="1">IFERROR(__xludf.DUMMYFUNCTION("""COMPUTED_VALUE"""),12)</f>
        <v>12</v>
      </c>
      <c r="L1010" s="1">
        <f ca="1">IFERROR(__xludf.DUMMYFUNCTION("""COMPUTED_VALUE"""),0.85)</f>
        <v>0.85</v>
      </c>
      <c r="T1010" s="1">
        <f ca="1">IFERROR(__xludf.DUMMYFUNCTION("""COMPUTED_VALUE"""),489546)</f>
        <v>489546</v>
      </c>
      <c r="U1010" s="1">
        <f ca="1">IFERROR(__xludf.DUMMYFUNCTION("""COMPUTED_VALUE"""),10.2)</f>
        <v>10.199999999999999</v>
      </c>
    </row>
    <row r="1011" spans="1:21" ht="12.75" x14ac:dyDescent="0.2">
      <c r="A1011" s="3">
        <f ca="1">IFERROR(__xludf.DUMMYFUNCTION("""COMPUTED_VALUE"""),40148.5208333333)</f>
        <v>40148.520833333299</v>
      </c>
      <c r="B1011" s="1">
        <f ca="1">IFERROR(__xludf.DUMMYFUNCTION("""COMPUTED_VALUE"""),4.25)</f>
        <v>4.25</v>
      </c>
      <c r="E1011" s="1" t="str">
        <f ca="1">IFERROR(__xludf.DUMMYFUNCTION("""COMPUTED_VALUE"""),"SET OF 6 STRAWBERRY CHOPSTICKS")</f>
        <v>SET OF 6 STRAWBERRY CHOPSTICKS</v>
      </c>
      <c r="F1011" s="1">
        <f ca="1">IFERROR(__xludf.DUMMYFUNCTION("""COMPUTED_VALUE"""),1)</f>
        <v>1</v>
      </c>
      <c r="G1011" s="1">
        <f ca="1">IFERROR(__xludf.DUMMYFUNCTION("""COMPUTED_VALUE"""),1.25)</f>
        <v>1.25</v>
      </c>
      <c r="J1011" s="1" t="str">
        <f ca="1">IFERROR(__xludf.DUMMYFUNCTION("""COMPUTED_VALUE"""),"FLORAL ELEPHANT SOFT TOY")</f>
        <v>FLORAL ELEPHANT SOFT TOY</v>
      </c>
      <c r="K1011" s="1">
        <f ca="1">IFERROR(__xludf.DUMMYFUNCTION("""COMPUTED_VALUE"""),9)</f>
        <v>9</v>
      </c>
      <c r="L1011" s="1">
        <f ca="1">IFERROR(__xludf.DUMMYFUNCTION("""COMPUTED_VALUE"""),4.25)</f>
        <v>4.25</v>
      </c>
      <c r="T1011" s="1">
        <f ca="1">IFERROR(__xludf.DUMMYFUNCTION("""COMPUTED_VALUE"""),489546)</f>
        <v>489546</v>
      </c>
      <c r="U1011" s="1">
        <f ca="1">IFERROR(__xludf.DUMMYFUNCTION("""COMPUTED_VALUE"""),38.25)</f>
        <v>38.25</v>
      </c>
    </row>
    <row r="1012" spans="1:21" ht="12.75" x14ac:dyDescent="0.2">
      <c r="A1012" s="3">
        <f ca="1">IFERROR(__xludf.DUMMYFUNCTION("""COMPUTED_VALUE"""),40148.5208333333)</f>
        <v>40148.520833333299</v>
      </c>
      <c r="B1012" s="1">
        <f ca="1">IFERROR(__xludf.DUMMYFUNCTION("""COMPUTED_VALUE"""),1.95)</f>
        <v>1.95</v>
      </c>
      <c r="E1012" s="1" t="str">
        <f ca="1">IFERROR(__xludf.DUMMYFUNCTION("""COMPUTED_VALUE"""),"CERAMIC BIRDHOUSE FINCH BLUE ROOF")</f>
        <v>CERAMIC BIRDHOUSE FINCH BLUE ROOF</v>
      </c>
      <c r="F1012" s="1">
        <f ca="1">IFERROR(__xludf.DUMMYFUNCTION("""COMPUTED_VALUE"""),1)</f>
        <v>1</v>
      </c>
      <c r="G1012" s="1">
        <f ca="1">IFERROR(__xludf.DUMMYFUNCTION("""COMPUTED_VALUE"""),2.95)</f>
        <v>2.95</v>
      </c>
      <c r="J1012" s="1" t="str">
        <f ca="1">IFERROR(__xludf.DUMMYFUNCTION("""COMPUTED_VALUE"""),"PINK FAIRY CAKE CHILD'S APRON")</f>
        <v>PINK FAIRY CAKE CHILD'S APRON</v>
      </c>
      <c r="K1012" s="1">
        <f ca="1">IFERROR(__xludf.DUMMYFUNCTION("""COMPUTED_VALUE"""),8)</f>
        <v>8</v>
      </c>
      <c r="L1012" s="1">
        <f ca="1">IFERROR(__xludf.DUMMYFUNCTION("""COMPUTED_VALUE"""),1.95)</f>
        <v>1.95</v>
      </c>
      <c r="T1012" s="1">
        <f ca="1">IFERROR(__xludf.DUMMYFUNCTION("""COMPUTED_VALUE"""),489546)</f>
        <v>489546</v>
      </c>
      <c r="U1012" s="1">
        <f ca="1">IFERROR(__xludf.DUMMYFUNCTION("""COMPUTED_VALUE"""),15.6)</f>
        <v>15.6</v>
      </c>
    </row>
    <row r="1013" spans="1:21" ht="12.75" x14ac:dyDescent="0.2">
      <c r="A1013" s="3">
        <f ca="1">IFERROR(__xludf.DUMMYFUNCTION("""COMPUTED_VALUE"""),40148.5208333333)</f>
        <v>40148.520833333299</v>
      </c>
      <c r="B1013" s="1">
        <f ca="1">IFERROR(__xludf.DUMMYFUNCTION("""COMPUTED_VALUE"""),1.65)</f>
        <v>1.65</v>
      </c>
      <c r="E1013" s="1" t="str">
        <f ca="1">IFERROR(__xludf.DUMMYFUNCTION("""COMPUTED_VALUE"""),"CERAMIC BIRDHOUSE RED ROOF SMALL")</f>
        <v>CERAMIC BIRDHOUSE RED ROOF SMALL</v>
      </c>
      <c r="F1013" s="1">
        <f ca="1">IFERROR(__xludf.DUMMYFUNCTION("""COMPUTED_VALUE"""),1)</f>
        <v>1</v>
      </c>
      <c r="G1013" s="1">
        <f ca="1">IFERROR(__xludf.DUMMYFUNCTION("""COMPUTED_VALUE"""),2.95)</f>
        <v>2.95</v>
      </c>
      <c r="J1013" s="1" t="str">
        <f ca="1">IFERROR(__xludf.DUMMYFUNCTION("""COMPUTED_VALUE"""),"SCOTTIES DES CHILD'S APRON")</f>
        <v>SCOTTIES DES CHILD'S APRON</v>
      </c>
      <c r="K1013" s="1">
        <f ca="1">IFERROR(__xludf.DUMMYFUNCTION("""COMPUTED_VALUE"""),8)</f>
        <v>8</v>
      </c>
      <c r="L1013" s="1">
        <f ca="1">IFERROR(__xludf.DUMMYFUNCTION("""COMPUTED_VALUE"""),1.65)</f>
        <v>1.65</v>
      </c>
      <c r="T1013" s="1">
        <f ca="1">IFERROR(__xludf.DUMMYFUNCTION("""COMPUTED_VALUE"""),489546)</f>
        <v>489546</v>
      </c>
      <c r="U1013" s="1">
        <f ca="1">IFERROR(__xludf.DUMMYFUNCTION("""COMPUTED_VALUE"""),13.2)</f>
        <v>13.2</v>
      </c>
    </row>
    <row r="1014" spans="1:21" ht="12.75" x14ac:dyDescent="0.2">
      <c r="A1014" s="3">
        <f ca="1">IFERROR(__xludf.DUMMYFUNCTION("""COMPUTED_VALUE"""),40148.5208333333)</f>
        <v>40148.520833333299</v>
      </c>
      <c r="B1014" s="1">
        <f ca="1">IFERROR(__xludf.DUMMYFUNCTION("""COMPUTED_VALUE"""),1.65)</f>
        <v>1.65</v>
      </c>
      <c r="E1014" s="1" t="str">
        <f ca="1">IFERROR(__xludf.DUMMYFUNCTION("""COMPUTED_VALUE"""),"CERAMIC BIRDHOUSE BUTTERFLY SMALL")</f>
        <v>CERAMIC BIRDHOUSE BUTTERFLY SMALL</v>
      </c>
      <c r="F1014" s="1">
        <f ca="1">IFERROR(__xludf.DUMMYFUNCTION("""COMPUTED_VALUE"""),1)</f>
        <v>1</v>
      </c>
      <c r="G1014" s="1">
        <f ca="1">IFERROR(__xludf.DUMMYFUNCTION("""COMPUTED_VALUE"""),2.95)</f>
        <v>2.95</v>
      </c>
      <c r="J1014" s="1" t="str">
        <f ca="1">IFERROR(__xludf.DUMMYFUNCTION("""COMPUTED_VALUE"""),"PINK HEART SHAPE EGG FRYING PAN")</f>
        <v>PINK HEART SHAPE EGG FRYING PAN</v>
      </c>
      <c r="K1014" s="1">
        <f ca="1">IFERROR(__xludf.DUMMYFUNCTION("""COMPUTED_VALUE"""),6)</f>
        <v>6</v>
      </c>
      <c r="L1014" s="1">
        <f ca="1">IFERROR(__xludf.DUMMYFUNCTION("""COMPUTED_VALUE"""),1.65)</f>
        <v>1.65</v>
      </c>
      <c r="T1014" s="1">
        <f ca="1">IFERROR(__xludf.DUMMYFUNCTION("""COMPUTED_VALUE"""),489546)</f>
        <v>489546</v>
      </c>
      <c r="U1014" s="1">
        <f ca="1">IFERROR(__xludf.DUMMYFUNCTION("""COMPUTED_VALUE"""),9.89999999999999)</f>
        <v>9.8999999999999897</v>
      </c>
    </row>
    <row r="1015" spans="1:21" ht="12.75" x14ac:dyDescent="0.2">
      <c r="A1015" s="3">
        <f ca="1">IFERROR(__xludf.DUMMYFUNCTION("""COMPUTED_VALUE"""),40148.5208333333)</f>
        <v>40148.520833333299</v>
      </c>
      <c r="B1015" s="1">
        <f ca="1">IFERROR(__xludf.DUMMYFUNCTION("""COMPUTED_VALUE"""),2.1)</f>
        <v>2.1</v>
      </c>
      <c r="E1015" s="1" t="str">
        <f ca="1">IFERROR(__xludf.DUMMYFUNCTION("""COMPUTED_VALUE"""),"CERAMIC BIRDHOUSE CRESTED TIT SMALL")</f>
        <v>CERAMIC BIRDHOUSE CRESTED TIT SMALL</v>
      </c>
      <c r="F1015" s="1">
        <f ca="1">IFERROR(__xludf.DUMMYFUNCTION("""COMPUTED_VALUE"""),1)</f>
        <v>1</v>
      </c>
      <c r="G1015" s="1">
        <f ca="1">IFERROR(__xludf.DUMMYFUNCTION("""COMPUTED_VALUE"""),2.95)</f>
        <v>2.95</v>
      </c>
      <c r="J1015" s="1" t="str">
        <f ca="1">IFERROR(__xludf.DUMMYFUNCTION("""COMPUTED_VALUE"""),"ENGLISH ROSE DESIGN PEG BAG")</f>
        <v>ENGLISH ROSE DESIGN PEG BAG</v>
      </c>
      <c r="K1015" s="1">
        <f ca="1">IFERROR(__xludf.DUMMYFUNCTION("""COMPUTED_VALUE"""),6)</f>
        <v>6</v>
      </c>
      <c r="L1015" s="1">
        <f ca="1">IFERROR(__xludf.DUMMYFUNCTION("""COMPUTED_VALUE"""),2.1)</f>
        <v>2.1</v>
      </c>
      <c r="T1015" s="1">
        <f ca="1">IFERROR(__xludf.DUMMYFUNCTION("""COMPUTED_VALUE"""),489546)</f>
        <v>489546</v>
      </c>
      <c r="U1015" s="1">
        <f ca="1">IFERROR(__xludf.DUMMYFUNCTION("""COMPUTED_VALUE"""),12.6)</f>
        <v>12.6</v>
      </c>
    </row>
    <row r="1016" spans="1:21" ht="12.75" x14ac:dyDescent="0.2">
      <c r="A1016" s="3">
        <f ca="1">IFERROR(__xludf.DUMMYFUNCTION("""COMPUTED_VALUE"""),40148.5208333333)</f>
        <v>40148.520833333299</v>
      </c>
      <c r="B1016" s="1">
        <f ca="1">IFERROR(__xludf.DUMMYFUNCTION("""COMPUTED_VALUE"""),2.95)</f>
        <v>2.95</v>
      </c>
      <c r="E1016" s="1" t="str">
        <f ca="1">IFERROR(__xludf.DUMMYFUNCTION("""COMPUTED_VALUE"""),"SET OF THREE VINTAGE GIFT WRAPS")</f>
        <v>SET OF THREE VINTAGE GIFT WRAPS</v>
      </c>
      <c r="F1016" s="1">
        <f ca="1">IFERROR(__xludf.DUMMYFUNCTION("""COMPUTED_VALUE"""),1)</f>
        <v>1</v>
      </c>
      <c r="G1016" s="1">
        <f ca="1">IFERROR(__xludf.DUMMYFUNCTION("""COMPUTED_VALUE"""),1.95)</f>
        <v>1.95</v>
      </c>
      <c r="J1016" s="1" t="str">
        <f ca="1">IFERROR(__xludf.DUMMYFUNCTION("""COMPUTED_VALUE"""),"RED STAR CARD HOLDER")</f>
        <v>RED STAR CARD HOLDER</v>
      </c>
      <c r="K1016" s="1">
        <f ca="1">IFERROR(__xludf.DUMMYFUNCTION("""COMPUTED_VALUE"""),6)</f>
        <v>6</v>
      </c>
      <c r="L1016" s="1">
        <f ca="1">IFERROR(__xludf.DUMMYFUNCTION("""COMPUTED_VALUE"""),2.95)</f>
        <v>2.95</v>
      </c>
      <c r="T1016" s="1">
        <f ca="1">IFERROR(__xludf.DUMMYFUNCTION("""COMPUTED_VALUE"""),489546)</f>
        <v>489546</v>
      </c>
      <c r="U1016" s="1">
        <f ca="1">IFERROR(__xludf.DUMMYFUNCTION("""COMPUTED_VALUE"""),17.7)</f>
        <v>17.7</v>
      </c>
    </row>
    <row r="1017" spans="1:21" ht="12.75" x14ac:dyDescent="0.2">
      <c r="A1017" s="3">
        <f ca="1">IFERROR(__xludf.DUMMYFUNCTION("""COMPUTED_VALUE"""),40148.5208333333)</f>
        <v>40148.520833333299</v>
      </c>
      <c r="B1017" s="1">
        <f ca="1">IFERROR(__xludf.DUMMYFUNCTION("""COMPUTED_VALUE"""),2.95)</f>
        <v>2.95</v>
      </c>
      <c r="E1017" s="1" t="str">
        <f ca="1">IFERROR(__xludf.DUMMYFUNCTION("""COMPUTED_VALUE"""),"ANTIQUE SILVER TEA GLASS ETCHED")</f>
        <v>ANTIQUE SILVER TEA GLASS ETCHED</v>
      </c>
      <c r="F1017" s="1">
        <f ca="1">IFERROR(__xludf.DUMMYFUNCTION("""COMPUTED_VALUE"""),30)</f>
        <v>30</v>
      </c>
      <c r="G1017" s="1">
        <f ca="1">IFERROR(__xludf.DUMMYFUNCTION("""COMPUTED_VALUE"""),1.25)</f>
        <v>1.25</v>
      </c>
      <c r="J1017" s="1" t="str">
        <f ca="1">IFERROR(__xludf.DUMMYFUNCTION("""COMPUTED_VALUE"""),"WOODEN FRAME ANTIQUE WHITE")</f>
        <v>WOODEN FRAME ANTIQUE WHITE</v>
      </c>
      <c r="K1017" s="1">
        <f ca="1">IFERROR(__xludf.DUMMYFUNCTION("""COMPUTED_VALUE"""),6)</f>
        <v>6</v>
      </c>
      <c r="L1017" s="1">
        <f ca="1">IFERROR(__xludf.DUMMYFUNCTION("""COMPUTED_VALUE"""),2.95)</f>
        <v>2.95</v>
      </c>
      <c r="T1017" s="1">
        <f ca="1">IFERROR(__xludf.DUMMYFUNCTION("""COMPUTED_VALUE"""),489546)</f>
        <v>489546</v>
      </c>
      <c r="U1017" s="1">
        <f ca="1">IFERROR(__xludf.DUMMYFUNCTION("""COMPUTED_VALUE"""),17.7)</f>
        <v>17.7</v>
      </c>
    </row>
    <row r="1018" spans="1:21" ht="12.75" x14ac:dyDescent="0.2">
      <c r="A1018" s="3">
        <f ca="1">IFERROR(__xludf.DUMMYFUNCTION("""COMPUTED_VALUE"""),40148.5208333333)</f>
        <v>40148.520833333299</v>
      </c>
      <c r="B1018" s="1">
        <f ca="1">IFERROR(__xludf.DUMMYFUNCTION("""COMPUTED_VALUE"""),2.1)</f>
        <v>2.1</v>
      </c>
      <c r="E1018" s="1" t="str">
        <f ca="1">IFERROR(__xludf.DUMMYFUNCTION("""COMPUTED_VALUE"""),"HEART FILIGREE DOVE  SMALL")</f>
        <v>HEART FILIGREE DOVE  SMALL</v>
      </c>
      <c r="F1018" s="1">
        <f ca="1">IFERROR(__xludf.DUMMYFUNCTION("""COMPUTED_VALUE"""),24)</f>
        <v>24</v>
      </c>
      <c r="G1018" s="1">
        <f ca="1">IFERROR(__xludf.DUMMYFUNCTION("""COMPUTED_VALUE"""),1.25)</f>
        <v>1.25</v>
      </c>
      <c r="J1018" s="1" t="str">
        <f ca="1">IFERROR(__xludf.DUMMYFUNCTION("""COMPUTED_VALUE"""),"LARGE GREEN PEONY FOLDING STOOL")</f>
        <v>LARGE GREEN PEONY FOLDING STOOL</v>
      </c>
      <c r="K1018" s="1">
        <f ca="1">IFERROR(__xludf.DUMMYFUNCTION("""COMPUTED_VALUE"""),6)</f>
        <v>6</v>
      </c>
      <c r="L1018" s="1">
        <f ca="1">IFERROR(__xludf.DUMMYFUNCTION("""COMPUTED_VALUE"""),2.1)</f>
        <v>2.1</v>
      </c>
      <c r="T1018" s="1">
        <f ca="1">IFERROR(__xludf.DUMMYFUNCTION("""COMPUTED_VALUE"""),489546)</f>
        <v>489546</v>
      </c>
      <c r="U1018" s="1">
        <f ca="1">IFERROR(__xludf.DUMMYFUNCTION("""COMPUTED_VALUE"""),12.6)</f>
        <v>12.6</v>
      </c>
    </row>
    <row r="1019" spans="1:21" ht="12.75" x14ac:dyDescent="0.2">
      <c r="A1019" s="3">
        <f ca="1">IFERROR(__xludf.DUMMYFUNCTION("""COMPUTED_VALUE"""),40148.5208333333)</f>
        <v>40148.520833333299</v>
      </c>
      <c r="B1019" s="1">
        <f ca="1">IFERROR(__xludf.DUMMYFUNCTION("""COMPUTED_VALUE"""),2.1)</f>
        <v>2.1</v>
      </c>
      <c r="E1019" s="1" t="str">
        <f ca="1">IFERROR(__xludf.DUMMYFUNCTION("""COMPUTED_VALUE"""),"HEART FILIGREE DOVE LARGE")</f>
        <v>HEART FILIGREE DOVE LARGE</v>
      </c>
      <c r="F1019" s="1">
        <f ca="1">IFERROR(__xludf.DUMMYFUNCTION("""COMPUTED_VALUE"""),24)</f>
        <v>24</v>
      </c>
      <c r="G1019" s="1">
        <f ca="1">IFERROR(__xludf.DUMMYFUNCTION("""COMPUTED_VALUE"""),1.65)</f>
        <v>1.65</v>
      </c>
      <c r="J1019" s="1" t="str">
        <f ca="1">IFERROR(__xludf.DUMMYFUNCTION("""COMPUTED_VALUE"""),"LARGE PINK PEONY FOLDING STOOL")</f>
        <v>LARGE PINK PEONY FOLDING STOOL</v>
      </c>
      <c r="K1019" s="1">
        <f ca="1">IFERROR(__xludf.DUMMYFUNCTION("""COMPUTED_VALUE"""),6)</f>
        <v>6</v>
      </c>
      <c r="L1019" s="1">
        <f ca="1">IFERROR(__xludf.DUMMYFUNCTION("""COMPUTED_VALUE"""),2.1)</f>
        <v>2.1</v>
      </c>
      <c r="T1019" s="1">
        <f ca="1">IFERROR(__xludf.DUMMYFUNCTION("""COMPUTED_VALUE"""),489546)</f>
        <v>489546</v>
      </c>
      <c r="U1019" s="1">
        <f ca="1">IFERROR(__xludf.DUMMYFUNCTION("""COMPUTED_VALUE"""),12.6)</f>
        <v>12.6</v>
      </c>
    </row>
    <row r="1020" spans="1:21" ht="12.75" x14ac:dyDescent="0.2">
      <c r="A1020" s="3">
        <f ca="1">IFERROR(__xludf.DUMMYFUNCTION("""COMPUTED_VALUE"""),40148.5208333333)</f>
        <v>40148.520833333299</v>
      </c>
      <c r="B1020" s="1">
        <f ca="1">IFERROR(__xludf.DUMMYFUNCTION("""COMPUTED_VALUE"""),3.75)</f>
        <v>3.75</v>
      </c>
      <c r="E1020" s="1" t="str">
        <f ca="1">IFERROR(__xludf.DUMMYFUNCTION("""COMPUTED_VALUE"""),"S/15 SILVER GLASS BAUBLES IN BAG")</f>
        <v>S/15 SILVER GLASS BAUBLES IN BAG</v>
      </c>
      <c r="F1020" s="1">
        <f ca="1">IFERROR(__xludf.DUMMYFUNCTION("""COMPUTED_VALUE"""),12)</f>
        <v>12</v>
      </c>
      <c r="G1020" s="1">
        <f ca="1">IFERROR(__xludf.DUMMYFUNCTION("""COMPUTED_VALUE"""),1.25)</f>
        <v>1.25</v>
      </c>
      <c r="J1020" s="1" t="str">
        <f ca="1">IFERROR(__xludf.DUMMYFUNCTION("""COMPUTED_VALUE"""),"PINK 3 PIECE MINI DOTS CUTLERY SET")</f>
        <v>PINK 3 PIECE MINI DOTS CUTLERY SET</v>
      </c>
      <c r="K1020" s="1">
        <f ca="1">IFERROR(__xludf.DUMMYFUNCTION("""COMPUTED_VALUE"""),6)</f>
        <v>6</v>
      </c>
      <c r="L1020" s="1">
        <f ca="1">IFERROR(__xludf.DUMMYFUNCTION("""COMPUTED_VALUE"""),3.75)</f>
        <v>3.75</v>
      </c>
      <c r="T1020" s="1">
        <f ca="1">IFERROR(__xludf.DUMMYFUNCTION("""COMPUTED_VALUE"""),489546)</f>
        <v>489546</v>
      </c>
      <c r="U1020" s="1">
        <f ca="1">IFERROR(__xludf.DUMMYFUNCTION("""COMPUTED_VALUE"""),22.5)</f>
        <v>22.5</v>
      </c>
    </row>
    <row r="1021" spans="1:21" ht="12.75" x14ac:dyDescent="0.2">
      <c r="A1021" s="3">
        <f ca="1">IFERROR(__xludf.DUMMYFUNCTION("""COMPUTED_VALUE"""),40148.5208333333)</f>
        <v>40148.520833333299</v>
      </c>
      <c r="B1021" s="1">
        <f ca="1">IFERROR(__xludf.DUMMYFUNCTION("""COMPUTED_VALUE"""),2.55)</f>
        <v>2.5499999999999998</v>
      </c>
      <c r="E1021" s="1" t="str">
        <f ca="1">IFERROR(__xludf.DUMMYFUNCTION("""COMPUTED_VALUE"""),"COSY HOUR GIANT TUBE MATCHES")</f>
        <v>COSY HOUR GIANT TUBE MATCHES</v>
      </c>
      <c r="F1021" s="1">
        <f ca="1">IFERROR(__xludf.DUMMYFUNCTION("""COMPUTED_VALUE"""),12)</f>
        <v>12</v>
      </c>
      <c r="G1021" s="1">
        <f ca="1">IFERROR(__xludf.DUMMYFUNCTION("""COMPUTED_VALUE"""),2.55)</f>
        <v>2.5499999999999998</v>
      </c>
      <c r="J1021" s="1" t="str">
        <f ca="1">IFERROR(__xludf.DUMMYFUNCTION("""COMPUTED_VALUE"""),"GREEN FERN JOURNAL")</f>
        <v>GREEN FERN JOURNAL</v>
      </c>
      <c r="K1021" s="1">
        <f ca="1">IFERROR(__xludf.DUMMYFUNCTION("""COMPUTED_VALUE"""),6)</f>
        <v>6</v>
      </c>
      <c r="L1021" s="1">
        <f ca="1">IFERROR(__xludf.DUMMYFUNCTION("""COMPUTED_VALUE"""),2.55)</f>
        <v>2.5499999999999998</v>
      </c>
      <c r="T1021" s="1">
        <f ca="1">IFERROR(__xludf.DUMMYFUNCTION("""COMPUTED_VALUE"""),489546)</f>
        <v>489546</v>
      </c>
      <c r="U1021" s="1">
        <f ca="1">IFERROR(__xludf.DUMMYFUNCTION("""COMPUTED_VALUE"""),15.2999999999999)</f>
        <v>15.299999999999899</v>
      </c>
    </row>
    <row r="1022" spans="1:21" ht="12.75" x14ac:dyDescent="0.2">
      <c r="A1022" s="3">
        <f ca="1">IFERROR(__xludf.DUMMYFUNCTION("""COMPUTED_VALUE"""),40148.5208333333)</f>
        <v>40148.520833333299</v>
      </c>
      <c r="B1022" s="1">
        <f ca="1">IFERROR(__xludf.DUMMYFUNCTION("""COMPUTED_VALUE"""),8.5)</f>
        <v>8.5</v>
      </c>
      <c r="E1022" s="1" t="str">
        <f ca="1">IFERROR(__xludf.DUMMYFUNCTION("""COMPUTED_VALUE"""),"GREY HEART HOT WATER BOTTLE")</f>
        <v>GREY HEART HOT WATER BOTTLE</v>
      </c>
      <c r="F1022" s="1">
        <f ca="1">IFERROR(__xludf.DUMMYFUNCTION("""COMPUTED_VALUE"""),12)</f>
        <v>12</v>
      </c>
      <c r="G1022" s="1">
        <f ca="1">IFERROR(__xludf.DUMMYFUNCTION("""COMPUTED_VALUE"""),3.45)</f>
        <v>3.45</v>
      </c>
      <c r="J1022" s="1" t="str">
        <f ca="1">IFERROR(__xludf.DUMMYFUNCTION("""COMPUTED_VALUE"""),"FAMILY ALBUM WHITE PICTURE FRAME")</f>
        <v>FAMILY ALBUM WHITE PICTURE FRAME</v>
      </c>
      <c r="K1022" s="1">
        <f ca="1">IFERROR(__xludf.DUMMYFUNCTION("""COMPUTED_VALUE"""),4)</f>
        <v>4</v>
      </c>
      <c r="L1022" s="1">
        <f ca="1">IFERROR(__xludf.DUMMYFUNCTION("""COMPUTED_VALUE"""),8.5)</f>
        <v>8.5</v>
      </c>
      <c r="T1022" s="1">
        <f ca="1">IFERROR(__xludf.DUMMYFUNCTION("""COMPUTED_VALUE"""),489546)</f>
        <v>489546</v>
      </c>
      <c r="U1022" s="1">
        <f ca="1">IFERROR(__xludf.DUMMYFUNCTION("""COMPUTED_VALUE"""),34)</f>
        <v>34</v>
      </c>
    </row>
    <row r="1023" spans="1:21" ht="12.75" x14ac:dyDescent="0.2">
      <c r="A1023" s="3">
        <f ca="1">IFERROR(__xludf.DUMMYFUNCTION("""COMPUTED_VALUE"""),40148.5208333333)</f>
        <v>40148.520833333299</v>
      </c>
      <c r="B1023" s="1">
        <f ca="1">IFERROR(__xludf.DUMMYFUNCTION("""COMPUTED_VALUE"""),4.25)</f>
        <v>4.25</v>
      </c>
      <c r="E1023" s="1" t="str">
        <f ca="1">IFERROR(__xludf.DUMMYFUNCTION("""COMPUTED_VALUE"""),"RED STAR CARD HOLDER")</f>
        <v>RED STAR CARD HOLDER</v>
      </c>
      <c r="F1023" s="1">
        <f ca="1">IFERROR(__xludf.DUMMYFUNCTION("""COMPUTED_VALUE"""),11)</f>
        <v>11</v>
      </c>
      <c r="G1023" s="1">
        <f ca="1">IFERROR(__xludf.DUMMYFUNCTION("""COMPUTED_VALUE"""),2.95)</f>
        <v>2.95</v>
      </c>
      <c r="J1023" s="1" t="str">
        <f ca="1">IFERROR(__xludf.DUMMYFUNCTION("""COMPUTED_VALUE"""),"FRYING PAN BLUE POLKADOT")</f>
        <v>FRYING PAN BLUE POLKADOT</v>
      </c>
      <c r="K1023" s="1">
        <f ca="1">IFERROR(__xludf.DUMMYFUNCTION("""COMPUTED_VALUE"""),4)</f>
        <v>4</v>
      </c>
      <c r="L1023" s="1">
        <f ca="1">IFERROR(__xludf.DUMMYFUNCTION("""COMPUTED_VALUE"""),4.25)</f>
        <v>4.25</v>
      </c>
      <c r="T1023" s="1">
        <f ca="1">IFERROR(__xludf.DUMMYFUNCTION("""COMPUTED_VALUE"""),489546)</f>
        <v>489546</v>
      </c>
      <c r="U1023" s="1">
        <f ca="1">IFERROR(__xludf.DUMMYFUNCTION("""COMPUTED_VALUE"""),17)</f>
        <v>17</v>
      </c>
    </row>
    <row r="1024" spans="1:21" ht="12.75" x14ac:dyDescent="0.2">
      <c r="A1024" s="3">
        <f ca="1">IFERROR(__xludf.DUMMYFUNCTION("""COMPUTED_VALUE"""),40148.5208333333)</f>
        <v>40148.520833333299</v>
      </c>
      <c r="B1024" s="1">
        <f ca="1">IFERROR(__xludf.DUMMYFUNCTION("""COMPUTED_VALUE"""),10.75)</f>
        <v>10.75</v>
      </c>
      <c r="E1024" s="1" t="str">
        <f ca="1">IFERROR(__xludf.DUMMYFUNCTION("""COMPUTED_VALUE"""),"SILVER HANGING T-LIGHT HOLDER")</f>
        <v>SILVER HANGING T-LIGHT HOLDER</v>
      </c>
      <c r="F1024" s="1">
        <f ca="1">IFERROR(__xludf.DUMMYFUNCTION("""COMPUTED_VALUE"""),6)</f>
        <v>6</v>
      </c>
      <c r="G1024" s="1">
        <f ca="1">IFERROR(__xludf.DUMMYFUNCTION("""COMPUTED_VALUE"""),1.65)</f>
        <v>1.65</v>
      </c>
      <c r="J1024" s="1" t="str">
        <f ca="1">IFERROR(__xludf.DUMMYFUNCTION("""COMPUTED_VALUE"""),"TEA TIME CAKE STAND IN GIFT BOX")</f>
        <v>TEA TIME CAKE STAND IN GIFT BOX</v>
      </c>
      <c r="K1024" s="1">
        <f ca="1">IFERROR(__xludf.DUMMYFUNCTION("""COMPUTED_VALUE"""),4)</f>
        <v>4</v>
      </c>
      <c r="L1024" s="1">
        <f ca="1">IFERROR(__xludf.DUMMYFUNCTION("""COMPUTED_VALUE"""),10.75)</f>
        <v>10.75</v>
      </c>
      <c r="T1024" s="1">
        <f ca="1">IFERROR(__xludf.DUMMYFUNCTION("""COMPUTED_VALUE"""),489546)</f>
        <v>489546</v>
      </c>
      <c r="U1024" s="1">
        <f ca="1">IFERROR(__xludf.DUMMYFUNCTION("""COMPUTED_VALUE"""),43)</f>
        <v>43</v>
      </c>
    </row>
    <row r="1025" spans="1:21" ht="12.75" x14ac:dyDescent="0.2">
      <c r="A1025" s="3">
        <f ca="1">IFERROR(__xludf.DUMMYFUNCTION("""COMPUTED_VALUE"""),40148.5208333333)</f>
        <v>40148.520833333299</v>
      </c>
      <c r="B1025" s="1">
        <f ca="1">IFERROR(__xludf.DUMMYFUNCTION("""COMPUTED_VALUE"""),6.75)</f>
        <v>6.75</v>
      </c>
      <c r="E1025" s="1" t="str">
        <f ca="1">IFERROR(__xludf.DUMMYFUNCTION("""COMPUTED_VALUE"""),"WHITE ROUND PORCELAIN TLIGHT HOLDER")</f>
        <v>WHITE ROUND PORCELAIN TLIGHT HOLDER</v>
      </c>
      <c r="F1025" s="1">
        <f ca="1">IFERROR(__xludf.DUMMYFUNCTION("""COMPUTED_VALUE"""),6)</f>
        <v>6</v>
      </c>
      <c r="G1025" s="1">
        <f ca="1">IFERROR(__xludf.DUMMYFUNCTION("""COMPUTED_VALUE"""),2.55)</f>
        <v>2.5499999999999998</v>
      </c>
      <c r="J1025" s="1" t="str">
        <f ca="1">IFERROR(__xludf.DUMMYFUNCTION("""COMPUTED_VALUE"""),"DOOR MAT FAIRY CAKE")</f>
        <v>DOOR MAT FAIRY CAKE</v>
      </c>
      <c r="K1025" s="1">
        <f ca="1">IFERROR(__xludf.DUMMYFUNCTION("""COMPUTED_VALUE"""),4)</f>
        <v>4</v>
      </c>
      <c r="L1025" s="1">
        <f ca="1">IFERROR(__xludf.DUMMYFUNCTION("""COMPUTED_VALUE"""),6.75)</f>
        <v>6.75</v>
      </c>
      <c r="T1025" s="1">
        <f ca="1">IFERROR(__xludf.DUMMYFUNCTION("""COMPUTED_VALUE"""),489546)</f>
        <v>489546</v>
      </c>
      <c r="U1025" s="1">
        <f ca="1">IFERROR(__xludf.DUMMYFUNCTION("""COMPUTED_VALUE"""),27)</f>
        <v>27</v>
      </c>
    </row>
    <row r="1026" spans="1:21" ht="12.75" x14ac:dyDescent="0.2">
      <c r="A1026" s="3">
        <f ca="1">IFERROR(__xludf.DUMMYFUNCTION("""COMPUTED_VALUE"""),40148.5208333333)</f>
        <v>40148.520833333299</v>
      </c>
      <c r="B1026" s="1">
        <f ca="1">IFERROR(__xludf.DUMMYFUNCTION("""COMPUTED_VALUE"""),3.45)</f>
        <v>3.45</v>
      </c>
      <c r="E1026" s="1" t="str">
        <f ca="1">IFERROR(__xludf.DUMMYFUNCTION("""COMPUTED_VALUE"""),"WHITE TALL PORCELAIN T-LIGHT HOLDER")</f>
        <v>WHITE TALL PORCELAIN T-LIGHT HOLDER</v>
      </c>
      <c r="F1026" s="1">
        <f ca="1">IFERROR(__xludf.DUMMYFUNCTION("""COMPUTED_VALUE"""),6)</f>
        <v>6</v>
      </c>
      <c r="G1026" s="1">
        <f ca="1">IFERROR(__xludf.DUMMYFUNCTION("""COMPUTED_VALUE"""),2.55)</f>
        <v>2.5499999999999998</v>
      </c>
      <c r="J1026" s="1" t="str">
        <f ca="1">IFERROR(__xludf.DUMMYFUNCTION("""COMPUTED_VALUE"""),"CHICK GREY HOT WATER BOTTLE")</f>
        <v>CHICK GREY HOT WATER BOTTLE</v>
      </c>
      <c r="K1026" s="1">
        <f ca="1">IFERROR(__xludf.DUMMYFUNCTION("""COMPUTED_VALUE"""),4)</f>
        <v>4</v>
      </c>
      <c r="L1026" s="1">
        <f ca="1">IFERROR(__xludf.DUMMYFUNCTION("""COMPUTED_VALUE"""),3.45)</f>
        <v>3.45</v>
      </c>
      <c r="T1026" s="1">
        <f ca="1">IFERROR(__xludf.DUMMYFUNCTION("""COMPUTED_VALUE"""),489546)</f>
        <v>489546</v>
      </c>
      <c r="U1026" s="1">
        <f ca="1">IFERROR(__xludf.DUMMYFUNCTION("""COMPUTED_VALUE"""),13.8)</f>
        <v>13.8</v>
      </c>
    </row>
    <row r="1027" spans="1:21" ht="12.75" x14ac:dyDescent="0.2">
      <c r="A1027" s="3">
        <f ca="1">IFERROR(__xludf.DUMMYFUNCTION("""COMPUTED_VALUE"""),40148.5208333333)</f>
        <v>40148.520833333299</v>
      </c>
      <c r="B1027" s="1">
        <f ca="1">IFERROR(__xludf.DUMMYFUNCTION("""COMPUTED_VALUE"""),4.25)</f>
        <v>4.25</v>
      </c>
      <c r="E1027" s="1" t="str">
        <f ca="1">IFERROR(__xludf.DUMMYFUNCTION("""COMPUTED_VALUE"""),"BINGO SET")</f>
        <v>BINGO SET</v>
      </c>
      <c r="F1027" s="1">
        <f ca="1">IFERROR(__xludf.DUMMYFUNCTION("""COMPUTED_VALUE"""),4)</f>
        <v>4</v>
      </c>
      <c r="G1027" s="1">
        <f ca="1">IFERROR(__xludf.DUMMYFUNCTION("""COMPUTED_VALUE"""),3.75)</f>
        <v>3.75</v>
      </c>
      <c r="J1027" s="1" t="str">
        <f ca="1">IFERROR(__xludf.DUMMYFUNCTION("""COMPUTED_VALUE"""),"FRYING PAN RED POLKADOT")</f>
        <v>FRYING PAN RED POLKADOT</v>
      </c>
      <c r="K1027" s="1">
        <f ca="1">IFERROR(__xludf.DUMMYFUNCTION("""COMPUTED_VALUE"""),4)</f>
        <v>4</v>
      </c>
      <c r="L1027" s="1">
        <f ca="1">IFERROR(__xludf.DUMMYFUNCTION("""COMPUTED_VALUE"""),4.25)</f>
        <v>4.25</v>
      </c>
      <c r="T1027" s="1">
        <f ca="1">IFERROR(__xludf.DUMMYFUNCTION("""COMPUTED_VALUE"""),489546)</f>
        <v>489546</v>
      </c>
      <c r="U1027" s="1">
        <f ca="1">IFERROR(__xludf.DUMMYFUNCTION("""COMPUTED_VALUE"""),17)</f>
        <v>17</v>
      </c>
    </row>
    <row r="1028" spans="1:21" ht="12.75" x14ac:dyDescent="0.2">
      <c r="A1028" s="3">
        <f ca="1">IFERROR(__xludf.DUMMYFUNCTION("""COMPUTED_VALUE"""),40148.5208333333)</f>
        <v>40148.520833333299</v>
      </c>
      <c r="B1028" s="1">
        <f ca="1">IFERROR(__xludf.DUMMYFUNCTION("""COMPUTED_VALUE"""),4.95)</f>
        <v>4.95</v>
      </c>
      <c r="E1028" s="1" t="str">
        <f ca="1">IFERROR(__xludf.DUMMYFUNCTION("""COMPUTED_VALUE"""),"SMALL RETRO SPOT MUG IN BOX  WHITE")</f>
        <v>SMALL RETRO SPOT MUG IN BOX  WHITE</v>
      </c>
      <c r="F1028" s="1">
        <f ca="1">IFERROR(__xludf.DUMMYFUNCTION("""COMPUTED_VALUE"""),4)</f>
        <v>4</v>
      </c>
      <c r="G1028" s="1">
        <f ca="1">IFERROR(__xludf.DUMMYFUNCTION("""COMPUTED_VALUE"""),3.75)</f>
        <v>3.75</v>
      </c>
      <c r="J1028" s="1" t="str">
        <f ca="1">IFERROR(__xludf.DUMMYFUNCTION("""COMPUTED_VALUE"""),"SCOTTIE DOG HOT WATER BOTTLE")</f>
        <v>SCOTTIE DOG HOT WATER BOTTLE</v>
      </c>
      <c r="K1028" s="1">
        <f ca="1">IFERROR(__xludf.DUMMYFUNCTION("""COMPUTED_VALUE"""),3)</f>
        <v>3</v>
      </c>
      <c r="L1028" s="1">
        <f ca="1">IFERROR(__xludf.DUMMYFUNCTION("""COMPUTED_VALUE"""),4.95)</f>
        <v>4.95</v>
      </c>
      <c r="T1028" s="1">
        <f ca="1">IFERROR(__xludf.DUMMYFUNCTION("""COMPUTED_VALUE"""),489546)</f>
        <v>489546</v>
      </c>
      <c r="U1028" s="1">
        <f ca="1">IFERROR(__xludf.DUMMYFUNCTION("""COMPUTED_VALUE"""),14.85)</f>
        <v>14.85</v>
      </c>
    </row>
    <row r="1029" spans="1:21" ht="12.75" x14ac:dyDescent="0.2">
      <c r="A1029" s="3">
        <f ca="1">IFERROR(__xludf.DUMMYFUNCTION("""COMPUTED_VALUE"""),40148.5208333333)</f>
        <v>40148.520833333299</v>
      </c>
      <c r="B1029" s="1">
        <f ca="1">IFERROR(__xludf.DUMMYFUNCTION("""COMPUTED_VALUE"""),4.95)</f>
        <v>4.95</v>
      </c>
      <c r="E1029" s="1" t="str">
        <f ca="1">IFERROR(__xludf.DUMMYFUNCTION("""COMPUTED_VALUE"""),"SMALL RETRO SPOT MUG IN BOX  RED")</f>
        <v>SMALL RETRO SPOT MUG IN BOX  RED</v>
      </c>
      <c r="F1029" s="1">
        <f ca="1">IFERROR(__xludf.DUMMYFUNCTION("""COMPUTED_VALUE"""),4)</f>
        <v>4</v>
      </c>
      <c r="G1029" s="1">
        <f ca="1">IFERROR(__xludf.DUMMYFUNCTION("""COMPUTED_VALUE"""),3.75)</f>
        <v>3.75</v>
      </c>
      <c r="J1029" s="1" t="str">
        <f ca="1">IFERROR(__xludf.DUMMYFUNCTION("""COMPUTED_VALUE"""),"RED SPOT HEART HOT WATER BOTTLE")</f>
        <v>RED SPOT HEART HOT WATER BOTTLE</v>
      </c>
      <c r="K1029" s="1">
        <f ca="1">IFERROR(__xludf.DUMMYFUNCTION("""COMPUTED_VALUE"""),3)</f>
        <v>3</v>
      </c>
      <c r="L1029" s="1">
        <f ca="1">IFERROR(__xludf.DUMMYFUNCTION("""COMPUTED_VALUE"""),4.95)</f>
        <v>4.95</v>
      </c>
      <c r="T1029" s="1">
        <f ca="1">IFERROR(__xludf.DUMMYFUNCTION("""COMPUTED_VALUE"""),489546)</f>
        <v>489546</v>
      </c>
      <c r="U1029" s="1">
        <f ca="1">IFERROR(__xludf.DUMMYFUNCTION("""COMPUTED_VALUE"""),14.85)</f>
        <v>14.85</v>
      </c>
    </row>
    <row r="1030" spans="1:21" ht="12.75" x14ac:dyDescent="0.2">
      <c r="A1030" s="3">
        <f ca="1">IFERROR(__xludf.DUMMYFUNCTION("""COMPUTED_VALUE"""),40148.5208333333)</f>
        <v>40148.520833333299</v>
      </c>
      <c r="B1030" s="1">
        <f ca="1">IFERROR(__xludf.DUMMYFUNCTION("""COMPUTED_VALUE"""),4.25)</f>
        <v>4.25</v>
      </c>
      <c r="E1030" s="1" t="str">
        <f ca="1">IFERROR(__xludf.DUMMYFUNCTION("""COMPUTED_VALUE"""),"RED 3 PIECE MINI DOTS CUTLERY SET")</f>
        <v>RED 3 PIECE MINI DOTS CUTLERY SET</v>
      </c>
      <c r="F1030" s="1">
        <f ca="1">IFERROR(__xludf.DUMMYFUNCTION("""COMPUTED_VALUE"""),4)</f>
        <v>4</v>
      </c>
      <c r="G1030" s="1">
        <f ca="1">IFERROR(__xludf.DUMMYFUNCTION("""COMPUTED_VALUE"""),3.75)</f>
        <v>3.75</v>
      </c>
      <c r="J1030" s="1" t="str">
        <f ca="1">IFERROR(__xludf.DUMMYFUNCTION("""COMPUTED_VALUE"""),"ROSE DU SUD CHILDS APRON")</f>
        <v>ROSE DU SUD CHILDS APRON</v>
      </c>
      <c r="K1030" s="1">
        <f ca="1">IFERROR(__xludf.DUMMYFUNCTION("""COMPUTED_VALUE"""),3)</f>
        <v>3</v>
      </c>
      <c r="L1030" s="1">
        <f ca="1">IFERROR(__xludf.DUMMYFUNCTION("""COMPUTED_VALUE"""),4.25)</f>
        <v>4.25</v>
      </c>
      <c r="T1030" s="1">
        <f ca="1">IFERROR(__xludf.DUMMYFUNCTION("""COMPUTED_VALUE"""),489546)</f>
        <v>489546</v>
      </c>
      <c r="U1030" s="1">
        <f ca="1">IFERROR(__xludf.DUMMYFUNCTION("""COMPUTED_VALUE"""),12.75)</f>
        <v>12.75</v>
      </c>
    </row>
    <row r="1031" spans="1:21" ht="12.75" x14ac:dyDescent="0.2">
      <c r="A1031" s="3">
        <f ca="1">IFERROR(__xludf.DUMMYFUNCTION("""COMPUTED_VALUE"""),40148.5208333333)</f>
        <v>40148.520833333299</v>
      </c>
      <c r="B1031" s="1">
        <f ca="1">IFERROR(__xludf.DUMMYFUNCTION("""COMPUTED_VALUE"""),12.75)</f>
        <v>12.75</v>
      </c>
      <c r="E1031" s="1" t="str">
        <f ca="1">IFERROR(__xludf.DUMMYFUNCTION("""COMPUTED_VALUE"""),"BLUE 3 PIECE MINI DOTS CUTLERY SET")</f>
        <v>BLUE 3 PIECE MINI DOTS CUTLERY SET</v>
      </c>
      <c r="F1031" s="1">
        <f ca="1">IFERROR(__xludf.DUMMYFUNCTION("""COMPUTED_VALUE"""),4)</f>
        <v>4</v>
      </c>
      <c r="G1031" s="1">
        <f ca="1">IFERROR(__xludf.DUMMYFUNCTION("""COMPUTED_VALUE"""),3.75)</f>
        <v>3.75</v>
      </c>
      <c r="J1031" s="1" t="str">
        <f ca="1">IFERROR(__xludf.DUMMYFUNCTION("""COMPUTED_VALUE"""),"PINK 3 TIER GLASS PLATE STAND")</f>
        <v>PINK 3 TIER GLASS PLATE STAND</v>
      </c>
      <c r="K1031" s="1">
        <f ca="1">IFERROR(__xludf.DUMMYFUNCTION("""COMPUTED_VALUE"""),2)</f>
        <v>2</v>
      </c>
      <c r="L1031" s="1">
        <f ca="1">IFERROR(__xludf.DUMMYFUNCTION("""COMPUTED_VALUE"""),12.75)</f>
        <v>12.75</v>
      </c>
      <c r="T1031" s="1">
        <f ca="1">IFERROR(__xludf.DUMMYFUNCTION("""COMPUTED_VALUE"""),489546)</f>
        <v>489546</v>
      </c>
      <c r="U1031" s="1">
        <f ca="1">IFERROR(__xludf.DUMMYFUNCTION("""COMPUTED_VALUE"""),25.5)</f>
        <v>25.5</v>
      </c>
    </row>
    <row r="1032" spans="1:21" ht="12.75" x14ac:dyDescent="0.2">
      <c r="A1032" s="3">
        <f ca="1">IFERROR(__xludf.DUMMYFUNCTION("""COMPUTED_VALUE"""),40148.5208333333)</f>
        <v>40148.520833333299</v>
      </c>
      <c r="B1032" s="1">
        <f ca="1">IFERROR(__xludf.DUMMYFUNCTION("""COMPUTED_VALUE"""),6.75)</f>
        <v>6.75</v>
      </c>
      <c r="E1032" s="1" t="str">
        <f ca="1">IFERROR(__xludf.DUMMYFUNCTION("""COMPUTED_VALUE"""),"JARDIN ETCHED GLASS CANDLEHLDR LONG")</f>
        <v>JARDIN ETCHED GLASS CANDLEHLDR LONG</v>
      </c>
      <c r="F1032" s="1">
        <f ca="1">IFERROR(__xludf.DUMMYFUNCTION("""COMPUTED_VALUE"""),4)</f>
        <v>4</v>
      </c>
      <c r="G1032" s="1">
        <f ca="1">IFERROR(__xludf.DUMMYFUNCTION("""COMPUTED_VALUE"""),4.95)</f>
        <v>4.95</v>
      </c>
      <c r="J1032" s="1" t="str">
        <f ca="1">IFERROR(__xludf.DUMMYFUNCTION("""COMPUTED_VALUE"""),"DOOR MAT WELCOME PUPPIES")</f>
        <v>DOOR MAT WELCOME PUPPIES</v>
      </c>
      <c r="K1032" s="1">
        <f ca="1">IFERROR(__xludf.DUMMYFUNCTION("""COMPUTED_VALUE"""),2)</f>
        <v>2</v>
      </c>
      <c r="L1032" s="1">
        <f ca="1">IFERROR(__xludf.DUMMYFUNCTION("""COMPUTED_VALUE"""),6.75)</f>
        <v>6.75</v>
      </c>
      <c r="T1032" s="1">
        <f ca="1">IFERROR(__xludf.DUMMYFUNCTION("""COMPUTED_VALUE"""),489546)</f>
        <v>489546</v>
      </c>
      <c r="U1032" s="1">
        <f ca="1">IFERROR(__xludf.DUMMYFUNCTION("""COMPUTED_VALUE"""),13.5)</f>
        <v>13.5</v>
      </c>
    </row>
    <row r="1033" spans="1:21" ht="12.75" x14ac:dyDescent="0.2">
      <c r="A1033" s="3">
        <f ca="1">IFERROR(__xludf.DUMMYFUNCTION("""COMPUTED_VALUE"""),40148.5208333333)</f>
        <v>40148.520833333299</v>
      </c>
      <c r="B1033" s="1">
        <f ca="1">IFERROR(__xludf.DUMMYFUNCTION("""COMPUTED_VALUE"""),6.75)</f>
        <v>6.75</v>
      </c>
      <c r="E1033" s="1" t="str">
        <f ca="1">IFERROR(__xludf.DUMMYFUNCTION("""COMPUTED_VALUE"""),"VINTAGE SNAKES &amp; LADDERS")</f>
        <v>VINTAGE SNAKES &amp; LADDERS</v>
      </c>
      <c r="F1033" s="1">
        <f ca="1">IFERROR(__xludf.DUMMYFUNCTION("""COMPUTED_VALUE"""),3)</f>
        <v>3</v>
      </c>
      <c r="G1033" s="1">
        <f ca="1">IFERROR(__xludf.DUMMYFUNCTION("""COMPUTED_VALUE"""),3.75)</f>
        <v>3.75</v>
      </c>
      <c r="J1033" s="1" t="str">
        <f ca="1">IFERROR(__xludf.DUMMYFUNCTION("""COMPUTED_VALUE"""),"DOORMAT HEARTS")</f>
        <v>DOORMAT HEARTS</v>
      </c>
      <c r="K1033" s="1">
        <f ca="1">IFERROR(__xludf.DUMMYFUNCTION("""COMPUTED_VALUE"""),2)</f>
        <v>2</v>
      </c>
      <c r="L1033" s="1">
        <f ca="1">IFERROR(__xludf.DUMMYFUNCTION("""COMPUTED_VALUE"""),6.75)</f>
        <v>6.75</v>
      </c>
      <c r="T1033" s="1">
        <f ca="1">IFERROR(__xludf.DUMMYFUNCTION("""COMPUTED_VALUE"""),489546)</f>
        <v>489546</v>
      </c>
      <c r="U1033" s="1">
        <f ca="1">IFERROR(__xludf.DUMMYFUNCTION("""COMPUTED_VALUE"""),13.5)</f>
        <v>13.5</v>
      </c>
    </row>
    <row r="1034" spans="1:21" ht="12.75" x14ac:dyDescent="0.2">
      <c r="A1034" s="3">
        <f ca="1">IFERROR(__xludf.DUMMYFUNCTION("""COMPUTED_VALUE"""),40148.5208333333)</f>
        <v>40148.520833333299</v>
      </c>
      <c r="B1034" s="1">
        <f ca="1">IFERROR(__xludf.DUMMYFUNCTION("""COMPUTED_VALUE"""),6.75)</f>
        <v>6.75</v>
      </c>
      <c r="E1034" s="1" t="str">
        <f ca="1">IFERROR(__xludf.DUMMYFUNCTION("""COMPUTED_VALUE"""),"RETRO SPOT TEA SET CERAMIC 11 PC")</f>
        <v>RETRO SPOT TEA SET CERAMIC 11 PC</v>
      </c>
      <c r="F1034" s="1">
        <f ca="1">IFERROR(__xludf.DUMMYFUNCTION("""COMPUTED_VALUE"""),3)</f>
        <v>3</v>
      </c>
      <c r="G1034" s="1">
        <f ca="1">IFERROR(__xludf.DUMMYFUNCTION("""COMPUTED_VALUE"""),4.95)</f>
        <v>4.95</v>
      </c>
      <c r="J1034" s="1" t="str">
        <f ca="1">IFERROR(__xludf.DUMMYFUNCTION("""COMPUTED_VALUE"""),"DOOR MAT TOPIARY")</f>
        <v>DOOR MAT TOPIARY</v>
      </c>
      <c r="K1034" s="1">
        <f ca="1">IFERROR(__xludf.DUMMYFUNCTION("""COMPUTED_VALUE"""),2)</f>
        <v>2</v>
      </c>
      <c r="L1034" s="1">
        <f ca="1">IFERROR(__xludf.DUMMYFUNCTION("""COMPUTED_VALUE"""),6.75)</f>
        <v>6.75</v>
      </c>
      <c r="T1034" s="1">
        <f ca="1">IFERROR(__xludf.DUMMYFUNCTION("""COMPUTED_VALUE"""),489546)</f>
        <v>489546</v>
      </c>
      <c r="U1034" s="1">
        <f ca="1">IFERROR(__xludf.DUMMYFUNCTION("""COMPUTED_VALUE"""),13.5)</f>
        <v>13.5</v>
      </c>
    </row>
    <row r="1035" spans="1:21" ht="12.75" x14ac:dyDescent="0.2">
      <c r="A1035" s="3">
        <f ca="1">IFERROR(__xludf.DUMMYFUNCTION("""COMPUTED_VALUE"""),40148.5208333333)</f>
        <v>40148.520833333299</v>
      </c>
      <c r="B1035" s="1">
        <f ca="1">IFERROR(__xludf.DUMMYFUNCTION("""COMPUTED_VALUE"""),12.75)</f>
        <v>12.75</v>
      </c>
      <c r="E1035" s="1" t="str">
        <f ca="1">IFERROR(__xludf.DUMMYFUNCTION("""COMPUTED_VALUE"""),"POTTING SHED TEA MUG")</f>
        <v>POTTING SHED TEA MUG</v>
      </c>
      <c r="F1035" s="1">
        <f ca="1">IFERROR(__xludf.DUMMYFUNCTION("""COMPUTED_VALUE"""),3)</f>
        <v>3</v>
      </c>
      <c r="G1035" s="1">
        <f ca="1">IFERROR(__xludf.DUMMYFUNCTION("""COMPUTED_VALUE"""),1.25)</f>
        <v>1.25</v>
      </c>
      <c r="J1035" s="1" t="str">
        <f ca="1">IFERROR(__xludf.DUMMYFUNCTION("""COMPUTED_VALUE"""),"GREEN 3 TIER GLASS PLATE STAND")</f>
        <v>GREEN 3 TIER GLASS PLATE STAND</v>
      </c>
      <c r="K1035" s="1">
        <f ca="1">IFERROR(__xludf.DUMMYFUNCTION("""COMPUTED_VALUE"""),1)</f>
        <v>1</v>
      </c>
      <c r="L1035" s="1">
        <f ca="1">IFERROR(__xludf.DUMMYFUNCTION("""COMPUTED_VALUE"""),12.75)</f>
        <v>12.75</v>
      </c>
      <c r="T1035" s="1">
        <f ca="1">IFERROR(__xludf.DUMMYFUNCTION("""COMPUTED_VALUE"""),489546)</f>
        <v>489546</v>
      </c>
      <c r="U1035" s="1">
        <f ca="1">IFERROR(__xludf.DUMMYFUNCTION("""COMPUTED_VALUE"""),12.75)</f>
        <v>12.75</v>
      </c>
    </row>
    <row r="1036" spans="1:21" ht="12.75" x14ac:dyDescent="0.2">
      <c r="A1036" s="3">
        <f ca="1">IFERROR(__xludf.DUMMYFUNCTION("""COMPUTED_VALUE"""),40148.5208333333)</f>
        <v>40148.520833333299</v>
      </c>
      <c r="B1036" s="1">
        <f ca="1">IFERROR(__xludf.DUMMYFUNCTION("""COMPUTED_VALUE"""),14.95)</f>
        <v>14.95</v>
      </c>
      <c r="E1036" s="1" t="str">
        <f ca="1">IFERROR(__xludf.DUMMYFUNCTION("""COMPUTED_VALUE"""),"BAKING SET 9 PIECE RETROSPOT")</f>
        <v>BAKING SET 9 PIECE RETROSPOT</v>
      </c>
      <c r="F1036" s="1">
        <f ca="1">IFERROR(__xludf.DUMMYFUNCTION("""COMPUTED_VALUE"""),3)</f>
        <v>3</v>
      </c>
      <c r="G1036" s="1">
        <f ca="1">IFERROR(__xludf.DUMMYFUNCTION("""COMPUTED_VALUE"""),4.95)</f>
        <v>4.95</v>
      </c>
      <c r="J1036" s="1" t="str">
        <f ca="1">IFERROR(__xludf.DUMMYFUNCTION("""COMPUTED_VALUE"""),"MA CAMPAGNE CUTLERY BOX")</f>
        <v>MA CAMPAGNE CUTLERY BOX</v>
      </c>
      <c r="K1036" s="1">
        <f ca="1">IFERROR(__xludf.DUMMYFUNCTION("""COMPUTED_VALUE"""),1)</f>
        <v>1</v>
      </c>
      <c r="L1036" s="1">
        <f ca="1">IFERROR(__xludf.DUMMYFUNCTION("""COMPUTED_VALUE"""),14.95)</f>
        <v>14.95</v>
      </c>
      <c r="T1036" s="1">
        <f ca="1">IFERROR(__xludf.DUMMYFUNCTION("""COMPUTED_VALUE"""),489546)</f>
        <v>489546</v>
      </c>
      <c r="U1036" s="1">
        <f ca="1">IFERROR(__xludf.DUMMYFUNCTION("""COMPUTED_VALUE"""),14.95)</f>
        <v>14.95</v>
      </c>
    </row>
    <row r="1037" spans="1:21" ht="12.75" x14ac:dyDescent="0.2">
      <c r="A1037" s="3">
        <f ca="1">IFERROR(__xludf.DUMMYFUNCTION("""COMPUTED_VALUE"""),40148.5208333333)</f>
        <v>40148.520833333299</v>
      </c>
      <c r="B1037" s="1">
        <f ca="1">IFERROR(__xludf.DUMMYFUNCTION("""COMPUTED_VALUE"""),0.64)</f>
        <v>0.64</v>
      </c>
      <c r="E1037" s="1" t="str">
        <f ca="1">IFERROR(__xludf.DUMMYFUNCTION("""COMPUTED_VALUE"""),"PACK/12 BLUE REINDEER CARD")</f>
        <v>PACK/12 BLUE REINDEER CARD</v>
      </c>
      <c r="F1037" s="1">
        <f ca="1">IFERROR(__xludf.DUMMYFUNCTION("""COMPUTED_VALUE"""),1)</f>
        <v>1</v>
      </c>
      <c r="G1037" s="1">
        <f ca="1">IFERROR(__xludf.DUMMYFUNCTION("""COMPUTED_VALUE"""),2.95)</f>
        <v>2.95</v>
      </c>
      <c r="J1037" s="1" t="str">
        <f ca="1">IFERROR(__xludf.DUMMYFUNCTION("""COMPUTED_VALUE"""),"WHITE JEWELLED HEART DECORATION")</f>
        <v>WHITE JEWELLED HEART DECORATION</v>
      </c>
      <c r="K1037" s="1">
        <f ca="1">IFERROR(__xludf.DUMMYFUNCTION("""COMPUTED_VALUE"""),240)</f>
        <v>240</v>
      </c>
      <c r="L1037" s="1">
        <f ca="1">IFERROR(__xludf.DUMMYFUNCTION("""COMPUTED_VALUE"""),0.64)</f>
        <v>0.64</v>
      </c>
      <c r="T1037" s="1">
        <f ca="1">IFERROR(__xludf.DUMMYFUNCTION("""COMPUTED_VALUE"""),489547)</f>
        <v>489547</v>
      </c>
      <c r="U1037" s="1">
        <f ca="1">IFERROR(__xludf.DUMMYFUNCTION("""COMPUTED_VALUE"""),153.6)</f>
        <v>153.6</v>
      </c>
    </row>
    <row r="1038" spans="1:21" ht="12.75" x14ac:dyDescent="0.2">
      <c r="A1038" s="3">
        <f ca="1">IFERROR(__xludf.DUMMYFUNCTION("""COMPUTED_VALUE"""),40148.5208333333)</f>
        <v>40148.520833333299</v>
      </c>
      <c r="B1038" s="1">
        <f ca="1">IFERROR(__xludf.DUMMYFUNCTION("""COMPUTED_VALUE"""),0.72)</f>
        <v>0.72</v>
      </c>
      <c r="E1038" s="1" t="str">
        <f ca="1">IFERROR(__xludf.DUMMYFUNCTION("""COMPUTED_VALUE"""),"ENGLISH ROSE PLACEMATS")</f>
        <v>ENGLISH ROSE PLACEMATS</v>
      </c>
      <c r="F1038" s="1">
        <f ca="1">IFERROR(__xludf.DUMMYFUNCTION("""COMPUTED_VALUE"""),1)</f>
        <v>1</v>
      </c>
      <c r="G1038" s="1">
        <f ca="1">IFERROR(__xludf.DUMMYFUNCTION("""COMPUTED_VALUE"""),3.75)</f>
        <v>3.75</v>
      </c>
      <c r="J1038" s="1" t="str">
        <f ca="1">IFERROR(__xludf.DUMMYFUNCTION("""COMPUTED_VALUE"""),"CHARLOTTE BAG , PINK/WHITE SPOTS")</f>
        <v>CHARLOTTE BAG , PINK/WHITE SPOTS</v>
      </c>
      <c r="K1038" s="1">
        <f ca="1">IFERROR(__xludf.DUMMYFUNCTION("""COMPUTED_VALUE"""),100)</f>
        <v>100</v>
      </c>
      <c r="L1038" s="1">
        <f ca="1">IFERROR(__xludf.DUMMYFUNCTION("""COMPUTED_VALUE"""),0.72)</f>
        <v>0.72</v>
      </c>
      <c r="T1038" s="1">
        <f ca="1">IFERROR(__xludf.DUMMYFUNCTION("""COMPUTED_VALUE"""),489547)</f>
        <v>489547</v>
      </c>
      <c r="U1038" s="1">
        <f ca="1">IFERROR(__xludf.DUMMYFUNCTION("""COMPUTED_VALUE"""),72)</f>
        <v>72</v>
      </c>
    </row>
    <row r="1039" spans="1:21" ht="12.75" x14ac:dyDescent="0.2">
      <c r="A1039" s="3">
        <f ca="1">IFERROR(__xludf.DUMMYFUNCTION("""COMPUTED_VALUE"""),40148.5208333333)</f>
        <v>40148.520833333299</v>
      </c>
      <c r="B1039" s="1">
        <f ca="1">IFERROR(__xludf.DUMMYFUNCTION("""COMPUTED_VALUE"""),1.25)</f>
        <v>1.25</v>
      </c>
      <c r="E1039" s="1" t="str">
        <f ca="1">IFERROR(__xludf.DUMMYFUNCTION("""COMPUTED_VALUE"""),"SET OF 4 ENGLISH ROSE COASTERS")</f>
        <v>SET OF 4 ENGLISH ROSE COASTERS</v>
      </c>
      <c r="F1039" s="1">
        <f ca="1">IFERROR(__xludf.DUMMYFUNCTION("""COMPUTED_VALUE"""),1)</f>
        <v>1</v>
      </c>
      <c r="G1039" s="1">
        <f ca="1">IFERROR(__xludf.DUMMYFUNCTION("""COMPUTED_VALUE"""),1.25)</f>
        <v>1.25</v>
      </c>
      <c r="J1039" s="1" t="str">
        <f ca="1">IFERROR(__xludf.DUMMYFUNCTION("""COMPUTED_VALUE"""),"SWALLOW CIGAR BOX MATCHES")</f>
        <v>SWALLOW CIGAR BOX MATCHES</v>
      </c>
      <c r="K1039" s="1">
        <f ca="1">IFERROR(__xludf.DUMMYFUNCTION("""COMPUTED_VALUE"""),24)</f>
        <v>24</v>
      </c>
      <c r="L1039" s="1">
        <f ca="1">IFERROR(__xludf.DUMMYFUNCTION("""COMPUTED_VALUE"""),1.25)</f>
        <v>1.25</v>
      </c>
      <c r="T1039" s="1">
        <f ca="1">IFERROR(__xludf.DUMMYFUNCTION("""COMPUTED_VALUE"""),489547)</f>
        <v>489547</v>
      </c>
      <c r="U1039" s="1">
        <f ca="1">IFERROR(__xludf.DUMMYFUNCTION("""COMPUTED_VALUE"""),30)</f>
        <v>30</v>
      </c>
    </row>
    <row r="1040" spans="1:21" ht="12.75" x14ac:dyDescent="0.2">
      <c r="A1040" s="3">
        <f ca="1">IFERROR(__xludf.DUMMYFUNCTION("""COMPUTED_VALUE"""),40148.5208333333)</f>
        <v>40148.520833333299</v>
      </c>
      <c r="B1040" s="1">
        <f ca="1">IFERROR(__xludf.DUMMYFUNCTION("""COMPUTED_VALUE"""),1.25)</f>
        <v>1.25</v>
      </c>
      <c r="E1040" s="1" t="str">
        <f ca="1">IFERROR(__xludf.DUMMYFUNCTION("""COMPUTED_VALUE"""),"LARGE FIBRE OPTIC CHRISTMAS TREE")</f>
        <v>LARGE FIBRE OPTIC CHRISTMAS TREE</v>
      </c>
      <c r="F1040" s="1">
        <f ca="1">IFERROR(__xludf.DUMMYFUNCTION("""COMPUTED_VALUE"""),1)</f>
        <v>1</v>
      </c>
      <c r="G1040" s="1">
        <f ca="1">IFERROR(__xludf.DUMMYFUNCTION("""COMPUTED_VALUE"""),2.55)</f>
        <v>2.5499999999999998</v>
      </c>
      <c r="J1040" s="1" t="str">
        <f ca="1">IFERROR(__xludf.DUMMYFUNCTION("""COMPUTED_VALUE"""),"COSY HOUR CIGAR BOX MATCHES")</f>
        <v>COSY HOUR CIGAR BOX MATCHES</v>
      </c>
      <c r="K1040" s="1">
        <f ca="1">IFERROR(__xludf.DUMMYFUNCTION("""COMPUTED_VALUE"""),24)</f>
        <v>24</v>
      </c>
      <c r="L1040" s="1">
        <f ca="1">IFERROR(__xludf.DUMMYFUNCTION("""COMPUTED_VALUE"""),1.25)</f>
        <v>1.25</v>
      </c>
      <c r="T1040" s="1">
        <f ca="1">IFERROR(__xludf.DUMMYFUNCTION("""COMPUTED_VALUE"""),489547)</f>
        <v>489547</v>
      </c>
      <c r="U1040" s="1">
        <f ca="1">IFERROR(__xludf.DUMMYFUNCTION("""COMPUTED_VALUE"""),30)</f>
        <v>30</v>
      </c>
    </row>
    <row r="1041" spans="1:21" ht="12.75" x14ac:dyDescent="0.2">
      <c r="A1041" s="3">
        <f ca="1">IFERROR(__xludf.DUMMYFUNCTION("""COMPUTED_VALUE"""),40148.5208333333)</f>
        <v>40148.520833333299</v>
      </c>
      <c r="B1041" s="1">
        <f ca="1">IFERROR(__xludf.DUMMYFUNCTION("""COMPUTED_VALUE"""),1.25)</f>
        <v>1.25</v>
      </c>
      <c r="E1041" s="1" t="str">
        <f ca="1">IFERROR(__xludf.DUMMYFUNCTION("""COMPUTED_VALUE"""),"WOODEN BOX OF DOMINOES")</f>
        <v>WOODEN BOX OF DOMINOES</v>
      </c>
      <c r="F1041" s="1">
        <f ca="1">IFERROR(__xludf.DUMMYFUNCTION("""COMPUTED_VALUE"""),12)</f>
        <v>12</v>
      </c>
      <c r="G1041" s="1">
        <f ca="1">IFERROR(__xludf.DUMMYFUNCTION("""COMPUTED_VALUE"""),1.25)</f>
        <v>1.25</v>
      </c>
      <c r="J1041" s="1" t="str">
        <f ca="1">IFERROR(__xludf.DUMMYFUNCTION("""COMPUTED_VALUE"""),"KINGS CHOICE CIGAR BOX MATCHES")</f>
        <v>KINGS CHOICE CIGAR BOX MATCHES</v>
      </c>
      <c r="K1041" s="1">
        <f ca="1">IFERROR(__xludf.DUMMYFUNCTION("""COMPUTED_VALUE"""),24)</f>
        <v>24</v>
      </c>
      <c r="L1041" s="1">
        <f ca="1">IFERROR(__xludf.DUMMYFUNCTION("""COMPUTED_VALUE"""),1.25)</f>
        <v>1.25</v>
      </c>
      <c r="T1041" s="1">
        <f ca="1">IFERROR(__xludf.DUMMYFUNCTION("""COMPUTED_VALUE"""),489547)</f>
        <v>489547</v>
      </c>
      <c r="U1041" s="1">
        <f ca="1">IFERROR(__xludf.DUMMYFUNCTION("""COMPUTED_VALUE"""),30)</f>
        <v>30</v>
      </c>
    </row>
    <row r="1042" spans="1:21" ht="12.75" x14ac:dyDescent="0.2">
      <c r="A1042" s="3">
        <f ca="1">IFERROR(__xludf.DUMMYFUNCTION("""COMPUTED_VALUE"""),40148.5208333333)</f>
        <v>40148.520833333299</v>
      </c>
      <c r="B1042" s="1">
        <f ca="1">IFERROR(__xludf.DUMMYFUNCTION("""COMPUTED_VALUE"""),1.65)</f>
        <v>1.65</v>
      </c>
      <c r="E1042" s="1" t="str">
        <f ca="1">IFERROR(__xludf.DUMMYFUNCTION("""COMPUTED_VALUE"""),"CHERRY DESIGN PAPERLANTERNS")</f>
        <v>CHERRY DESIGN PAPERLANTERNS</v>
      </c>
      <c r="F1042" s="1">
        <f ca="1">IFERROR(__xludf.DUMMYFUNCTION("""COMPUTED_VALUE"""),10)</f>
        <v>10</v>
      </c>
      <c r="G1042" s="1">
        <f ca="1">IFERROR(__xludf.DUMMYFUNCTION("""COMPUTED_VALUE"""),1.95)</f>
        <v>1.95</v>
      </c>
      <c r="J1042" s="1" t="str">
        <f ca="1">IFERROR(__xludf.DUMMYFUNCTION("""COMPUTED_VALUE"""),"LUNCH BAG RED SPOTTY")</f>
        <v>LUNCH BAG RED SPOTTY</v>
      </c>
      <c r="K1042" s="1">
        <f ca="1">IFERROR(__xludf.DUMMYFUNCTION("""COMPUTED_VALUE"""),20)</f>
        <v>20</v>
      </c>
      <c r="L1042" s="1">
        <f ca="1">IFERROR(__xludf.DUMMYFUNCTION("""COMPUTED_VALUE"""),1.65)</f>
        <v>1.65</v>
      </c>
      <c r="T1042" s="1">
        <f ca="1">IFERROR(__xludf.DUMMYFUNCTION("""COMPUTED_VALUE"""),489547)</f>
        <v>489547</v>
      </c>
      <c r="U1042" s="1">
        <f ca="1">IFERROR(__xludf.DUMMYFUNCTION("""COMPUTED_VALUE"""),33)</f>
        <v>33</v>
      </c>
    </row>
    <row r="1043" spans="1:21" ht="12.75" x14ac:dyDescent="0.2">
      <c r="A1043" s="3">
        <f ca="1">IFERROR(__xludf.DUMMYFUNCTION("""COMPUTED_VALUE"""),40148.5208333333)</f>
        <v>40148.520833333299</v>
      </c>
      <c r="B1043" s="1">
        <f ca="1">IFERROR(__xludf.DUMMYFUNCTION("""COMPUTED_VALUE"""),2.95)</f>
        <v>2.95</v>
      </c>
      <c r="E1043" s="1" t="str">
        <f ca="1">IFERROR(__xludf.DUMMYFUNCTION("""COMPUTED_VALUE"""),"TEA TIME PAPER LANTERNS")</f>
        <v>TEA TIME PAPER LANTERNS</v>
      </c>
      <c r="F1043" s="1">
        <f ca="1">IFERROR(__xludf.DUMMYFUNCTION("""COMPUTED_VALUE"""),10)</f>
        <v>10</v>
      </c>
      <c r="G1043" s="1">
        <f ca="1">IFERROR(__xludf.DUMMYFUNCTION("""COMPUTED_VALUE"""),1.95)</f>
        <v>1.95</v>
      </c>
      <c r="J1043" s="1" t="str">
        <f ca="1">IFERROR(__xludf.DUMMYFUNCTION("""COMPUTED_VALUE"""),"PAPER CHAIN KIT 50'S CHRISTMAS")</f>
        <v>PAPER CHAIN KIT 50'S CHRISTMAS</v>
      </c>
      <c r="K1043" s="1">
        <f ca="1">IFERROR(__xludf.DUMMYFUNCTION("""COMPUTED_VALUE"""),18)</f>
        <v>18</v>
      </c>
      <c r="L1043" s="1">
        <f ca="1">IFERROR(__xludf.DUMMYFUNCTION("""COMPUTED_VALUE"""),2.95)</f>
        <v>2.95</v>
      </c>
      <c r="T1043" s="1">
        <f ca="1">IFERROR(__xludf.DUMMYFUNCTION("""COMPUTED_VALUE"""),489547)</f>
        <v>489547</v>
      </c>
      <c r="U1043" s="1">
        <f ca="1">IFERROR(__xludf.DUMMYFUNCTION("""COMPUTED_VALUE"""),53.1)</f>
        <v>53.1</v>
      </c>
    </row>
    <row r="1044" spans="1:21" ht="12.75" x14ac:dyDescent="0.2">
      <c r="A1044" s="3">
        <f ca="1">IFERROR(__xludf.DUMMYFUNCTION("""COMPUTED_VALUE"""),40148.5208333333)</f>
        <v>40148.520833333299</v>
      </c>
      <c r="B1044" s="1">
        <f ca="1">IFERROR(__xludf.DUMMYFUNCTION("""COMPUTED_VALUE"""),1.25)</f>
        <v>1.25</v>
      </c>
      <c r="E1044" s="1" t="str">
        <f ca="1">IFERROR(__xludf.DUMMYFUNCTION("""COMPUTED_VALUE"""),"VICTORIAN SEWING KIT")</f>
        <v>VICTORIAN SEWING KIT</v>
      </c>
      <c r="F1044" s="1">
        <f ca="1">IFERROR(__xludf.DUMMYFUNCTION("""COMPUTED_VALUE"""),10)</f>
        <v>10</v>
      </c>
      <c r="G1044" s="1">
        <f ca="1">IFERROR(__xludf.DUMMYFUNCTION("""COMPUTED_VALUE"""),1.25)</f>
        <v>1.25</v>
      </c>
      <c r="J1044" s="1" t="str">
        <f ca="1">IFERROR(__xludf.DUMMYFUNCTION("""COMPUTED_VALUE"""),"SAVE THE PLANET MUG")</f>
        <v>SAVE THE PLANET MUG</v>
      </c>
      <c r="K1044" s="1">
        <f ca="1">IFERROR(__xludf.DUMMYFUNCTION("""COMPUTED_VALUE"""),12)</f>
        <v>12</v>
      </c>
      <c r="L1044" s="1">
        <f ca="1">IFERROR(__xludf.DUMMYFUNCTION("""COMPUTED_VALUE"""),1.25)</f>
        <v>1.25</v>
      </c>
      <c r="T1044" s="1">
        <f ca="1">IFERROR(__xludf.DUMMYFUNCTION("""COMPUTED_VALUE"""),489547)</f>
        <v>489547</v>
      </c>
      <c r="U1044" s="1">
        <f ca="1">IFERROR(__xludf.DUMMYFUNCTION("""COMPUTED_VALUE"""),15)</f>
        <v>15</v>
      </c>
    </row>
    <row r="1045" spans="1:21" ht="12.75" x14ac:dyDescent="0.2">
      <c r="A1045" s="3">
        <f ca="1">IFERROR(__xludf.DUMMYFUNCTION("""COMPUTED_VALUE"""),40148.5208333333)</f>
        <v>40148.520833333299</v>
      </c>
      <c r="B1045" s="1">
        <f ca="1">IFERROR(__xludf.DUMMYFUNCTION("""COMPUTED_VALUE"""),1.25)</f>
        <v>1.25</v>
      </c>
      <c r="E1045" s="1" t="str">
        <f ca="1">IFERROR(__xludf.DUMMYFUNCTION("""COMPUTED_VALUE"""),"VINTAGE HEADS AND TAILS CARD GAME")</f>
        <v>VINTAGE HEADS AND TAILS CARD GAME</v>
      </c>
      <c r="F1045" s="1">
        <f ca="1">IFERROR(__xludf.DUMMYFUNCTION("""COMPUTED_VALUE"""),10)</f>
        <v>10</v>
      </c>
      <c r="G1045" s="1">
        <f ca="1">IFERROR(__xludf.DUMMYFUNCTION("""COMPUTED_VALUE"""),1.25)</f>
        <v>1.25</v>
      </c>
      <c r="J1045" s="1" t="str">
        <f ca="1">IFERROR(__xludf.DUMMYFUNCTION("""COMPUTED_VALUE"""),"KINGS CHOICE MUG")</f>
        <v>KINGS CHOICE MUG</v>
      </c>
      <c r="K1045" s="1">
        <f ca="1">IFERROR(__xludf.DUMMYFUNCTION("""COMPUTED_VALUE"""),12)</f>
        <v>12</v>
      </c>
      <c r="L1045" s="1">
        <f ca="1">IFERROR(__xludf.DUMMYFUNCTION("""COMPUTED_VALUE"""),1.25)</f>
        <v>1.25</v>
      </c>
      <c r="T1045" s="1">
        <f ca="1">IFERROR(__xludf.DUMMYFUNCTION("""COMPUTED_VALUE"""),489547)</f>
        <v>489547</v>
      </c>
      <c r="U1045" s="1">
        <f ca="1">IFERROR(__xludf.DUMMYFUNCTION("""COMPUTED_VALUE"""),15)</f>
        <v>15</v>
      </c>
    </row>
    <row r="1046" spans="1:21" ht="12.75" x14ac:dyDescent="0.2">
      <c r="A1046" s="3">
        <f ca="1">IFERROR(__xludf.DUMMYFUNCTION("""COMPUTED_VALUE"""),40148.5208333333)</f>
        <v>40148.520833333299</v>
      </c>
      <c r="B1046" s="1">
        <f ca="1">IFERROR(__xludf.DUMMYFUNCTION("""COMPUTED_VALUE"""),2.55)</f>
        <v>2.5499999999999998</v>
      </c>
      <c r="E1046" s="1" t="str">
        <f ca="1">IFERROR(__xludf.DUMMYFUNCTION("""COMPUTED_VALUE"""),"COLOURING PENCILS BROWN TUBE")</f>
        <v>COLOURING PENCILS BROWN TUBE</v>
      </c>
      <c r="F1046" s="1">
        <f ca="1">IFERROR(__xludf.DUMMYFUNCTION("""COMPUTED_VALUE"""),10)</f>
        <v>10</v>
      </c>
      <c r="G1046" s="1">
        <f ca="1">IFERROR(__xludf.DUMMYFUNCTION("""COMPUTED_VALUE"""),1.25)</f>
        <v>1.25</v>
      </c>
      <c r="J1046" s="1" t="str">
        <f ca="1">IFERROR(__xludf.DUMMYFUNCTION("""COMPUTED_VALUE"""),"COSY HOUR GIANT TUBE MATCHES")</f>
        <v>COSY HOUR GIANT TUBE MATCHES</v>
      </c>
      <c r="K1046" s="1">
        <f ca="1">IFERROR(__xludf.DUMMYFUNCTION("""COMPUTED_VALUE"""),12)</f>
        <v>12</v>
      </c>
      <c r="L1046" s="1">
        <f ca="1">IFERROR(__xludf.DUMMYFUNCTION("""COMPUTED_VALUE"""),2.55)</f>
        <v>2.5499999999999998</v>
      </c>
      <c r="T1046" s="1">
        <f ca="1">IFERROR(__xludf.DUMMYFUNCTION("""COMPUTED_VALUE"""),489547)</f>
        <v>489547</v>
      </c>
      <c r="U1046" s="1">
        <f ca="1">IFERROR(__xludf.DUMMYFUNCTION("""COMPUTED_VALUE"""),30.5999999999999)</f>
        <v>30.599999999999898</v>
      </c>
    </row>
    <row r="1047" spans="1:21" ht="12.75" x14ac:dyDescent="0.2">
      <c r="A1047" s="3">
        <f ca="1">IFERROR(__xludf.DUMMYFUNCTION("""COMPUTED_VALUE"""),40148.5208333333)</f>
        <v>40148.520833333299</v>
      </c>
      <c r="B1047" s="1">
        <f ca="1">IFERROR(__xludf.DUMMYFUNCTION("""COMPUTED_VALUE"""),0.85)</f>
        <v>0.85</v>
      </c>
      <c r="E1047" s="1" t="str">
        <f ca="1">IFERROR(__xludf.DUMMYFUNCTION("""COMPUTED_VALUE"""),"POTTING SHED TEA MUG")</f>
        <v>POTTING SHED TEA MUG</v>
      </c>
      <c r="F1047" s="1">
        <f ca="1">IFERROR(__xludf.DUMMYFUNCTION("""COMPUTED_VALUE"""),6)</f>
        <v>6</v>
      </c>
      <c r="G1047" s="1">
        <f ca="1">IFERROR(__xludf.DUMMYFUNCTION("""COMPUTED_VALUE"""),1.25)</f>
        <v>1.25</v>
      </c>
      <c r="J1047" s="1" t="str">
        <f ca="1">IFERROR(__xludf.DUMMYFUNCTION("""COMPUTED_VALUE"""),"VINTAGE DESIGN GIFT TAGS")</f>
        <v>VINTAGE DESIGN GIFT TAGS</v>
      </c>
      <c r="K1047" s="1">
        <f ca="1">IFERROR(__xludf.DUMMYFUNCTION("""COMPUTED_VALUE"""),12)</f>
        <v>12</v>
      </c>
      <c r="L1047" s="1">
        <f ca="1">IFERROR(__xludf.DUMMYFUNCTION("""COMPUTED_VALUE"""),0.85)</f>
        <v>0.85</v>
      </c>
      <c r="T1047" s="1">
        <f ca="1">IFERROR(__xludf.DUMMYFUNCTION("""COMPUTED_VALUE"""),489547)</f>
        <v>489547</v>
      </c>
      <c r="U1047" s="1">
        <f ca="1">IFERROR(__xludf.DUMMYFUNCTION("""COMPUTED_VALUE"""),10.2)</f>
        <v>10.199999999999999</v>
      </c>
    </row>
    <row r="1048" spans="1:21" ht="12.75" x14ac:dyDescent="0.2">
      <c r="A1048" s="3">
        <f ca="1">IFERROR(__xludf.DUMMYFUNCTION("""COMPUTED_VALUE"""),40148.5208333333)</f>
        <v>40148.520833333299</v>
      </c>
      <c r="B1048" s="1">
        <f ca="1">IFERROR(__xludf.DUMMYFUNCTION("""COMPUTED_VALUE"""),0.85)</f>
        <v>0.85</v>
      </c>
      <c r="E1048" s="1" t="str">
        <f ca="1">IFERROR(__xludf.DUMMYFUNCTION("""COMPUTED_VALUE"""),"FIRST AID TIN")</f>
        <v>FIRST AID TIN</v>
      </c>
      <c r="F1048" s="1">
        <f ca="1">IFERROR(__xludf.DUMMYFUNCTION("""COMPUTED_VALUE"""),6)</f>
        <v>6</v>
      </c>
      <c r="G1048" s="1">
        <f ca="1">IFERROR(__xludf.DUMMYFUNCTION("""COMPUTED_VALUE"""),3.25)</f>
        <v>3.25</v>
      </c>
      <c r="J1048" s="1" t="str">
        <f ca="1">IFERROR(__xludf.DUMMYFUNCTION("""COMPUTED_VALUE"""),"TEA BAG PLATE RED SPOTTY")</f>
        <v>TEA BAG PLATE RED SPOTTY</v>
      </c>
      <c r="K1048" s="1">
        <f ca="1">IFERROR(__xludf.DUMMYFUNCTION("""COMPUTED_VALUE"""),12)</f>
        <v>12</v>
      </c>
      <c r="L1048" s="1">
        <f ca="1">IFERROR(__xludf.DUMMYFUNCTION("""COMPUTED_VALUE"""),0.85)</f>
        <v>0.85</v>
      </c>
      <c r="T1048" s="1">
        <f ca="1">IFERROR(__xludf.DUMMYFUNCTION("""COMPUTED_VALUE"""),489547)</f>
        <v>489547</v>
      </c>
      <c r="U1048" s="1">
        <f ca="1">IFERROR(__xludf.DUMMYFUNCTION("""COMPUTED_VALUE"""),10.2)</f>
        <v>10.199999999999999</v>
      </c>
    </row>
    <row r="1049" spans="1:21" ht="12.75" x14ac:dyDescent="0.2">
      <c r="A1049" s="3">
        <f ca="1">IFERROR(__xludf.DUMMYFUNCTION("""COMPUTED_VALUE"""),40148.5208333333)</f>
        <v>40148.520833333299</v>
      </c>
      <c r="B1049" s="1">
        <f ca="1">IFERROR(__xludf.DUMMYFUNCTION("""COMPUTED_VALUE"""),1.95)</f>
        <v>1.95</v>
      </c>
      <c r="E1049" s="1" t="str">
        <f ca="1">IFERROR(__xludf.DUMMYFUNCTION("""COMPUTED_VALUE"""),"KINGS CHOICE MUG")</f>
        <v>KINGS CHOICE MUG</v>
      </c>
      <c r="F1049" s="1">
        <f ca="1">IFERROR(__xludf.DUMMYFUNCTION("""COMPUTED_VALUE"""),6)</f>
        <v>6</v>
      </c>
      <c r="G1049" s="1">
        <f ca="1">IFERROR(__xludf.DUMMYFUNCTION("""COMPUTED_VALUE"""),1.25)</f>
        <v>1.25</v>
      </c>
      <c r="J1049" s="1" t="str">
        <f ca="1">IFERROR(__xludf.DUMMYFUNCTION("""COMPUTED_VALUE"""),"JUMBO STORAGE BAG SKULLS")</f>
        <v>JUMBO STORAGE BAG SKULLS</v>
      </c>
      <c r="K1049" s="1">
        <f ca="1">IFERROR(__xludf.DUMMYFUNCTION("""COMPUTED_VALUE"""),10)</f>
        <v>10</v>
      </c>
      <c r="L1049" s="1">
        <f ca="1">IFERROR(__xludf.DUMMYFUNCTION("""COMPUTED_VALUE"""),1.95)</f>
        <v>1.95</v>
      </c>
      <c r="T1049" s="1">
        <f ca="1">IFERROR(__xludf.DUMMYFUNCTION("""COMPUTED_VALUE"""),489547)</f>
        <v>489547</v>
      </c>
      <c r="U1049" s="1">
        <f ca="1">IFERROR(__xludf.DUMMYFUNCTION("""COMPUTED_VALUE"""),19.5)</f>
        <v>19.5</v>
      </c>
    </row>
    <row r="1050" spans="1:21" ht="12.75" x14ac:dyDescent="0.2">
      <c r="A1050" s="3">
        <f ca="1">IFERROR(__xludf.DUMMYFUNCTION("""COMPUTED_VALUE"""),40148.5208333333)</f>
        <v>40148.520833333299</v>
      </c>
      <c r="B1050" s="1">
        <f ca="1">IFERROR(__xludf.DUMMYFUNCTION("""COMPUTED_VALUE"""),1.95)</f>
        <v>1.95</v>
      </c>
      <c r="E1050" s="1" t="str">
        <f ca="1">IFERROR(__xludf.DUMMYFUNCTION("""COMPUTED_VALUE"""),"PAPER CHAIN KIT RETRO SPOT")</f>
        <v>PAPER CHAIN KIT RETRO SPOT</v>
      </c>
      <c r="F1050" s="1">
        <f ca="1">IFERROR(__xludf.DUMMYFUNCTION("""COMPUTED_VALUE"""),5)</f>
        <v>5</v>
      </c>
      <c r="G1050" s="1">
        <f ca="1">IFERROR(__xludf.DUMMYFUNCTION("""COMPUTED_VALUE"""),2.95)</f>
        <v>2.95</v>
      </c>
      <c r="J1050" s="1" t="str">
        <f ca="1">IFERROR(__xludf.DUMMYFUNCTION("""COMPUTED_VALUE"""),"JUMBO BAG RED WHITE SPOTTY")</f>
        <v>JUMBO BAG RED WHITE SPOTTY</v>
      </c>
      <c r="K1050" s="1">
        <f ca="1">IFERROR(__xludf.DUMMYFUNCTION("""COMPUTED_VALUE"""),10)</f>
        <v>10</v>
      </c>
      <c r="L1050" s="1">
        <f ca="1">IFERROR(__xludf.DUMMYFUNCTION("""COMPUTED_VALUE"""),1.95)</f>
        <v>1.95</v>
      </c>
      <c r="T1050" s="1">
        <f ca="1">IFERROR(__xludf.DUMMYFUNCTION("""COMPUTED_VALUE"""),489547)</f>
        <v>489547</v>
      </c>
      <c r="U1050" s="1">
        <f ca="1">IFERROR(__xludf.DUMMYFUNCTION("""COMPUTED_VALUE"""),19.5)</f>
        <v>19.5</v>
      </c>
    </row>
    <row r="1051" spans="1:21" ht="12.75" x14ac:dyDescent="0.2">
      <c r="A1051" s="3">
        <f ca="1">IFERROR(__xludf.DUMMYFUNCTION("""COMPUTED_VALUE"""),40148.5208333333)</f>
        <v>40148.520833333299</v>
      </c>
      <c r="B1051" s="1">
        <f ca="1">IFERROR(__xludf.DUMMYFUNCTION("""COMPUTED_VALUE"""),1.95)</f>
        <v>1.95</v>
      </c>
      <c r="E1051" s="1" t="str">
        <f ca="1">IFERROR(__xludf.DUMMYFUNCTION("""COMPUTED_VALUE"""),"GAOLERS KEYS DECORATIVE GARDEN")</f>
        <v>GAOLERS KEYS DECORATIVE GARDEN</v>
      </c>
      <c r="F1051" s="1">
        <f ca="1">IFERROR(__xludf.DUMMYFUNCTION("""COMPUTED_VALUE"""),4)</f>
        <v>4</v>
      </c>
      <c r="G1051" s="1">
        <f ca="1">IFERROR(__xludf.DUMMYFUNCTION("""COMPUTED_VALUE"""),3.75)</f>
        <v>3.75</v>
      </c>
      <c r="J1051" s="1" t="str">
        <f ca="1">IFERROR(__xludf.DUMMYFUNCTION("""COMPUTED_VALUE"""),"JUMBO  BAG BAROQUE BLACK WHITE")</f>
        <v>JUMBO  BAG BAROQUE BLACK WHITE</v>
      </c>
      <c r="K1051" s="1">
        <f ca="1">IFERROR(__xludf.DUMMYFUNCTION("""COMPUTED_VALUE"""),10)</f>
        <v>10</v>
      </c>
      <c r="L1051" s="1">
        <f ca="1">IFERROR(__xludf.DUMMYFUNCTION("""COMPUTED_VALUE"""),1.95)</f>
        <v>1.95</v>
      </c>
      <c r="T1051" s="1">
        <f ca="1">IFERROR(__xludf.DUMMYFUNCTION("""COMPUTED_VALUE"""),489547)</f>
        <v>489547</v>
      </c>
      <c r="U1051" s="1">
        <f ca="1">IFERROR(__xludf.DUMMYFUNCTION("""COMPUTED_VALUE"""),19.5)</f>
        <v>19.5</v>
      </c>
    </row>
    <row r="1052" spans="1:21" ht="12.75" x14ac:dyDescent="0.2">
      <c r="A1052" s="3">
        <f ca="1">IFERROR(__xludf.DUMMYFUNCTION("""COMPUTED_VALUE"""),40148.5208333333)</f>
        <v>40148.520833333299</v>
      </c>
      <c r="B1052" s="1">
        <f ca="1">IFERROR(__xludf.DUMMYFUNCTION("""COMPUTED_VALUE"""),0.85)</f>
        <v>0.85</v>
      </c>
      <c r="E1052" s="1" t="str">
        <f ca="1">IFERROR(__xludf.DUMMYFUNCTION("""COMPUTED_VALUE"""),"FROG CANDLE")</f>
        <v>FROG CANDLE</v>
      </c>
      <c r="F1052" s="1">
        <f ca="1">IFERROR(__xludf.DUMMYFUNCTION("""COMPUTED_VALUE"""),4)</f>
        <v>4</v>
      </c>
      <c r="G1052" s="1">
        <f ca="1">IFERROR(__xludf.DUMMYFUNCTION("""COMPUTED_VALUE"""),1.25)</f>
        <v>1.25</v>
      </c>
      <c r="J1052" s="1" t="str">
        <f ca="1">IFERROR(__xludf.DUMMYFUNCTION("""COMPUTED_VALUE"""),"WOODLAND CHARLOTTE BAG")</f>
        <v>WOODLAND CHARLOTTE BAG</v>
      </c>
      <c r="K1052" s="1">
        <f ca="1">IFERROR(__xludf.DUMMYFUNCTION("""COMPUTED_VALUE"""),10)</f>
        <v>10</v>
      </c>
      <c r="L1052" s="1">
        <f ca="1">IFERROR(__xludf.DUMMYFUNCTION("""COMPUTED_VALUE"""),0.85)</f>
        <v>0.85</v>
      </c>
      <c r="T1052" s="1">
        <f ca="1">IFERROR(__xludf.DUMMYFUNCTION("""COMPUTED_VALUE"""),489547)</f>
        <v>489547</v>
      </c>
      <c r="U1052" s="1">
        <f ca="1">IFERROR(__xludf.DUMMYFUNCTION("""COMPUTED_VALUE"""),8.5)</f>
        <v>8.5</v>
      </c>
    </row>
    <row r="1053" spans="1:21" ht="12.75" x14ac:dyDescent="0.2">
      <c r="A1053" s="3">
        <f ca="1">IFERROR(__xludf.DUMMYFUNCTION("""COMPUTED_VALUE"""),40148.5208333333)</f>
        <v>40148.520833333299</v>
      </c>
      <c r="B1053" s="1">
        <f ca="1">IFERROR(__xludf.DUMMYFUNCTION("""COMPUTED_VALUE"""),0.85)</f>
        <v>0.85</v>
      </c>
      <c r="E1053" s="1" t="str">
        <f ca="1">IFERROR(__xludf.DUMMYFUNCTION("""COMPUTED_VALUE"""),"BAKING SET 9 PIECE RETROSPOT")</f>
        <v>BAKING SET 9 PIECE RETROSPOT</v>
      </c>
      <c r="F1053" s="1">
        <f ca="1">IFERROR(__xludf.DUMMYFUNCTION("""COMPUTED_VALUE"""),4)</f>
        <v>4</v>
      </c>
      <c r="G1053" s="1">
        <f ca="1">IFERROR(__xludf.DUMMYFUNCTION("""COMPUTED_VALUE"""),4.95)</f>
        <v>4.95</v>
      </c>
      <c r="J1053" s="1" t="str">
        <f ca="1">IFERROR(__xludf.DUMMYFUNCTION("""COMPUTED_VALUE"""),"RED SPOTTY CHARLOTTE BAG")</f>
        <v>RED SPOTTY CHARLOTTE BAG</v>
      </c>
      <c r="K1053" s="1">
        <f ca="1">IFERROR(__xludf.DUMMYFUNCTION("""COMPUTED_VALUE"""),10)</f>
        <v>10</v>
      </c>
      <c r="L1053" s="1">
        <f ca="1">IFERROR(__xludf.DUMMYFUNCTION("""COMPUTED_VALUE"""),0.85)</f>
        <v>0.85</v>
      </c>
      <c r="T1053" s="1">
        <f ca="1">IFERROR(__xludf.DUMMYFUNCTION("""COMPUTED_VALUE"""),489547)</f>
        <v>489547</v>
      </c>
      <c r="U1053" s="1">
        <f ca="1">IFERROR(__xludf.DUMMYFUNCTION("""COMPUTED_VALUE"""),8.5)</f>
        <v>8.5</v>
      </c>
    </row>
    <row r="1054" spans="1:21" ht="12.75" x14ac:dyDescent="0.2">
      <c r="A1054" s="3">
        <f ca="1">IFERROR(__xludf.DUMMYFUNCTION("""COMPUTED_VALUE"""),40148.5208333333)</f>
        <v>40148.520833333299</v>
      </c>
      <c r="B1054" s="1">
        <f ca="1">IFERROR(__xludf.DUMMYFUNCTION("""COMPUTED_VALUE"""),1.65)</f>
        <v>1.65</v>
      </c>
      <c r="E1054" s="1" t="str">
        <f ca="1">IFERROR(__xludf.DUMMYFUNCTION("""COMPUTED_VALUE"""),"GLASS CHICKEN BUTTER DISH")</f>
        <v>GLASS CHICKEN BUTTER DISH</v>
      </c>
      <c r="F1054" s="1">
        <f ca="1">IFERROR(__xludf.DUMMYFUNCTION("""COMPUTED_VALUE"""),4)</f>
        <v>4</v>
      </c>
      <c r="G1054" s="1">
        <f ca="1">IFERROR(__xludf.DUMMYFUNCTION("""COMPUTED_VALUE"""),1.65)</f>
        <v>1.65</v>
      </c>
      <c r="J1054" s="1" t="str">
        <f ca="1">IFERROR(__xludf.DUMMYFUNCTION("""COMPUTED_VALUE"""),"LUNCH BAG  BLACK SKULL.")</f>
        <v>LUNCH BAG  BLACK SKULL.</v>
      </c>
      <c r="K1054" s="1">
        <f ca="1">IFERROR(__xludf.DUMMYFUNCTION("""COMPUTED_VALUE"""),10)</f>
        <v>10</v>
      </c>
      <c r="L1054" s="1">
        <f ca="1">IFERROR(__xludf.DUMMYFUNCTION("""COMPUTED_VALUE"""),1.65)</f>
        <v>1.65</v>
      </c>
      <c r="T1054" s="1">
        <f ca="1">IFERROR(__xludf.DUMMYFUNCTION("""COMPUTED_VALUE"""),489547)</f>
        <v>489547</v>
      </c>
      <c r="U1054" s="1">
        <f ca="1">IFERROR(__xludf.DUMMYFUNCTION("""COMPUTED_VALUE"""),16.5)</f>
        <v>16.5</v>
      </c>
    </row>
    <row r="1055" spans="1:21" ht="12.75" x14ac:dyDescent="0.2">
      <c r="A1055" s="3">
        <f ca="1">IFERROR(__xludf.DUMMYFUNCTION("""COMPUTED_VALUE"""),40148.5208333333)</f>
        <v>40148.520833333299</v>
      </c>
      <c r="B1055" s="1">
        <f ca="1">IFERROR(__xludf.DUMMYFUNCTION("""COMPUTED_VALUE"""),1.65)</f>
        <v>1.65</v>
      </c>
      <c r="E1055" s="1" t="str">
        <f ca="1">IFERROR(__xludf.DUMMYFUNCTION("""COMPUTED_VALUE"""),"GLASS CHICKEN BUTTER DISH")</f>
        <v>GLASS CHICKEN BUTTER DISH</v>
      </c>
      <c r="F1055" s="1">
        <f ca="1">IFERROR(__xludf.DUMMYFUNCTION("""COMPUTED_VALUE"""),4)</f>
        <v>4</v>
      </c>
      <c r="G1055" s="1">
        <f ca="1">IFERROR(__xludf.DUMMYFUNCTION("""COMPUTED_VALUE"""),1.65)</f>
        <v>1.65</v>
      </c>
      <c r="J1055" s="1" t="str">
        <f ca="1">IFERROR(__xludf.DUMMYFUNCTION("""COMPUTED_VALUE"""),"LUNCH BAG WOODLAND")</f>
        <v>LUNCH BAG WOODLAND</v>
      </c>
      <c r="K1055" s="1">
        <f ca="1">IFERROR(__xludf.DUMMYFUNCTION("""COMPUTED_VALUE"""),10)</f>
        <v>10</v>
      </c>
      <c r="L1055" s="1">
        <f ca="1">IFERROR(__xludf.DUMMYFUNCTION("""COMPUTED_VALUE"""),1.65)</f>
        <v>1.65</v>
      </c>
      <c r="T1055" s="1">
        <f ca="1">IFERROR(__xludf.DUMMYFUNCTION("""COMPUTED_VALUE"""),489547)</f>
        <v>489547</v>
      </c>
      <c r="U1055" s="1">
        <f ca="1">IFERROR(__xludf.DUMMYFUNCTION("""COMPUTED_VALUE"""),16.5)</f>
        <v>16.5</v>
      </c>
    </row>
    <row r="1056" spans="1:21" ht="12.75" x14ac:dyDescent="0.2">
      <c r="A1056" s="3">
        <f ca="1">IFERROR(__xludf.DUMMYFUNCTION("""COMPUTED_VALUE"""),40148.5208333333)</f>
        <v>40148.520833333299</v>
      </c>
      <c r="B1056" s="1">
        <f ca="1">IFERROR(__xludf.DUMMYFUNCTION("""COMPUTED_VALUE"""),2.95)</f>
        <v>2.95</v>
      </c>
      <c r="E1056" s="1" t="str">
        <f ca="1">IFERROR(__xludf.DUMMYFUNCTION("""COMPUTED_VALUE"""),"STRAWBERRY CERAMIC TRINKET BOX")</f>
        <v>STRAWBERRY CERAMIC TRINKET BOX</v>
      </c>
      <c r="F1056" s="1">
        <f ca="1">IFERROR(__xludf.DUMMYFUNCTION("""COMPUTED_VALUE"""),4)</f>
        <v>4</v>
      </c>
      <c r="G1056" s="1">
        <f ca="1">IFERROR(__xludf.DUMMYFUNCTION("""COMPUTED_VALUE"""),1.25)</f>
        <v>1.25</v>
      </c>
      <c r="J1056" s="1" t="str">
        <f ca="1">IFERROR(__xludf.DUMMYFUNCTION("""COMPUTED_VALUE"""),"PAPER CHAIN KIT RETRO SPOT")</f>
        <v>PAPER CHAIN KIT RETRO SPOT</v>
      </c>
      <c r="K1056" s="1">
        <f ca="1">IFERROR(__xludf.DUMMYFUNCTION("""COMPUTED_VALUE"""),6)</f>
        <v>6</v>
      </c>
      <c r="L1056" s="1">
        <f ca="1">IFERROR(__xludf.DUMMYFUNCTION("""COMPUTED_VALUE"""),2.95)</f>
        <v>2.95</v>
      </c>
      <c r="T1056" s="1">
        <f ca="1">IFERROR(__xludf.DUMMYFUNCTION("""COMPUTED_VALUE"""),489547)</f>
        <v>489547</v>
      </c>
      <c r="U1056" s="1">
        <f ca="1">IFERROR(__xludf.DUMMYFUNCTION("""COMPUTED_VALUE"""),17.7)</f>
        <v>17.7</v>
      </c>
    </row>
    <row r="1057" spans="1:21" ht="12.75" x14ac:dyDescent="0.2">
      <c r="A1057" s="3">
        <f ca="1">IFERROR(__xludf.DUMMYFUNCTION("""COMPUTED_VALUE"""),40148.5208333333)</f>
        <v>40148.520833333299</v>
      </c>
      <c r="B1057" s="1">
        <f ca="1">IFERROR(__xludf.DUMMYFUNCTION("""COMPUTED_VALUE"""),2.95)</f>
        <v>2.95</v>
      </c>
      <c r="E1057" s="1" t="str">
        <f ca="1">IFERROR(__xludf.DUMMYFUNCTION("""COMPUTED_VALUE"""),"POTTING SHED SEED TIN")</f>
        <v>POTTING SHED SEED TIN</v>
      </c>
      <c r="F1057" s="1">
        <f ca="1">IFERROR(__xludf.DUMMYFUNCTION("""COMPUTED_VALUE"""),3)</f>
        <v>3</v>
      </c>
      <c r="G1057" s="1">
        <f ca="1">IFERROR(__xludf.DUMMYFUNCTION("""COMPUTED_VALUE"""),4.25)</f>
        <v>4.25</v>
      </c>
      <c r="J1057" s="1" t="str">
        <f ca="1">IFERROR(__xludf.DUMMYFUNCTION("""COMPUTED_VALUE"""),"PAPER CHAIN KIT SKULLS")</f>
        <v>PAPER CHAIN KIT SKULLS</v>
      </c>
      <c r="K1057" s="1">
        <f ca="1">IFERROR(__xludf.DUMMYFUNCTION("""COMPUTED_VALUE"""),6)</f>
        <v>6</v>
      </c>
      <c r="L1057" s="1">
        <f ca="1">IFERROR(__xludf.DUMMYFUNCTION("""COMPUTED_VALUE"""),2.95)</f>
        <v>2.95</v>
      </c>
      <c r="T1057" s="1">
        <f ca="1">IFERROR(__xludf.DUMMYFUNCTION("""COMPUTED_VALUE"""),489547)</f>
        <v>489547</v>
      </c>
      <c r="U1057" s="1">
        <f ca="1">IFERROR(__xludf.DUMMYFUNCTION("""COMPUTED_VALUE"""),17.7)</f>
        <v>17.7</v>
      </c>
    </row>
    <row r="1058" spans="1:21" ht="12.75" x14ac:dyDescent="0.2">
      <c r="A1058" s="3">
        <f ca="1">IFERROR(__xludf.DUMMYFUNCTION("""COMPUTED_VALUE"""),40148.5208333333)</f>
        <v>40148.520833333299</v>
      </c>
      <c r="B1058" s="1">
        <f ca="1">IFERROR(__xludf.DUMMYFUNCTION("""COMPUTED_VALUE"""),4.95)</f>
        <v>4.95</v>
      </c>
      <c r="E1058" s="1" t="str">
        <f ca="1">IFERROR(__xludf.DUMMYFUNCTION("""COMPUTED_VALUE"""),"MOTORING TISSUE BOX")</f>
        <v>MOTORING TISSUE BOX</v>
      </c>
      <c r="F1058" s="1">
        <f ca="1">IFERROR(__xludf.DUMMYFUNCTION("""COMPUTED_VALUE"""),3)</f>
        <v>3</v>
      </c>
      <c r="G1058" s="1">
        <f ca="1">IFERROR(__xludf.DUMMYFUNCTION("""COMPUTED_VALUE"""),1.25)</f>
        <v>1.25</v>
      </c>
      <c r="J1058" s="1" t="str">
        <f ca="1">IFERROR(__xludf.DUMMYFUNCTION("""COMPUTED_VALUE"""),"BAKING SET 9 PIECE RETROSPOT")</f>
        <v>BAKING SET 9 PIECE RETROSPOT</v>
      </c>
      <c r="K1058" s="1">
        <f ca="1">IFERROR(__xludf.DUMMYFUNCTION("""COMPUTED_VALUE"""),3)</f>
        <v>3</v>
      </c>
      <c r="L1058" s="1">
        <f ca="1">IFERROR(__xludf.DUMMYFUNCTION("""COMPUTED_VALUE"""),4.95)</f>
        <v>4.95</v>
      </c>
      <c r="T1058" s="1">
        <f ca="1">IFERROR(__xludf.DUMMYFUNCTION("""COMPUTED_VALUE"""),489547)</f>
        <v>489547</v>
      </c>
      <c r="U1058" s="1">
        <f ca="1">IFERROR(__xludf.DUMMYFUNCTION("""COMPUTED_VALUE"""),14.85)</f>
        <v>14.85</v>
      </c>
    </row>
    <row r="1059" spans="1:21" ht="12.75" x14ac:dyDescent="0.2">
      <c r="A1059" s="3">
        <f ca="1">IFERROR(__xludf.DUMMYFUNCTION("""COMPUTED_VALUE"""),40148.5222222222)</f>
        <v>40148.5222222222</v>
      </c>
      <c r="B1059" s="1">
        <f ca="1">IFERROR(__xludf.DUMMYFUNCTION("""COMPUTED_VALUE"""),0.65)</f>
        <v>0.65</v>
      </c>
      <c r="E1059" s="1" t="str">
        <f ca="1">IFERROR(__xludf.DUMMYFUNCTION("""COMPUTED_VALUE"""),"COSY SLIPPER SHOES LARGE GREEN")</f>
        <v>COSY SLIPPER SHOES LARGE GREEN</v>
      </c>
      <c r="F1059" s="1">
        <f ca="1">IFERROR(__xludf.DUMMYFUNCTION("""COMPUTED_VALUE"""),3)</f>
        <v>3</v>
      </c>
      <c r="G1059" s="1">
        <f ca="1">IFERROR(__xludf.DUMMYFUNCTION("""COMPUTED_VALUE"""),2.95)</f>
        <v>2.95</v>
      </c>
      <c r="J1059" s="1" t="str">
        <f ca="1">IFERROR(__xludf.DUMMYFUNCTION("""COMPUTED_VALUE"""),"SET/6 RED SPOTTY PAPER CUPS")</f>
        <v>SET/6 RED SPOTTY PAPER CUPS</v>
      </c>
      <c r="K1059" s="1">
        <f ca="1">IFERROR(__xludf.DUMMYFUNCTION("""COMPUTED_VALUE"""),25)</f>
        <v>25</v>
      </c>
      <c r="L1059" s="1">
        <f ca="1">IFERROR(__xludf.DUMMYFUNCTION("""COMPUTED_VALUE"""),0.65)</f>
        <v>0.65</v>
      </c>
      <c r="T1059" s="1">
        <f ca="1">IFERROR(__xludf.DUMMYFUNCTION("""COMPUTED_VALUE"""),489548)</f>
        <v>489548</v>
      </c>
      <c r="U1059" s="1">
        <f ca="1">IFERROR(__xludf.DUMMYFUNCTION("""COMPUTED_VALUE"""),16.25)</f>
        <v>16.25</v>
      </c>
    </row>
    <row r="1060" spans="1:21" ht="12.75" x14ac:dyDescent="0.2">
      <c r="A1060" s="3">
        <f ca="1">IFERROR(__xludf.DUMMYFUNCTION("""COMPUTED_VALUE"""),40148.5222222222)</f>
        <v>40148.5222222222</v>
      </c>
      <c r="B1060" s="1">
        <f ca="1">IFERROR(__xludf.DUMMYFUNCTION("""COMPUTED_VALUE"""),0.85)</f>
        <v>0.85</v>
      </c>
      <c r="E1060" s="1" t="str">
        <f ca="1">IFERROR(__xludf.DUMMYFUNCTION("""COMPUTED_VALUE"""),"COSY SLIPPER SHOES LARGE RED")</f>
        <v>COSY SLIPPER SHOES LARGE RED</v>
      </c>
      <c r="F1060" s="1">
        <f ca="1">IFERROR(__xludf.DUMMYFUNCTION("""COMPUTED_VALUE"""),3)</f>
        <v>3</v>
      </c>
      <c r="G1060" s="1">
        <f ca="1">IFERROR(__xludf.DUMMYFUNCTION("""COMPUTED_VALUE"""),2.95)</f>
        <v>2.95</v>
      </c>
      <c r="J1060" s="1" t="str">
        <f ca="1">IFERROR(__xludf.DUMMYFUNCTION("""COMPUTED_VALUE"""),"SET/6 RED SPOTTY PAPER PLATES")</f>
        <v>SET/6 RED SPOTTY PAPER PLATES</v>
      </c>
      <c r="K1060" s="1">
        <f ca="1">IFERROR(__xludf.DUMMYFUNCTION("""COMPUTED_VALUE"""),22)</f>
        <v>22</v>
      </c>
      <c r="L1060" s="1">
        <f ca="1">IFERROR(__xludf.DUMMYFUNCTION("""COMPUTED_VALUE"""),0.85)</f>
        <v>0.85</v>
      </c>
      <c r="T1060" s="1">
        <f ca="1">IFERROR(__xludf.DUMMYFUNCTION("""COMPUTED_VALUE"""),489548)</f>
        <v>489548</v>
      </c>
      <c r="U1060" s="1">
        <f ca="1">IFERROR(__xludf.DUMMYFUNCTION("""COMPUTED_VALUE"""),18.7)</f>
        <v>18.7</v>
      </c>
    </row>
    <row r="1061" spans="1:21" ht="12.75" x14ac:dyDescent="0.2">
      <c r="A1061" s="3">
        <f ca="1">IFERROR(__xludf.DUMMYFUNCTION("""COMPUTED_VALUE"""),40148.5222222222)</f>
        <v>40148.5222222222</v>
      </c>
      <c r="B1061" s="1">
        <f ca="1">IFERROR(__xludf.DUMMYFUNCTION("""COMPUTED_VALUE"""),1.25)</f>
        <v>1.25</v>
      </c>
      <c r="E1061" s="1" t="str">
        <f ca="1">IFERROR(__xludf.DUMMYFUNCTION("""COMPUTED_VALUE"""),"HANGING FAIRY CAKE DECORATION")</f>
        <v>HANGING FAIRY CAKE DECORATION</v>
      </c>
      <c r="F1061" s="1">
        <f ca="1">IFERROR(__xludf.DUMMYFUNCTION("""COMPUTED_VALUE"""),3)</f>
        <v>3</v>
      </c>
      <c r="G1061" s="1">
        <f ca="1">IFERROR(__xludf.DUMMYFUNCTION("""COMPUTED_VALUE"""),2.1)</f>
        <v>2.1</v>
      </c>
      <c r="J1061" s="1" t="str">
        <f ca="1">IFERROR(__xludf.DUMMYFUNCTION("""COMPUTED_VALUE"""),"FELT TOADSTOOL LARGE")</f>
        <v>FELT TOADSTOOL LARGE</v>
      </c>
      <c r="K1061" s="1">
        <f ca="1">IFERROR(__xludf.DUMMYFUNCTION("""COMPUTED_VALUE"""),12)</f>
        <v>12</v>
      </c>
      <c r="L1061" s="1">
        <f ca="1">IFERROR(__xludf.DUMMYFUNCTION("""COMPUTED_VALUE"""),1.25)</f>
        <v>1.25</v>
      </c>
      <c r="T1061" s="1">
        <f ca="1">IFERROR(__xludf.DUMMYFUNCTION("""COMPUTED_VALUE"""),489548)</f>
        <v>489548</v>
      </c>
      <c r="U1061" s="1">
        <f ca="1">IFERROR(__xludf.DUMMYFUNCTION("""COMPUTED_VALUE"""),15)</f>
        <v>15</v>
      </c>
    </row>
    <row r="1062" spans="1:21" ht="12.75" x14ac:dyDescent="0.2">
      <c r="A1062" s="3">
        <f ca="1">IFERROR(__xludf.DUMMYFUNCTION("""COMPUTED_VALUE"""),40148.5222222222)</f>
        <v>40148.5222222222</v>
      </c>
      <c r="B1062" s="1">
        <f ca="1">IFERROR(__xludf.DUMMYFUNCTION("""COMPUTED_VALUE"""),0.42)</f>
        <v>0.42</v>
      </c>
      <c r="E1062" s="1" t="str">
        <f ca="1">IFERROR(__xludf.DUMMYFUNCTION("""COMPUTED_VALUE"""),"DAIRY MAID LARGE MILK JUG")</f>
        <v>DAIRY MAID LARGE MILK JUG</v>
      </c>
      <c r="F1062" s="1">
        <f ca="1">IFERROR(__xludf.DUMMYFUNCTION("""COMPUTED_VALUE"""),3)</f>
        <v>3</v>
      </c>
      <c r="G1062" s="1">
        <f ca="1">IFERROR(__xludf.DUMMYFUNCTION("""COMPUTED_VALUE"""),4.95)</f>
        <v>4.95</v>
      </c>
      <c r="J1062" s="1" t="str">
        <f ca="1">IFERROR(__xludf.DUMMYFUNCTION("""COMPUTED_VALUE"""),"LADLE LOVE HEART RED")</f>
        <v>LADLE LOVE HEART RED</v>
      </c>
      <c r="K1062" s="1">
        <f ca="1">IFERROR(__xludf.DUMMYFUNCTION("""COMPUTED_VALUE"""),12)</f>
        <v>12</v>
      </c>
      <c r="L1062" s="1">
        <f ca="1">IFERROR(__xludf.DUMMYFUNCTION("""COMPUTED_VALUE"""),0.42)</f>
        <v>0.42</v>
      </c>
      <c r="T1062" s="1">
        <f ca="1">IFERROR(__xludf.DUMMYFUNCTION("""COMPUTED_VALUE"""),489548)</f>
        <v>489548</v>
      </c>
      <c r="U1062" s="1">
        <f ca="1">IFERROR(__xludf.DUMMYFUNCTION("""COMPUTED_VALUE"""),5.04)</f>
        <v>5.04</v>
      </c>
    </row>
    <row r="1063" spans="1:21" ht="12.75" x14ac:dyDescent="0.2">
      <c r="A1063" s="3">
        <f ca="1">IFERROR(__xludf.DUMMYFUNCTION("""COMPUTED_VALUE"""),40148.5222222222)</f>
        <v>40148.5222222222</v>
      </c>
      <c r="B1063" s="1">
        <f ca="1">IFERROR(__xludf.DUMMYFUNCTION("""COMPUTED_VALUE"""),0.85)</f>
        <v>0.85</v>
      </c>
      <c r="E1063" s="1" t="str">
        <f ca="1">IFERROR(__xludf.DUMMYFUNCTION("""COMPUTED_VALUE"""),"MUSHROOM BLUE HOT WATER BOTTLE")</f>
        <v>MUSHROOM BLUE HOT WATER BOTTLE</v>
      </c>
      <c r="F1063" s="1">
        <f ca="1">IFERROR(__xludf.DUMMYFUNCTION("""COMPUTED_VALUE"""),3)</f>
        <v>3</v>
      </c>
      <c r="G1063" s="1">
        <f ca="1">IFERROR(__xludf.DUMMYFUNCTION("""COMPUTED_VALUE"""),2.95)</f>
        <v>2.95</v>
      </c>
      <c r="J1063" s="1" t="str">
        <f ca="1">IFERROR(__xludf.DUMMYFUNCTION("""COMPUTED_VALUE"""),"RED LOVE HEART SHAPE CUP")</f>
        <v>RED LOVE HEART SHAPE CUP</v>
      </c>
      <c r="K1063" s="1">
        <f ca="1">IFERROR(__xludf.DUMMYFUNCTION("""COMPUTED_VALUE"""),12)</f>
        <v>12</v>
      </c>
      <c r="L1063" s="1">
        <f ca="1">IFERROR(__xludf.DUMMYFUNCTION("""COMPUTED_VALUE"""),0.85)</f>
        <v>0.85</v>
      </c>
      <c r="T1063" s="1">
        <f ca="1">IFERROR(__xludf.DUMMYFUNCTION("""COMPUTED_VALUE"""),489548)</f>
        <v>489548</v>
      </c>
      <c r="U1063" s="1">
        <f ca="1">IFERROR(__xludf.DUMMYFUNCTION("""COMPUTED_VALUE"""),10.2)</f>
        <v>10.199999999999999</v>
      </c>
    </row>
    <row r="1064" spans="1:21" ht="12.75" x14ac:dyDescent="0.2">
      <c r="A1064" s="3">
        <f ca="1">IFERROR(__xludf.DUMMYFUNCTION("""COMPUTED_VALUE"""),40148.5222222222)</f>
        <v>40148.5222222222</v>
      </c>
      <c r="B1064" s="1">
        <f ca="1">IFERROR(__xludf.DUMMYFUNCTION("""COMPUTED_VALUE"""),0.42)</f>
        <v>0.42</v>
      </c>
      <c r="E1064" s="1" t="str">
        <f ca="1">IFERROR(__xludf.DUMMYFUNCTION("""COMPUTED_VALUE"""),"CHRISTMAS TOILET ROLL")</f>
        <v>CHRISTMAS TOILET ROLL</v>
      </c>
      <c r="F1064" s="1">
        <f ca="1">IFERROR(__xludf.DUMMYFUNCTION("""COMPUTED_VALUE"""),3)</f>
        <v>3</v>
      </c>
      <c r="G1064" s="1">
        <f ca="1">IFERROR(__xludf.DUMMYFUNCTION("""COMPUTED_VALUE"""),1.25)</f>
        <v>1.25</v>
      </c>
      <c r="J1064" s="1" t="str">
        <f ca="1">IFERROR(__xludf.DUMMYFUNCTION("""COMPUTED_VALUE"""),"JAPANESE CROCHETED ANIMAL")</f>
        <v>JAPANESE CROCHETED ANIMAL</v>
      </c>
      <c r="K1064" s="1">
        <f ca="1">IFERROR(__xludf.DUMMYFUNCTION("""COMPUTED_VALUE"""),12)</f>
        <v>12</v>
      </c>
      <c r="L1064" s="1">
        <f ca="1">IFERROR(__xludf.DUMMYFUNCTION("""COMPUTED_VALUE"""),0.42)</f>
        <v>0.42</v>
      </c>
      <c r="T1064" s="1">
        <f ca="1">IFERROR(__xludf.DUMMYFUNCTION("""COMPUTED_VALUE"""),489548)</f>
        <v>489548</v>
      </c>
      <c r="U1064" s="1">
        <f ca="1">IFERROR(__xludf.DUMMYFUNCTION("""COMPUTED_VALUE"""),5.04)</f>
        <v>5.04</v>
      </c>
    </row>
    <row r="1065" spans="1:21" ht="12.75" x14ac:dyDescent="0.2">
      <c r="A1065" s="3">
        <f ca="1">IFERROR(__xludf.DUMMYFUNCTION("""COMPUTED_VALUE"""),40148.5222222222)</f>
        <v>40148.5222222222</v>
      </c>
      <c r="B1065" s="1">
        <f ca="1">IFERROR(__xludf.DUMMYFUNCTION("""COMPUTED_VALUE"""),0.29)</f>
        <v>0.28999999999999998</v>
      </c>
      <c r="E1065" s="1" t="str">
        <f ca="1">IFERROR(__xludf.DUMMYFUNCTION("""COMPUTED_VALUE"""),"BINGO SET")</f>
        <v>BINGO SET</v>
      </c>
      <c r="F1065" s="1">
        <f ca="1">IFERROR(__xludf.DUMMYFUNCTION("""COMPUTED_VALUE"""),3)</f>
        <v>3</v>
      </c>
      <c r="G1065" s="1">
        <f ca="1">IFERROR(__xludf.DUMMYFUNCTION("""COMPUTED_VALUE"""),3.75)</f>
        <v>3.75</v>
      </c>
      <c r="J1065" s="1" t="str">
        <f ca="1">IFERROR(__xludf.DUMMYFUNCTION("""COMPUTED_VALUE"""),"PACK OF 12 RED SPOTTY TISSUES")</f>
        <v>PACK OF 12 RED SPOTTY TISSUES</v>
      </c>
      <c r="K1065" s="1">
        <f ca="1">IFERROR(__xludf.DUMMYFUNCTION("""COMPUTED_VALUE"""),12)</f>
        <v>12</v>
      </c>
      <c r="L1065" s="1">
        <f ca="1">IFERROR(__xludf.DUMMYFUNCTION("""COMPUTED_VALUE"""),0.29)</f>
        <v>0.28999999999999998</v>
      </c>
      <c r="T1065" s="1">
        <f ca="1">IFERROR(__xludf.DUMMYFUNCTION("""COMPUTED_VALUE"""),489548)</f>
        <v>489548</v>
      </c>
      <c r="U1065" s="1">
        <f ca="1">IFERROR(__xludf.DUMMYFUNCTION("""COMPUTED_VALUE"""),3.47999999999999)</f>
        <v>3.4799999999999902</v>
      </c>
    </row>
    <row r="1066" spans="1:21" ht="12.75" x14ac:dyDescent="0.2">
      <c r="A1066" s="3">
        <f ca="1">IFERROR(__xludf.DUMMYFUNCTION("""COMPUTED_VALUE"""),40148.5222222222)</f>
        <v>40148.5222222222</v>
      </c>
      <c r="B1066" s="1">
        <f ca="1">IFERROR(__xludf.DUMMYFUNCTION("""COMPUTED_VALUE"""),0.85)</f>
        <v>0.85</v>
      </c>
      <c r="E1066" s="1" t="str">
        <f ca="1">IFERROR(__xludf.DUMMYFUNCTION("""COMPUTED_VALUE"""),"VINTAGE SEASIDE JIGSAW PUZZLES")</f>
        <v>VINTAGE SEASIDE JIGSAW PUZZLES</v>
      </c>
      <c r="F1066" s="1">
        <f ca="1">IFERROR(__xludf.DUMMYFUNCTION("""COMPUTED_VALUE"""),3)</f>
        <v>3</v>
      </c>
      <c r="G1066" s="1">
        <f ca="1">IFERROR(__xludf.DUMMYFUNCTION("""COMPUTED_VALUE"""),3.75)</f>
        <v>3.75</v>
      </c>
      <c r="J1066" s="1" t="str">
        <f ca="1">IFERROR(__xludf.DUMMYFUNCTION("""COMPUTED_VALUE"""),"MOROCCAN TEA GLASS")</f>
        <v>MOROCCAN TEA GLASS</v>
      </c>
      <c r="K1066" s="1">
        <f ca="1">IFERROR(__xludf.DUMMYFUNCTION("""COMPUTED_VALUE"""),12)</f>
        <v>12</v>
      </c>
      <c r="L1066" s="1">
        <f ca="1">IFERROR(__xludf.DUMMYFUNCTION("""COMPUTED_VALUE"""),0.85)</f>
        <v>0.85</v>
      </c>
      <c r="T1066" s="1">
        <f ca="1">IFERROR(__xludf.DUMMYFUNCTION("""COMPUTED_VALUE"""),489548)</f>
        <v>489548</v>
      </c>
      <c r="U1066" s="1">
        <f ca="1">IFERROR(__xludf.DUMMYFUNCTION("""COMPUTED_VALUE"""),10.2)</f>
        <v>10.199999999999999</v>
      </c>
    </row>
    <row r="1067" spans="1:21" ht="12.75" x14ac:dyDescent="0.2">
      <c r="A1067" s="3">
        <f ca="1">IFERROR(__xludf.DUMMYFUNCTION("""COMPUTED_VALUE"""),40148.5222222222)</f>
        <v>40148.5222222222</v>
      </c>
      <c r="B1067" s="1">
        <f ca="1">IFERROR(__xludf.DUMMYFUNCTION("""COMPUTED_VALUE"""),1.65)</f>
        <v>1.65</v>
      </c>
      <c r="E1067" s="1" t="str">
        <f ca="1">IFERROR(__xludf.DUMMYFUNCTION("""COMPUTED_VALUE"""),"VINTAGE SNAKES &amp; LADDERS")</f>
        <v>VINTAGE SNAKES &amp; LADDERS</v>
      </c>
      <c r="F1067" s="1">
        <f ca="1">IFERROR(__xludf.DUMMYFUNCTION("""COMPUTED_VALUE"""),3)</f>
        <v>3</v>
      </c>
      <c r="G1067" s="1">
        <f ca="1">IFERROR(__xludf.DUMMYFUNCTION("""COMPUTED_VALUE"""),3.75)</f>
        <v>3.75</v>
      </c>
      <c r="J1067" s="1" t="str">
        <f ca="1">IFERROR(__xludf.DUMMYFUNCTION("""COMPUTED_VALUE"""),"RIBBON REEL HEARTS DESIGN")</f>
        <v>RIBBON REEL HEARTS DESIGN</v>
      </c>
      <c r="K1067" s="1">
        <f ca="1">IFERROR(__xludf.DUMMYFUNCTION("""COMPUTED_VALUE"""),10)</f>
        <v>10</v>
      </c>
      <c r="L1067" s="1">
        <f ca="1">IFERROR(__xludf.DUMMYFUNCTION("""COMPUTED_VALUE"""),1.65)</f>
        <v>1.65</v>
      </c>
      <c r="T1067" s="1">
        <f ca="1">IFERROR(__xludf.DUMMYFUNCTION("""COMPUTED_VALUE"""),489548)</f>
        <v>489548</v>
      </c>
      <c r="U1067" s="1">
        <f ca="1">IFERROR(__xludf.DUMMYFUNCTION("""COMPUTED_VALUE"""),16.5)</f>
        <v>16.5</v>
      </c>
    </row>
    <row r="1068" spans="1:21" ht="12.75" x14ac:dyDescent="0.2">
      <c r="A1068" s="3">
        <f ca="1">IFERROR(__xludf.DUMMYFUNCTION("""COMPUTED_VALUE"""),40148.5222222222)</f>
        <v>40148.5222222222</v>
      </c>
      <c r="B1068" s="1">
        <f ca="1">IFERROR(__xludf.DUMMYFUNCTION("""COMPUTED_VALUE"""),1.25)</f>
        <v>1.25</v>
      </c>
      <c r="E1068" s="1" t="str">
        <f ca="1">IFERROR(__xludf.DUMMYFUNCTION("""COMPUTED_VALUE"""),"PINK GLASS CANDLEHOLDER")</f>
        <v>PINK GLASS CANDLEHOLDER</v>
      </c>
      <c r="F1068" s="1">
        <f ca="1">IFERROR(__xludf.DUMMYFUNCTION("""COMPUTED_VALUE"""),2)</f>
        <v>2</v>
      </c>
      <c r="G1068" s="1">
        <f ca="1">IFERROR(__xludf.DUMMYFUNCTION("""COMPUTED_VALUE"""),2.95)</f>
        <v>2.95</v>
      </c>
      <c r="J1068" s="1" t="str">
        <f ca="1">IFERROR(__xludf.DUMMYFUNCTION("""COMPUTED_VALUE"""),"APPLE BATH SPONGE")</f>
        <v>APPLE BATH SPONGE</v>
      </c>
      <c r="K1068" s="1">
        <f ca="1">IFERROR(__xludf.DUMMYFUNCTION("""COMPUTED_VALUE"""),10)</f>
        <v>10</v>
      </c>
      <c r="L1068" s="1">
        <f ca="1">IFERROR(__xludf.DUMMYFUNCTION("""COMPUTED_VALUE"""),1.25)</f>
        <v>1.25</v>
      </c>
      <c r="T1068" s="1">
        <f ca="1">IFERROR(__xludf.DUMMYFUNCTION("""COMPUTED_VALUE"""),489548)</f>
        <v>489548</v>
      </c>
      <c r="U1068" s="1">
        <f ca="1">IFERROR(__xludf.DUMMYFUNCTION("""COMPUTED_VALUE"""),12.5)</f>
        <v>12.5</v>
      </c>
    </row>
    <row r="1069" spans="1:21" ht="12.75" x14ac:dyDescent="0.2">
      <c r="A1069" s="3">
        <f ca="1">IFERROR(__xludf.DUMMYFUNCTION("""COMPUTED_VALUE"""),40148.5222222222)</f>
        <v>40148.5222222222</v>
      </c>
      <c r="B1069" s="1">
        <f ca="1">IFERROR(__xludf.DUMMYFUNCTION("""COMPUTED_VALUE"""),0.85)</f>
        <v>0.85</v>
      </c>
      <c r="E1069" s="1" t="str">
        <f ca="1">IFERROR(__xludf.DUMMYFUNCTION("""COMPUTED_VALUE"""),"COCKLE SHELL DISH")</f>
        <v>COCKLE SHELL DISH</v>
      </c>
      <c r="F1069" s="1">
        <f ca="1">IFERROR(__xludf.DUMMYFUNCTION("""COMPUTED_VALUE"""),2)</f>
        <v>2</v>
      </c>
      <c r="G1069" s="1">
        <f ca="1">IFERROR(__xludf.DUMMYFUNCTION("""COMPUTED_VALUE"""),2.1)</f>
        <v>2.1</v>
      </c>
      <c r="J1069" s="1" t="str">
        <f ca="1">IFERROR(__xludf.DUMMYFUNCTION("""COMPUTED_VALUE"""),"SMALL HEART MEASURING SPOONS")</f>
        <v>SMALL HEART MEASURING SPOONS</v>
      </c>
      <c r="K1069" s="1">
        <f ca="1">IFERROR(__xludf.DUMMYFUNCTION("""COMPUTED_VALUE"""),8)</f>
        <v>8</v>
      </c>
      <c r="L1069" s="1">
        <f ca="1">IFERROR(__xludf.DUMMYFUNCTION("""COMPUTED_VALUE"""),0.85)</f>
        <v>0.85</v>
      </c>
      <c r="T1069" s="1">
        <f ca="1">IFERROR(__xludf.DUMMYFUNCTION("""COMPUTED_VALUE"""),489548)</f>
        <v>489548</v>
      </c>
      <c r="U1069" s="1">
        <f ca="1">IFERROR(__xludf.DUMMYFUNCTION("""COMPUTED_VALUE"""),6.8)</f>
        <v>6.8</v>
      </c>
    </row>
    <row r="1070" spans="1:21" ht="12.75" x14ac:dyDescent="0.2">
      <c r="A1070" s="3">
        <f ca="1">IFERROR(__xludf.DUMMYFUNCTION("""COMPUTED_VALUE"""),40148.5222222222)</f>
        <v>40148.5222222222</v>
      </c>
      <c r="B1070" s="1">
        <f ca="1">IFERROR(__xludf.DUMMYFUNCTION("""COMPUTED_VALUE"""),1.25)</f>
        <v>1.25</v>
      </c>
      <c r="E1070" s="1" t="str">
        <f ca="1">IFERROR(__xludf.DUMMYFUNCTION("""COMPUTED_VALUE"""),"AIRLINE LOUNGE,METAL SIGN")</f>
        <v>AIRLINE LOUNGE,METAL SIGN</v>
      </c>
      <c r="F1070" s="1">
        <f ca="1">IFERROR(__xludf.DUMMYFUNCTION("""COMPUTED_VALUE"""),2)</f>
        <v>2</v>
      </c>
      <c r="G1070" s="1">
        <f ca="1">IFERROR(__xludf.DUMMYFUNCTION("""COMPUTED_VALUE"""),2.1)</f>
        <v>2.1</v>
      </c>
      <c r="J1070" s="1" t="str">
        <f ca="1">IFERROR(__xludf.DUMMYFUNCTION("""COMPUTED_VALUE"""),"VINTAGE RED TEATIME MUG")</f>
        <v>VINTAGE RED TEATIME MUG</v>
      </c>
      <c r="K1070" s="1">
        <f ca="1">IFERROR(__xludf.DUMMYFUNCTION("""COMPUTED_VALUE"""),6)</f>
        <v>6</v>
      </c>
      <c r="L1070" s="1">
        <f ca="1">IFERROR(__xludf.DUMMYFUNCTION("""COMPUTED_VALUE"""),1.25)</f>
        <v>1.25</v>
      </c>
      <c r="T1070" s="1">
        <f ca="1">IFERROR(__xludf.DUMMYFUNCTION("""COMPUTED_VALUE"""),489548)</f>
        <v>489548</v>
      </c>
      <c r="U1070" s="1">
        <f ca="1">IFERROR(__xludf.DUMMYFUNCTION("""COMPUTED_VALUE"""),7.5)</f>
        <v>7.5</v>
      </c>
    </row>
    <row r="1071" spans="1:21" ht="12.75" x14ac:dyDescent="0.2">
      <c r="A1071" s="3">
        <f ca="1">IFERROR(__xludf.DUMMYFUNCTION("""COMPUTED_VALUE"""),40148.5222222222)</f>
        <v>40148.5222222222</v>
      </c>
      <c r="B1071" s="1">
        <f ca="1">IFERROR(__xludf.DUMMYFUNCTION("""COMPUTED_VALUE"""),2.55)</f>
        <v>2.5499999999999998</v>
      </c>
      <c r="E1071" s="1" t="str">
        <f ca="1">IFERROR(__xludf.DUMMYFUNCTION("""COMPUTED_VALUE"""),"PAPER BUNTING COLOURED LACE")</f>
        <v>PAPER BUNTING COLOURED LACE</v>
      </c>
      <c r="F1071" s="1">
        <f ca="1">IFERROR(__xludf.DUMMYFUNCTION("""COMPUTED_VALUE"""),2)</f>
        <v>2</v>
      </c>
      <c r="G1071" s="1">
        <f ca="1">IFERROR(__xludf.DUMMYFUNCTION("""COMPUTED_VALUE"""),2.95)</f>
        <v>2.95</v>
      </c>
      <c r="J1071" s="1" t="str">
        <f ca="1">IFERROR(__xludf.DUMMYFUNCTION("""COMPUTED_VALUE"""),"GLASS CHALICE BLUE  LARGE")</f>
        <v>GLASS CHALICE BLUE  LARGE</v>
      </c>
      <c r="K1071" s="1">
        <f ca="1">IFERROR(__xludf.DUMMYFUNCTION("""COMPUTED_VALUE"""),6)</f>
        <v>6</v>
      </c>
      <c r="L1071" s="1">
        <f ca="1">IFERROR(__xludf.DUMMYFUNCTION("""COMPUTED_VALUE"""),2.55)</f>
        <v>2.5499999999999998</v>
      </c>
      <c r="T1071" s="1">
        <f ca="1">IFERROR(__xludf.DUMMYFUNCTION("""COMPUTED_VALUE"""),489548)</f>
        <v>489548</v>
      </c>
      <c r="U1071" s="1">
        <f ca="1">IFERROR(__xludf.DUMMYFUNCTION("""COMPUTED_VALUE"""),15.2999999999999)</f>
        <v>15.299999999999899</v>
      </c>
    </row>
    <row r="1072" spans="1:21" ht="12.75" x14ac:dyDescent="0.2">
      <c r="A1072" s="3">
        <f ca="1">IFERROR(__xludf.DUMMYFUNCTION("""COMPUTED_VALUE"""),40148.5222222222)</f>
        <v>40148.5222222222</v>
      </c>
      <c r="B1072" s="1">
        <f ca="1">IFERROR(__xludf.DUMMYFUNCTION("""COMPUTED_VALUE"""),2.55)</f>
        <v>2.5499999999999998</v>
      </c>
      <c r="E1072" s="1" t="str">
        <f ca="1">IFERROR(__xludf.DUMMYFUNCTION("""COMPUTED_VALUE"""),"CAKE PLATE LOVEBIRD WHITE")</f>
        <v>CAKE PLATE LOVEBIRD WHITE</v>
      </c>
      <c r="F1072" s="1">
        <f ca="1">IFERROR(__xludf.DUMMYFUNCTION("""COMPUTED_VALUE"""),2)</f>
        <v>2</v>
      </c>
      <c r="G1072" s="1">
        <f ca="1">IFERROR(__xludf.DUMMYFUNCTION("""COMPUTED_VALUE"""),4.95)</f>
        <v>4.95</v>
      </c>
      <c r="J1072" s="1" t="str">
        <f ca="1">IFERROR(__xludf.DUMMYFUNCTION("""COMPUTED_VALUE"""),"GLASS CHALICE GREEN  LARGE")</f>
        <v>GLASS CHALICE GREEN  LARGE</v>
      </c>
      <c r="K1072" s="1">
        <f ca="1">IFERROR(__xludf.DUMMYFUNCTION("""COMPUTED_VALUE"""),6)</f>
        <v>6</v>
      </c>
      <c r="L1072" s="1">
        <f ca="1">IFERROR(__xludf.DUMMYFUNCTION("""COMPUTED_VALUE"""),2.55)</f>
        <v>2.5499999999999998</v>
      </c>
      <c r="T1072" s="1">
        <f ca="1">IFERROR(__xludf.DUMMYFUNCTION("""COMPUTED_VALUE"""),489548)</f>
        <v>489548</v>
      </c>
      <c r="U1072" s="1">
        <f ca="1">IFERROR(__xludf.DUMMYFUNCTION("""COMPUTED_VALUE"""),15.2999999999999)</f>
        <v>15.299999999999899</v>
      </c>
    </row>
    <row r="1073" spans="1:21" ht="12.75" x14ac:dyDescent="0.2">
      <c r="A1073" s="3">
        <f ca="1">IFERROR(__xludf.DUMMYFUNCTION("""COMPUTED_VALUE"""),40148.5222222222)</f>
        <v>40148.5222222222</v>
      </c>
      <c r="B1073" s="1">
        <f ca="1">IFERROR(__xludf.DUMMYFUNCTION("""COMPUTED_VALUE"""),2.55)</f>
        <v>2.5499999999999998</v>
      </c>
      <c r="E1073" s="1" t="str">
        <f ca="1">IFERROR(__xludf.DUMMYFUNCTION("""COMPUTED_VALUE"""),"FAWN BLUE HOT WATER BOTTLE")</f>
        <v>FAWN BLUE HOT WATER BOTTLE</v>
      </c>
      <c r="F1073" s="1">
        <f ca="1">IFERROR(__xludf.DUMMYFUNCTION("""COMPUTED_VALUE"""),2)</f>
        <v>2</v>
      </c>
      <c r="G1073" s="1">
        <f ca="1">IFERROR(__xludf.DUMMYFUNCTION("""COMPUTED_VALUE"""),2.95)</f>
        <v>2.95</v>
      </c>
      <c r="J1073" s="1" t="str">
        <f ca="1">IFERROR(__xludf.DUMMYFUNCTION("""COMPUTED_VALUE"""),"COFFEE MUG PEARS  DESIGN")</f>
        <v>COFFEE MUG PEARS  DESIGN</v>
      </c>
      <c r="K1073" s="1">
        <f ca="1">IFERROR(__xludf.DUMMYFUNCTION("""COMPUTED_VALUE"""),6)</f>
        <v>6</v>
      </c>
      <c r="L1073" s="1">
        <f ca="1">IFERROR(__xludf.DUMMYFUNCTION("""COMPUTED_VALUE"""),2.55)</f>
        <v>2.5499999999999998</v>
      </c>
      <c r="T1073" s="1">
        <f ca="1">IFERROR(__xludf.DUMMYFUNCTION("""COMPUTED_VALUE"""),489548)</f>
        <v>489548</v>
      </c>
      <c r="U1073" s="1">
        <f ca="1">IFERROR(__xludf.DUMMYFUNCTION("""COMPUTED_VALUE"""),15.2999999999999)</f>
        <v>15.299999999999899</v>
      </c>
    </row>
    <row r="1074" spans="1:21" ht="12.75" x14ac:dyDescent="0.2">
      <c r="A1074" s="3">
        <f ca="1">IFERROR(__xludf.DUMMYFUNCTION("""COMPUTED_VALUE"""),40148.5222222222)</f>
        <v>40148.5222222222</v>
      </c>
      <c r="B1074" s="1">
        <f ca="1">IFERROR(__xludf.DUMMYFUNCTION("""COMPUTED_VALUE"""),2.55)</f>
        <v>2.5499999999999998</v>
      </c>
      <c r="E1074" s="1" t="str">
        <f ca="1">IFERROR(__xludf.DUMMYFUNCTION("""COMPUTED_VALUE"""),"SET/3 DECOUPAGE STACKING TINS")</f>
        <v>SET/3 DECOUPAGE STACKING TINS</v>
      </c>
      <c r="F1074" s="1">
        <f ca="1">IFERROR(__xludf.DUMMYFUNCTION("""COMPUTED_VALUE"""),2)</f>
        <v>2</v>
      </c>
      <c r="G1074" s="1">
        <f ca="1">IFERROR(__xludf.DUMMYFUNCTION("""COMPUTED_VALUE"""),4.95)</f>
        <v>4.95</v>
      </c>
      <c r="J1074" s="1" t="str">
        <f ca="1">IFERROR(__xludf.DUMMYFUNCTION("""COMPUTED_VALUE"""),"COFFEE MUG APPLES DESIGN")</f>
        <v>COFFEE MUG APPLES DESIGN</v>
      </c>
      <c r="K1074" s="1">
        <f ca="1">IFERROR(__xludf.DUMMYFUNCTION("""COMPUTED_VALUE"""),6)</f>
        <v>6</v>
      </c>
      <c r="L1074" s="1">
        <f ca="1">IFERROR(__xludf.DUMMYFUNCTION("""COMPUTED_VALUE"""),2.55)</f>
        <v>2.5499999999999998</v>
      </c>
      <c r="T1074" s="1">
        <f ca="1">IFERROR(__xludf.DUMMYFUNCTION("""COMPUTED_VALUE"""),489548)</f>
        <v>489548</v>
      </c>
      <c r="U1074" s="1">
        <f ca="1">IFERROR(__xludf.DUMMYFUNCTION("""COMPUTED_VALUE"""),15.2999999999999)</f>
        <v>15.299999999999899</v>
      </c>
    </row>
    <row r="1075" spans="1:21" ht="12.75" x14ac:dyDescent="0.2">
      <c r="A1075" s="3">
        <f ca="1">IFERROR(__xludf.DUMMYFUNCTION("""COMPUTED_VALUE"""),40148.5222222222)</f>
        <v>40148.5222222222</v>
      </c>
      <c r="B1075" s="1">
        <f ca="1">IFERROR(__xludf.DUMMYFUNCTION("""COMPUTED_VALUE"""),1.65)</f>
        <v>1.65</v>
      </c>
      <c r="E1075" s="1" t="str">
        <f ca="1">IFERROR(__xludf.DUMMYFUNCTION("""COMPUTED_VALUE"""),"SET OF THREE VINTAGE GIFT WRAPS")</f>
        <v>SET OF THREE VINTAGE GIFT WRAPS</v>
      </c>
      <c r="F1075" s="1">
        <f ca="1">IFERROR(__xludf.DUMMYFUNCTION("""COMPUTED_VALUE"""),2)</f>
        <v>2</v>
      </c>
      <c r="G1075" s="1">
        <f ca="1">IFERROR(__xludf.DUMMYFUNCTION("""COMPUTED_VALUE"""),1.95)</f>
        <v>1.95</v>
      </c>
      <c r="J1075" s="1" t="str">
        <f ca="1">IFERROR(__xludf.DUMMYFUNCTION("""COMPUTED_VALUE"""),"WHITE DOVE HONEYCOMB PAPER GARLAND")</f>
        <v>WHITE DOVE HONEYCOMB PAPER GARLAND</v>
      </c>
      <c r="K1075" s="1">
        <f ca="1">IFERROR(__xludf.DUMMYFUNCTION("""COMPUTED_VALUE"""),6)</f>
        <v>6</v>
      </c>
      <c r="L1075" s="1">
        <f ca="1">IFERROR(__xludf.DUMMYFUNCTION("""COMPUTED_VALUE"""),1.65)</f>
        <v>1.65</v>
      </c>
      <c r="T1075" s="1">
        <f ca="1">IFERROR(__xludf.DUMMYFUNCTION("""COMPUTED_VALUE"""),489548)</f>
        <v>489548</v>
      </c>
      <c r="U1075" s="1">
        <f ca="1">IFERROR(__xludf.DUMMYFUNCTION("""COMPUTED_VALUE"""),9.89999999999999)</f>
        <v>9.8999999999999897</v>
      </c>
    </row>
    <row r="1076" spans="1:21" ht="12.75" x14ac:dyDescent="0.2">
      <c r="A1076" s="3">
        <f ca="1">IFERROR(__xludf.DUMMYFUNCTION("""COMPUTED_VALUE"""),40148.5222222222)</f>
        <v>40148.5222222222</v>
      </c>
      <c r="B1076" s="1">
        <f ca="1">IFERROR(__xludf.DUMMYFUNCTION("""COMPUTED_VALUE"""),1.65)</f>
        <v>1.65</v>
      </c>
      <c r="E1076" s="1" t="str">
        <f ca="1">IFERROR(__xludf.DUMMYFUNCTION("""COMPUTED_VALUE"""),"SET/6 GARDEN GNOME T-LIGHT CANDLES")</f>
        <v>SET/6 GARDEN GNOME T-LIGHT CANDLES</v>
      </c>
      <c r="F1076" s="1">
        <f ca="1">IFERROR(__xludf.DUMMYFUNCTION("""COMPUTED_VALUE"""),1)</f>
        <v>1</v>
      </c>
      <c r="G1076" s="1">
        <f ca="1">IFERROR(__xludf.DUMMYFUNCTION("""COMPUTED_VALUE"""),2.95)</f>
        <v>2.95</v>
      </c>
      <c r="J1076" s="1" t="str">
        <f ca="1">IFERROR(__xludf.DUMMYFUNCTION("""COMPUTED_VALUE"""),"LARGE HEART MEASURING SPOONS")</f>
        <v>LARGE HEART MEASURING SPOONS</v>
      </c>
      <c r="K1076" s="1">
        <f ca="1">IFERROR(__xludf.DUMMYFUNCTION("""COMPUTED_VALUE"""),5)</f>
        <v>5</v>
      </c>
      <c r="L1076" s="1">
        <f ca="1">IFERROR(__xludf.DUMMYFUNCTION("""COMPUTED_VALUE"""),1.65)</f>
        <v>1.65</v>
      </c>
      <c r="T1076" s="1">
        <f ca="1">IFERROR(__xludf.DUMMYFUNCTION("""COMPUTED_VALUE"""),489548)</f>
        <v>489548</v>
      </c>
      <c r="U1076" s="1">
        <f ca="1">IFERROR(__xludf.DUMMYFUNCTION("""COMPUTED_VALUE"""),8.25)</f>
        <v>8.25</v>
      </c>
    </row>
    <row r="1077" spans="1:21" ht="12.75" x14ac:dyDescent="0.2">
      <c r="A1077" s="3">
        <f ca="1">IFERROR(__xludf.DUMMYFUNCTION("""COMPUTED_VALUE"""),40148.5222222222)</f>
        <v>40148.5222222222</v>
      </c>
      <c r="B1077" s="1">
        <f ca="1">IFERROR(__xludf.DUMMYFUNCTION("""COMPUTED_VALUE"""),1.65)</f>
        <v>1.65</v>
      </c>
      <c r="E1077" s="1" t="str">
        <f ca="1">IFERROR(__xludf.DUMMYFUNCTION("""COMPUTED_VALUE"""),"SET/4 GARDEN ROSE DINNER CANDLE")</f>
        <v>SET/4 GARDEN ROSE DINNER CANDLE</v>
      </c>
      <c r="F1077" s="1">
        <f ca="1">IFERROR(__xludf.DUMMYFUNCTION("""COMPUTED_VALUE"""),1)</f>
        <v>1</v>
      </c>
      <c r="G1077" s="1">
        <f ca="1">IFERROR(__xludf.DUMMYFUNCTION("""COMPUTED_VALUE"""),1.65)</f>
        <v>1.65</v>
      </c>
      <c r="J1077" s="1" t="str">
        <f ca="1">IFERROR(__xludf.DUMMYFUNCTION("""COMPUTED_VALUE"""),"RIBBON REEL SPOTS DESIGN")</f>
        <v>RIBBON REEL SPOTS DESIGN</v>
      </c>
      <c r="K1077" s="1">
        <f ca="1">IFERROR(__xludf.DUMMYFUNCTION("""COMPUTED_VALUE"""),5)</f>
        <v>5</v>
      </c>
      <c r="L1077" s="1">
        <f ca="1">IFERROR(__xludf.DUMMYFUNCTION("""COMPUTED_VALUE"""),1.65)</f>
        <v>1.65</v>
      </c>
      <c r="T1077" s="1">
        <f ca="1">IFERROR(__xludf.DUMMYFUNCTION("""COMPUTED_VALUE"""),489548)</f>
        <v>489548</v>
      </c>
      <c r="U1077" s="1">
        <f ca="1">IFERROR(__xludf.DUMMYFUNCTION("""COMPUTED_VALUE"""),8.25)</f>
        <v>8.25</v>
      </c>
    </row>
    <row r="1078" spans="1:21" ht="12.75" x14ac:dyDescent="0.2">
      <c r="A1078" s="3">
        <f ca="1">IFERROR(__xludf.DUMMYFUNCTION("""COMPUTED_VALUE"""),40148.5222222222)</f>
        <v>40148.5222222222</v>
      </c>
      <c r="B1078" s="1">
        <f ca="1">IFERROR(__xludf.DUMMYFUNCTION("""COMPUTED_VALUE"""),2.95)</f>
        <v>2.95</v>
      </c>
      <c r="E1078" s="1" t="str">
        <f ca="1">IFERROR(__xludf.DUMMYFUNCTION("""COMPUTED_VALUE"""),"PAPER BUNTING COLOURED LACE")</f>
        <v>PAPER BUNTING COLOURED LACE</v>
      </c>
      <c r="F1078" s="1">
        <f ca="1">IFERROR(__xludf.DUMMYFUNCTION("""COMPUTED_VALUE"""),1)</f>
        <v>1</v>
      </c>
      <c r="G1078" s="1">
        <f ca="1">IFERROR(__xludf.DUMMYFUNCTION("""COMPUTED_VALUE"""),2.95)</f>
        <v>2.95</v>
      </c>
      <c r="J1078" s="1" t="str">
        <f ca="1">IFERROR(__xludf.DUMMYFUNCTION("""COMPUTED_VALUE"""),"FELTCRAFT DOLL MOLLY")</f>
        <v>FELTCRAFT DOLL MOLLY</v>
      </c>
      <c r="K1078" s="1">
        <f ca="1">IFERROR(__xludf.DUMMYFUNCTION("""COMPUTED_VALUE"""),3)</f>
        <v>3</v>
      </c>
      <c r="L1078" s="1">
        <f ca="1">IFERROR(__xludf.DUMMYFUNCTION("""COMPUTED_VALUE"""),2.95)</f>
        <v>2.95</v>
      </c>
      <c r="T1078" s="1">
        <f ca="1">IFERROR(__xludf.DUMMYFUNCTION("""COMPUTED_VALUE"""),489548)</f>
        <v>489548</v>
      </c>
      <c r="U1078" s="1">
        <f ca="1">IFERROR(__xludf.DUMMYFUNCTION("""COMPUTED_VALUE"""),8.85)</f>
        <v>8.85</v>
      </c>
    </row>
    <row r="1079" spans="1:21" ht="12.75" x14ac:dyDescent="0.2">
      <c r="A1079" s="3">
        <f ca="1">IFERROR(__xludf.DUMMYFUNCTION("""COMPUTED_VALUE"""),40148.5222222222)</f>
        <v>40148.5222222222</v>
      </c>
      <c r="B1079" s="1">
        <f ca="1">IFERROR(__xludf.DUMMYFUNCTION("""COMPUTED_VALUE"""),4.95)</f>
        <v>4.95</v>
      </c>
      <c r="E1079" s="1" t="str">
        <f ca="1">IFERROR(__xludf.DUMMYFUNCTION("""COMPUTED_VALUE"""),"SET/2 BLUE  NOODLE BASKETS")</f>
        <v>SET/2 BLUE  NOODLE BASKETS</v>
      </c>
      <c r="F1079" s="1">
        <f ca="1">IFERROR(__xludf.DUMMYFUNCTION("""COMPUTED_VALUE"""),1)</f>
        <v>1</v>
      </c>
      <c r="G1079" s="1">
        <f ca="1">IFERROR(__xludf.DUMMYFUNCTION("""COMPUTED_VALUE"""),1.95)</f>
        <v>1.95</v>
      </c>
      <c r="J1079" s="1" t="str">
        <f ca="1">IFERROR(__xludf.DUMMYFUNCTION("""COMPUTED_VALUE"""),"BAKING SET 9 PIECE RETROSPOT")</f>
        <v>BAKING SET 9 PIECE RETROSPOT</v>
      </c>
      <c r="K1079" s="1">
        <f ca="1">IFERROR(__xludf.DUMMYFUNCTION("""COMPUTED_VALUE"""),3)</f>
        <v>3</v>
      </c>
      <c r="L1079" s="1">
        <f ca="1">IFERROR(__xludf.DUMMYFUNCTION("""COMPUTED_VALUE"""),4.95)</f>
        <v>4.95</v>
      </c>
      <c r="T1079" s="1">
        <f ca="1">IFERROR(__xludf.DUMMYFUNCTION("""COMPUTED_VALUE"""),489548)</f>
        <v>489548</v>
      </c>
      <c r="U1079" s="1">
        <f ca="1">IFERROR(__xludf.DUMMYFUNCTION("""COMPUTED_VALUE"""),14.85)</f>
        <v>14.85</v>
      </c>
    </row>
    <row r="1080" spans="1:21" ht="12.75" x14ac:dyDescent="0.2">
      <c r="A1080" s="3">
        <f ca="1">IFERROR(__xludf.DUMMYFUNCTION("""COMPUTED_VALUE"""),40148.5222222222)</f>
        <v>40148.5222222222</v>
      </c>
      <c r="B1080" s="1">
        <f ca="1">IFERROR(__xludf.DUMMYFUNCTION("""COMPUTED_VALUE"""),2.95)</f>
        <v>2.95</v>
      </c>
      <c r="E1080" s="1" t="str">
        <f ca="1">IFERROR(__xludf.DUMMYFUNCTION("""COMPUTED_VALUE"""),"SET/3 POLKA DOT STACKING TINS")</f>
        <v>SET/3 POLKA DOT STACKING TINS</v>
      </c>
      <c r="F1080" s="1">
        <f ca="1">IFERROR(__xludf.DUMMYFUNCTION("""COMPUTED_VALUE"""),1)</f>
        <v>1</v>
      </c>
      <c r="G1080" s="1">
        <f ca="1">IFERROR(__xludf.DUMMYFUNCTION("""COMPUTED_VALUE"""),4.95)</f>
        <v>4.95</v>
      </c>
      <c r="J1080" s="1" t="str">
        <f ca="1">IFERROR(__xludf.DUMMYFUNCTION("""COMPUTED_VALUE"""),"PAPER CHAIN KIT 50'S CHRISTMAS")</f>
        <v>PAPER CHAIN KIT 50'S CHRISTMAS</v>
      </c>
      <c r="K1080" s="1">
        <f ca="1">IFERROR(__xludf.DUMMYFUNCTION("""COMPUTED_VALUE"""),3)</f>
        <v>3</v>
      </c>
      <c r="L1080" s="1">
        <f ca="1">IFERROR(__xludf.DUMMYFUNCTION("""COMPUTED_VALUE"""),2.95)</f>
        <v>2.95</v>
      </c>
      <c r="T1080" s="1">
        <f ca="1">IFERROR(__xludf.DUMMYFUNCTION("""COMPUTED_VALUE"""),489548)</f>
        <v>489548</v>
      </c>
      <c r="U1080" s="1">
        <f ca="1">IFERROR(__xludf.DUMMYFUNCTION("""COMPUTED_VALUE"""),8.85)</f>
        <v>8.85</v>
      </c>
    </row>
    <row r="1081" spans="1:21" ht="12.75" x14ac:dyDescent="0.2">
      <c r="A1081" s="3">
        <f ca="1">IFERROR(__xludf.DUMMYFUNCTION("""COMPUTED_VALUE"""),40148.5222222222)</f>
        <v>40148.5222222222</v>
      </c>
      <c r="B1081" s="1">
        <f ca="1">IFERROR(__xludf.DUMMYFUNCTION("""COMPUTED_VALUE"""),2.55)</f>
        <v>2.5499999999999998</v>
      </c>
      <c r="E1081" s="1" t="str">
        <f ca="1">IFERROR(__xludf.DUMMYFUNCTION("""COMPUTED_VALUE"""),"CERAMIC BIRDHOUSE FINCH BLUE ROOF")</f>
        <v>CERAMIC BIRDHOUSE FINCH BLUE ROOF</v>
      </c>
      <c r="F1081" s="1">
        <f ca="1">IFERROR(__xludf.DUMMYFUNCTION("""COMPUTED_VALUE"""),1)</f>
        <v>1</v>
      </c>
      <c r="G1081" s="1">
        <f ca="1">IFERROR(__xludf.DUMMYFUNCTION("""COMPUTED_VALUE"""),2.95)</f>
        <v>2.95</v>
      </c>
      <c r="J1081" s="1" t="str">
        <f ca="1">IFERROR(__xludf.DUMMYFUNCTION("""COMPUTED_VALUE"""),"SKULL LUNCHBOX WITH CUTLERY")</f>
        <v>SKULL LUNCHBOX WITH CUTLERY</v>
      </c>
      <c r="K1081" s="1">
        <f ca="1">IFERROR(__xludf.DUMMYFUNCTION("""COMPUTED_VALUE"""),3)</f>
        <v>3</v>
      </c>
      <c r="L1081" s="1">
        <f ca="1">IFERROR(__xludf.DUMMYFUNCTION("""COMPUTED_VALUE"""),2.55)</f>
        <v>2.5499999999999998</v>
      </c>
      <c r="T1081" s="1">
        <f ca="1">IFERROR(__xludf.DUMMYFUNCTION("""COMPUTED_VALUE"""),489548)</f>
        <v>489548</v>
      </c>
      <c r="U1081" s="1">
        <f ca="1">IFERROR(__xludf.DUMMYFUNCTION("""COMPUTED_VALUE"""),7.64999999999999)</f>
        <v>7.6499999999999897</v>
      </c>
    </row>
    <row r="1082" spans="1:21" ht="12.75" x14ac:dyDescent="0.2">
      <c r="A1082" s="3">
        <f ca="1">IFERROR(__xludf.DUMMYFUNCTION("""COMPUTED_VALUE"""),40148.5222222222)</f>
        <v>40148.5222222222</v>
      </c>
      <c r="B1082" s="1">
        <f ca="1">IFERROR(__xludf.DUMMYFUNCTION("""COMPUTED_VALUE"""),4.25)</f>
        <v>4.25</v>
      </c>
      <c r="E1082" s="1" t="str">
        <f ca="1">IFERROR(__xludf.DUMMYFUNCTION("""COMPUTED_VALUE"""),"CERAMIC BIRDHOUSE CRESTED TIT SMALL")</f>
        <v>CERAMIC BIRDHOUSE CRESTED TIT SMALL</v>
      </c>
      <c r="F1082" s="1">
        <f ca="1">IFERROR(__xludf.DUMMYFUNCTION("""COMPUTED_VALUE"""),1)</f>
        <v>1</v>
      </c>
      <c r="G1082" s="1">
        <f ca="1">IFERROR(__xludf.DUMMYFUNCTION("""COMPUTED_VALUE"""),2.95)</f>
        <v>2.95</v>
      </c>
      <c r="J1082" s="1" t="str">
        <f ca="1">IFERROR(__xludf.DUMMYFUNCTION("""COMPUTED_VALUE"""),"ROSE DU SUD CHILDS APRON")</f>
        <v>ROSE DU SUD CHILDS APRON</v>
      </c>
      <c r="K1082" s="1">
        <f ca="1">IFERROR(__xludf.DUMMYFUNCTION("""COMPUTED_VALUE"""),3)</f>
        <v>3</v>
      </c>
      <c r="L1082" s="1">
        <f ca="1">IFERROR(__xludf.DUMMYFUNCTION("""COMPUTED_VALUE"""),4.25)</f>
        <v>4.25</v>
      </c>
      <c r="T1082" s="1">
        <f ca="1">IFERROR(__xludf.DUMMYFUNCTION("""COMPUTED_VALUE"""),489548)</f>
        <v>489548</v>
      </c>
      <c r="U1082" s="1">
        <f ca="1">IFERROR(__xludf.DUMMYFUNCTION("""COMPUTED_VALUE"""),12.75)</f>
        <v>12.75</v>
      </c>
    </row>
    <row r="1083" spans="1:21" ht="12.75" x14ac:dyDescent="0.2">
      <c r="A1083" s="3">
        <f ca="1">IFERROR(__xludf.DUMMYFUNCTION("""COMPUTED_VALUE"""),40148.5222222222)</f>
        <v>40148.5222222222</v>
      </c>
      <c r="B1083" s="1">
        <f ca="1">IFERROR(__xludf.DUMMYFUNCTION("""COMPUTED_VALUE"""),2.1)</f>
        <v>2.1</v>
      </c>
      <c r="E1083" s="1" t="str">
        <f ca="1">IFERROR(__xludf.DUMMYFUNCTION("""COMPUTED_VALUE"""),"SWEETHEART CERAMIC TRINKET BOX")</f>
        <v>SWEETHEART CERAMIC TRINKET BOX</v>
      </c>
      <c r="F1083" s="1">
        <f ca="1">IFERROR(__xludf.DUMMYFUNCTION("""COMPUTED_VALUE"""),1)</f>
        <v>1</v>
      </c>
      <c r="G1083" s="1">
        <f ca="1">IFERROR(__xludf.DUMMYFUNCTION("""COMPUTED_VALUE"""),1.25)</f>
        <v>1.25</v>
      </c>
      <c r="J1083" s="1" t="str">
        <f ca="1">IFERROR(__xludf.DUMMYFUNCTION("""COMPUTED_VALUE"""),"RETRO BLUE SPOTTY WASHING UP GLOVES")</f>
        <v>RETRO BLUE SPOTTY WASHING UP GLOVES</v>
      </c>
      <c r="K1083" s="1">
        <f ca="1">IFERROR(__xludf.DUMMYFUNCTION("""COMPUTED_VALUE"""),3)</f>
        <v>3</v>
      </c>
      <c r="L1083" s="1">
        <f ca="1">IFERROR(__xludf.DUMMYFUNCTION("""COMPUTED_VALUE"""),2.1)</f>
        <v>2.1</v>
      </c>
      <c r="T1083" s="1">
        <f ca="1">IFERROR(__xludf.DUMMYFUNCTION("""COMPUTED_VALUE"""),489548)</f>
        <v>489548</v>
      </c>
      <c r="U1083" s="1">
        <f ca="1">IFERROR(__xludf.DUMMYFUNCTION("""COMPUTED_VALUE"""),6.3)</f>
        <v>6.3</v>
      </c>
    </row>
    <row r="1084" spans="1:21" ht="12.75" x14ac:dyDescent="0.2">
      <c r="A1084" s="3">
        <f ca="1">IFERROR(__xludf.DUMMYFUNCTION("""COMPUTED_VALUE"""),40148.5222222222)</f>
        <v>40148.5222222222</v>
      </c>
      <c r="B1084" s="1">
        <f ca="1">IFERROR(__xludf.DUMMYFUNCTION("""COMPUTED_VALUE"""),0.95)</f>
        <v>0.95</v>
      </c>
      <c r="E1084" s="1" t="str">
        <f ca="1">IFERROR(__xludf.DUMMYFUNCTION("""COMPUTED_VALUE"""),"STRAWBERRY CERAMIC TRINKET BOX")</f>
        <v>STRAWBERRY CERAMIC TRINKET BOX</v>
      </c>
      <c r="F1084" s="1">
        <f ca="1">IFERROR(__xludf.DUMMYFUNCTION("""COMPUTED_VALUE"""),12)</f>
        <v>12</v>
      </c>
      <c r="G1084" s="1">
        <f ca="1">IFERROR(__xludf.DUMMYFUNCTION("""COMPUTED_VALUE"""),1.25)</f>
        <v>1.25</v>
      </c>
      <c r="J1084" s="1" t="str">
        <f ca="1">IFERROR(__xludf.DUMMYFUNCTION("""COMPUTED_VALUE"""),"REX CASH+CARRY JUMBO SHOPPER")</f>
        <v>REX CASH+CARRY JUMBO SHOPPER</v>
      </c>
      <c r="K1084" s="1">
        <f ca="1">IFERROR(__xludf.DUMMYFUNCTION("""COMPUTED_VALUE"""),3)</f>
        <v>3</v>
      </c>
      <c r="L1084" s="1">
        <f ca="1">IFERROR(__xludf.DUMMYFUNCTION("""COMPUTED_VALUE"""),0.95)</f>
        <v>0.95</v>
      </c>
      <c r="T1084" s="1">
        <f ca="1">IFERROR(__xludf.DUMMYFUNCTION("""COMPUTED_VALUE"""),489548)</f>
        <v>489548</v>
      </c>
      <c r="U1084" s="1">
        <f ca="1">IFERROR(__xludf.DUMMYFUNCTION("""COMPUTED_VALUE"""),2.84999999999999)</f>
        <v>2.8499999999999899</v>
      </c>
    </row>
    <row r="1085" spans="1:21" ht="12.75" x14ac:dyDescent="0.2">
      <c r="A1085" s="3">
        <f ca="1">IFERROR(__xludf.DUMMYFUNCTION("""COMPUTED_VALUE"""),40148.5222222222)</f>
        <v>40148.5222222222</v>
      </c>
      <c r="B1085" s="1">
        <f ca="1">IFERROR(__xludf.DUMMYFUNCTION("""COMPUTED_VALUE"""),2.95)</f>
        <v>2.95</v>
      </c>
      <c r="E1085" s="1" t="str">
        <f ca="1">IFERROR(__xludf.DUMMYFUNCTION("""COMPUTED_VALUE"""),"BROWN  PIRATE TREASURE CHEST")</f>
        <v>BROWN  PIRATE TREASURE CHEST</v>
      </c>
      <c r="F1085" s="1">
        <f ca="1">IFERROR(__xludf.DUMMYFUNCTION("""COMPUTED_VALUE"""),12)</f>
        <v>12</v>
      </c>
      <c r="G1085" s="1">
        <f ca="1">IFERROR(__xludf.DUMMYFUNCTION("""COMPUTED_VALUE"""),1.65)</f>
        <v>1.65</v>
      </c>
      <c r="J1085" s="1" t="str">
        <f ca="1">IFERROR(__xludf.DUMMYFUNCTION("""COMPUTED_VALUE"""),"PAPER CHAIN KIT RETRO SPOT")</f>
        <v>PAPER CHAIN KIT RETRO SPOT</v>
      </c>
      <c r="K1085" s="1">
        <f ca="1">IFERROR(__xludf.DUMMYFUNCTION("""COMPUTED_VALUE"""),3)</f>
        <v>3</v>
      </c>
      <c r="L1085" s="1">
        <f ca="1">IFERROR(__xludf.DUMMYFUNCTION("""COMPUTED_VALUE"""),2.95)</f>
        <v>2.95</v>
      </c>
      <c r="T1085" s="1">
        <f ca="1">IFERROR(__xludf.DUMMYFUNCTION("""COMPUTED_VALUE"""),489548)</f>
        <v>489548</v>
      </c>
      <c r="U1085" s="1">
        <f ca="1">IFERROR(__xludf.DUMMYFUNCTION("""COMPUTED_VALUE"""),8.85)</f>
        <v>8.85</v>
      </c>
    </row>
    <row r="1086" spans="1:21" ht="12.75" x14ac:dyDescent="0.2">
      <c r="A1086" s="3">
        <f ca="1">IFERROR(__xludf.DUMMYFUNCTION("""COMPUTED_VALUE"""),40148.5222222222)</f>
        <v>40148.5222222222</v>
      </c>
      <c r="B1086" s="1">
        <f ca="1">IFERROR(__xludf.DUMMYFUNCTION("""COMPUTED_VALUE"""),1.95)</f>
        <v>1.95</v>
      </c>
      <c r="E1086" s="1" t="str">
        <f ca="1">IFERROR(__xludf.DUMMYFUNCTION("""COMPUTED_VALUE"""),"CHRISTMAS TOILET ROLL")</f>
        <v>CHRISTMAS TOILET ROLL</v>
      </c>
      <c r="F1086" s="1">
        <f ca="1">IFERROR(__xludf.DUMMYFUNCTION("""COMPUTED_VALUE"""),12)</f>
        <v>12</v>
      </c>
      <c r="G1086" s="1">
        <f ca="1">IFERROR(__xludf.DUMMYFUNCTION("""COMPUTED_VALUE"""),1.25)</f>
        <v>1.25</v>
      </c>
      <c r="J1086" s="1" t="str">
        <f ca="1">IFERROR(__xludf.DUMMYFUNCTION("""COMPUTED_VALUE"""),"FOOD CONTAINER SET 3 LOVE HEART")</f>
        <v>FOOD CONTAINER SET 3 LOVE HEART</v>
      </c>
      <c r="K1086" s="1">
        <f ca="1">IFERROR(__xludf.DUMMYFUNCTION("""COMPUTED_VALUE"""),2)</f>
        <v>2</v>
      </c>
      <c r="L1086" s="1">
        <f ca="1">IFERROR(__xludf.DUMMYFUNCTION("""COMPUTED_VALUE"""),1.95)</f>
        <v>1.95</v>
      </c>
      <c r="T1086" s="1">
        <f ca="1">IFERROR(__xludf.DUMMYFUNCTION("""COMPUTED_VALUE"""),489548)</f>
        <v>489548</v>
      </c>
      <c r="U1086" s="1">
        <f ca="1">IFERROR(__xludf.DUMMYFUNCTION("""COMPUTED_VALUE"""),3.9)</f>
        <v>3.9</v>
      </c>
    </row>
    <row r="1087" spans="1:21" ht="12.75" x14ac:dyDescent="0.2">
      <c r="A1087" s="3">
        <f ca="1">IFERROR(__xludf.DUMMYFUNCTION("""COMPUTED_VALUE"""),40148.5222222222)</f>
        <v>40148.5222222222</v>
      </c>
      <c r="B1087" s="1">
        <f ca="1">IFERROR(__xludf.DUMMYFUNCTION("""COMPUTED_VALUE"""),1.45)</f>
        <v>1.45</v>
      </c>
      <c r="E1087" s="1" t="str">
        <f ca="1">IFERROR(__xludf.DUMMYFUNCTION("""COMPUTED_VALUE"""),"PINK DOUGHNUT TRINKET POT")</f>
        <v>PINK DOUGHNUT TRINKET POT</v>
      </c>
      <c r="F1087" s="1">
        <f ca="1">IFERROR(__xludf.DUMMYFUNCTION("""COMPUTED_VALUE"""),12)</f>
        <v>12</v>
      </c>
      <c r="G1087" s="1">
        <f ca="1">IFERROR(__xludf.DUMMYFUNCTION("""COMPUTED_VALUE"""),1.65)</f>
        <v>1.65</v>
      </c>
      <c r="J1087" s="1" t="str">
        <f ca="1">IFERROR(__xludf.DUMMYFUNCTION("""COMPUTED_VALUE"""),"FELTCRAFT BUTTERFLY HEARTS")</f>
        <v>FELTCRAFT BUTTERFLY HEARTS</v>
      </c>
      <c r="K1087" s="1">
        <f ca="1">IFERROR(__xludf.DUMMYFUNCTION("""COMPUTED_VALUE"""),2)</f>
        <v>2</v>
      </c>
      <c r="L1087" s="1">
        <f ca="1">IFERROR(__xludf.DUMMYFUNCTION("""COMPUTED_VALUE"""),1.45)</f>
        <v>1.45</v>
      </c>
      <c r="T1087" s="1">
        <f ca="1">IFERROR(__xludf.DUMMYFUNCTION("""COMPUTED_VALUE"""),489548)</f>
        <v>489548</v>
      </c>
      <c r="U1087" s="1">
        <f ca="1">IFERROR(__xludf.DUMMYFUNCTION("""COMPUTED_VALUE"""),2.9)</f>
        <v>2.9</v>
      </c>
    </row>
    <row r="1088" spans="1:21" ht="12.75" x14ac:dyDescent="0.2">
      <c r="A1088" s="3">
        <f ca="1">IFERROR(__xludf.DUMMYFUNCTION("""COMPUTED_VALUE"""),40148.5222222222)</f>
        <v>40148.5222222222</v>
      </c>
      <c r="B1088" s="1">
        <f ca="1">IFERROR(__xludf.DUMMYFUNCTION("""COMPUTED_VALUE"""),1.45)</f>
        <v>1.45</v>
      </c>
      <c r="E1088" s="1" t="str">
        <f ca="1">IFERROR(__xludf.DUMMYFUNCTION("""COMPUTED_VALUE"""),"RED TOADSTOOL LED NIGHT LIGHT")</f>
        <v>RED TOADSTOOL LED NIGHT LIGHT</v>
      </c>
      <c r="F1088" s="1">
        <f ca="1">IFERROR(__xludf.DUMMYFUNCTION("""COMPUTED_VALUE"""),12)</f>
        <v>12</v>
      </c>
      <c r="G1088" s="1">
        <f ca="1">IFERROR(__xludf.DUMMYFUNCTION("""COMPUTED_VALUE"""),1.65)</f>
        <v>1.65</v>
      </c>
      <c r="J1088" s="1" t="str">
        <f ca="1">IFERROR(__xludf.DUMMYFUNCTION("""COMPUTED_VALUE"""),"CHRISTMAS CRAFT WHITE FAIRY")</f>
        <v>CHRISTMAS CRAFT WHITE FAIRY</v>
      </c>
      <c r="K1088" s="1">
        <f ca="1">IFERROR(__xludf.DUMMYFUNCTION("""COMPUTED_VALUE"""),2)</f>
        <v>2</v>
      </c>
      <c r="L1088" s="1">
        <f ca="1">IFERROR(__xludf.DUMMYFUNCTION("""COMPUTED_VALUE"""),1.45)</f>
        <v>1.45</v>
      </c>
      <c r="T1088" s="1">
        <f ca="1">IFERROR(__xludf.DUMMYFUNCTION("""COMPUTED_VALUE"""),489548)</f>
        <v>489548</v>
      </c>
      <c r="U1088" s="1">
        <f ca="1">IFERROR(__xludf.DUMMYFUNCTION("""COMPUTED_VALUE"""),2.9)</f>
        <v>2.9</v>
      </c>
    </row>
    <row r="1089" spans="1:21" ht="12.75" x14ac:dyDescent="0.2">
      <c r="A1089" s="3">
        <f ca="1">IFERROR(__xludf.DUMMYFUNCTION("""COMPUTED_VALUE"""),40148.5222222222)</f>
        <v>40148.5222222222</v>
      </c>
      <c r="B1089" s="1">
        <f ca="1">IFERROR(__xludf.DUMMYFUNCTION("""COMPUTED_VALUE"""),1.95)</f>
        <v>1.95</v>
      </c>
      <c r="E1089" s="1" t="str">
        <f ca="1">IFERROR(__xludf.DUMMYFUNCTION("""COMPUTED_VALUE"""),"PINK FAIRY CAKE CHILD'S APRON")</f>
        <v>PINK FAIRY CAKE CHILD'S APRON</v>
      </c>
      <c r="F1089" s="1">
        <f ca="1">IFERROR(__xludf.DUMMYFUNCTION("""COMPUTED_VALUE"""),8)</f>
        <v>8</v>
      </c>
      <c r="G1089" s="1">
        <f ca="1">IFERROR(__xludf.DUMMYFUNCTION("""COMPUTED_VALUE"""),1.95)</f>
        <v>1.95</v>
      </c>
      <c r="J1089" s="1" t="str">
        <f ca="1">IFERROR(__xludf.DUMMYFUNCTION("""COMPUTED_VALUE"""),"3 STRIPEY MICE FELTCRAFT")</f>
        <v>3 STRIPEY MICE FELTCRAFT</v>
      </c>
      <c r="K1089" s="1">
        <f ca="1">IFERROR(__xludf.DUMMYFUNCTION("""COMPUTED_VALUE"""),2)</f>
        <v>2</v>
      </c>
      <c r="L1089" s="1">
        <f ca="1">IFERROR(__xludf.DUMMYFUNCTION("""COMPUTED_VALUE"""),1.95)</f>
        <v>1.95</v>
      </c>
      <c r="T1089" s="1">
        <f ca="1">IFERROR(__xludf.DUMMYFUNCTION("""COMPUTED_VALUE"""),489548)</f>
        <v>489548</v>
      </c>
      <c r="U1089" s="1">
        <f ca="1">IFERROR(__xludf.DUMMYFUNCTION("""COMPUTED_VALUE"""),3.9)</f>
        <v>3.9</v>
      </c>
    </row>
    <row r="1090" spans="1:21" ht="12.75" x14ac:dyDescent="0.2">
      <c r="A1090" s="3">
        <f ca="1">IFERROR(__xludf.DUMMYFUNCTION("""COMPUTED_VALUE"""),40148.5222222222)</f>
        <v>40148.5222222222</v>
      </c>
      <c r="B1090" s="1">
        <f ca="1">IFERROR(__xludf.DUMMYFUNCTION("""COMPUTED_VALUE"""),2.55)</f>
        <v>2.5499999999999998</v>
      </c>
      <c r="E1090" s="1" t="str">
        <f ca="1">IFERROR(__xludf.DUMMYFUNCTION("""COMPUTED_VALUE"""),"BLUE FAIRY CAKE CHILD'S APRON")</f>
        <v>BLUE FAIRY CAKE CHILD'S APRON</v>
      </c>
      <c r="F1090" s="1">
        <f ca="1">IFERROR(__xludf.DUMMYFUNCTION("""COMPUTED_VALUE"""),8)</f>
        <v>8</v>
      </c>
      <c r="G1090" s="1">
        <f ca="1">IFERROR(__xludf.DUMMYFUNCTION("""COMPUTED_VALUE"""),1.95)</f>
        <v>1.95</v>
      </c>
      <c r="J1090" s="1" t="str">
        <f ca="1">IFERROR(__xludf.DUMMYFUNCTION("""COMPUTED_VALUE"""),"STRAWBERRY LUNCHBOX WITH CUTLERY")</f>
        <v>STRAWBERRY LUNCHBOX WITH CUTLERY</v>
      </c>
      <c r="K1090" s="1">
        <f ca="1">IFERROR(__xludf.DUMMYFUNCTION("""COMPUTED_VALUE"""),2)</f>
        <v>2</v>
      </c>
      <c r="L1090" s="1">
        <f ca="1">IFERROR(__xludf.DUMMYFUNCTION("""COMPUTED_VALUE"""),2.55)</f>
        <v>2.5499999999999998</v>
      </c>
      <c r="T1090" s="1">
        <f ca="1">IFERROR(__xludf.DUMMYFUNCTION("""COMPUTED_VALUE"""),489548)</f>
        <v>489548</v>
      </c>
      <c r="U1090" s="1">
        <f ca="1">IFERROR(__xludf.DUMMYFUNCTION("""COMPUTED_VALUE"""),5.1)</f>
        <v>5.0999999999999996</v>
      </c>
    </row>
    <row r="1091" spans="1:21" ht="12.75" x14ac:dyDescent="0.2">
      <c r="A1091" s="3">
        <f ca="1">IFERROR(__xludf.DUMMYFUNCTION("""COMPUTED_VALUE"""),40148.5222222222)</f>
        <v>40148.5222222222</v>
      </c>
      <c r="B1091" s="1">
        <f ca="1">IFERROR(__xludf.DUMMYFUNCTION("""COMPUTED_VALUE"""),2.1)</f>
        <v>2.1</v>
      </c>
      <c r="E1091" s="1" t="str">
        <f ca="1">IFERROR(__xludf.DUMMYFUNCTION("""COMPUTED_VALUE"""),"LADIES &amp; GENTLEMEN METAL SIGN")</f>
        <v>LADIES &amp; GENTLEMEN METAL SIGN</v>
      </c>
      <c r="F1091" s="1">
        <f ca="1">IFERROR(__xludf.DUMMYFUNCTION("""COMPUTED_VALUE"""),6)</f>
        <v>6</v>
      </c>
      <c r="G1091" s="1">
        <f ca="1">IFERROR(__xludf.DUMMYFUNCTION("""COMPUTED_VALUE"""),2.55)</f>
        <v>2.5499999999999998</v>
      </c>
      <c r="J1091" s="1" t="str">
        <f ca="1">IFERROR(__xludf.DUMMYFUNCTION("""COMPUTED_VALUE"""),"RETRO RED SPOTTY WASHING UP GLOVES")</f>
        <v>RETRO RED SPOTTY WASHING UP GLOVES</v>
      </c>
      <c r="K1091" s="1">
        <f ca="1">IFERROR(__xludf.DUMMYFUNCTION("""COMPUTED_VALUE"""),2)</f>
        <v>2</v>
      </c>
      <c r="L1091" s="1">
        <f ca="1">IFERROR(__xludf.DUMMYFUNCTION("""COMPUTED_VALUE"""),2.1)</f>
        <v>2.1</v>
      </c>
      <c r="T1091" s="1">
        <f ca="1">IFERROR(__xludf.DUMMYFUNCTION("""COMPUTED_VALUE"""),489548)</f>
        <v>489548</v>
      </c>
      <c r="U1091" s="1">
        <f ca="1">IFERROR(__xludf.DUMMYFUNCTION("""COMPUTED_VALUE"""),4.2)</f>
        <v>4.2</v>
      </c>
    </row>
    <row r="1092" spans="1:21" ht="12.75" x14ac:dyDescent="0.2">
      <c r="A1092" s="3">
        <f ca="1">IFERROR(__xludf.DUMMYFUNCTION("""COMPUTED_VALUE"""),40148.5222222222)</f>
        <v>40148.5222222222</v>
      </c>
      <c r="B1092" s="1">
        <f ca="1">IFERROR(__xludf.DUMMYFUNCTION("""COMPUTED_VALUE"""),5.95)</f>
        <v>5.95</v>
      </c>
      <c r="E1092" s="1" t="str">
        <f ca="1">IFERROR(__xludf.DUMMYFUNCTION("""COMPUTED_VALUE"""),"GREEN 3 PIECE MINI DOTS CUTLERY SET")</f>
        <v>GREEN 3 PIECE MINI DOTS CUTLERY SET</v>
      </c>
      <c r="F1092" s="1">
        <f ca="1">IFERROR(__xludf.DUMMYFUNCTION("""COMPUTED_VALUE"""),6)</f>
        <v>6</v>
      </c>
      <c r="G1092" s="1">
        <f ca="1">IFERROR(__xludf.DUMMYFUNCTION("""COMPUTED_VALUE"""),3.75)</f>
        <v>3.75</v>
      </c>
      <c r="J1092" s="1" t="str">
        <f ca="1">IFERROR(__xludf.DUMMYFUNCTION("""COMPUTED_VALUE"""),"EASTER TREE YELLOW BIRDS")</f>
        <v>EASTER TREE YELLOW BIRDS</v>
      </c>
      <c r="K1092" s="1">
        <f ca="1">IFERROR(__xludf.DUMMYFUNCTION("""COMPUTED_VALUE"""),2)</f>
        <v>2</v>
      </c>
      <c r="L1092" s="1">
        <f ca="1">IFERROR(__xludf.DUMMYFUNCTION("""COMPUTED_VALUE"""),5.95)</f>
        <v>5.95</v>
      </c>
      <c r="T1092" s="1">
        <f ca="1">IFERROR(__xludf.DUMMYFUNCTION("""COMPUTED_VALUE"""),489548)</f>
        <v>489548</v>
      </c>
      <c r="U1092" s="1">
        <f ca="1">IFERROR(__xludf.DUMMYFUNCTION("""COMPUTED_VALUE"""),11.9)</f>
        <v>11.9</v>
      </c>
    </row>
    <row r="1093" spans="1:21" ht="12.75" x14ac:dyDescent="0.2">
      <c r="A1093" s="3">
        <f ca="1">IFERROR(__xludf.DUMMYFUNCTION("""COMPUTED_VALUE"""),40148.5222222222)</f>
        <v>40148.5222222222</v>
      </c>
      <c r="B1093" s="1">
        <f ca="1">IFERROR(__xludf.DUMMYFUNCTION("""COMPUTED_VALUE"""),1.65)</f>
        <v>1.65</v>
      </c>
      <c r="E1093" s="1" t="str">
        <f ca="1">IFERROR(__xludf.DUMMYFUNCTION("""COMPUTED_VALUE"""),"RED 3 PIECE MINI DOTS CUTLERY SET")</f>
        <v>RED 3 PIECE MINI DOTS CUTLERY SET</v>
      </c>
      <c r="F1093" s="1">
        <f ca="1">IFERROR(__xludf.DUMMYFUNCTION("""COMPUTED_VALUE"""),6)</f>
        <v>6</v>
      </c>
      <c r="G1093" s="1">
        <f ca="1">IFERROR(__xludf.DUMMYFUNCTION("""COMPUTED_VALUE"""),3.75)</f>
        <v>3.75</v>
      </c>
      <c r="J1093" s="1" t="str">
        <f ca="1">IFERROR(__xludf.DUMMYFUNCTION("""COMPUTED_VALUE"""),"WHITE BELL HONEYCOMB PAPER GARLAND")</f>
        <v>WHITE BELL HONEYCOMB PAPER GARLAND</v>
      </c>
      <c r="K1093" s="1">
        <f ca="1">IFERROR(__xludf.DUMMYFUNCTION("""COMPUTED_VALUE"""),2)</f>
        <v>2</v>
      </c>
      <c r="L1093" s="1">
        <f ca="1">IFERROR(__xludf.DUMMYFUNCTION("""COMPUTED_VALUE"""),1.65)</f>
        <v>1.65</v>
      </c>
      <c r="T1093" s="1">
        <f ca="1">IFERROR(__xludf.DUMMYFUNCTION("""COMPUTED_VALUE"""),489548)</f>
        <v>489548</v>
      </c>
      <c r="U1093" s="1">
        <f ca="1">IFERROR(__xludf.DUMMYFUNCTION("""COMPUTED_VALUE"""),3.3)</f>
        <v>3.3</v>
      </c>
    </row>
    <row r="1094" spans="1:21" ht="12.75" x14ac:dyDescent="0.2">
      <c r="A1094" s="3">
        <f ca="1">IFERROR(__xludf.DUMMYFUNCTION("""COMPUTED_VALUE"""),40148.5222222222)</f>
        <v>40148.5222222222</v>
      </c>
      <c r="B1094" s="1">
        <f ca="1">IFERROR(__xludf.DUMMYFUNCTION("""COMPUTED_VALUE"""),2.95)</f>
        <v>2.95</v>
      </c>
      <c r="E1094" s="1" t="str">
        <f ca="1">IFERROR(__xludf.DUMMYFUNCTION("""COMPUTED_VALUE"""),"GIN + TONIC DIET METAL SIGN")</f>
        <v>GIN + TONIC DIET METAL SIGN</v>
      </c>
      <c r="F1094" s="1">
        <f ca="1">IFERROR(__xludf.DUMMYFUNCTION("""COMPUTED_VALUE"""),6)</f>
        <v>6</v>
      </c>
      <c r="G1094" s="1">
        <f ca="1">IFERROR(__xludf.DUMMYFUNCTION("""COMPUTED_VALUE"""),2.1)</f>
        <v>2.1</v>
      </c>
      <c r="J1094" s="1" t="str">
        <f ca="1">IFERROR(__xludf.DUMMYFUNCTION("""COMPUTED_VALUE"""),"FELTCRAFT DOLL ROSIE")</f>
        <v>FELTCRAFT DOLL ROSIE</v>
      </c>
      <c r="K1094" s="1">
        <f ca="1">IFERROR(__xludf.DUMMYFUNCTION("""COMPUTED_VALUE"""),1)</f>
        <v>1</v>
      </c>
      <c r="L1094" s="1">
        <f ca="1">IFERROR(__xludf.DUMMYFUNCTION("""COMPUTED_VALUE"""),2.95)</f>
        <v>2.95</v>
      </c>
      <c r="T1094" s="1">
        <f ca="1">IFERROR(__xludf.DUMMYFUNCTION("""COMPUTED_VALUE"""),489548)</f>
        <v>489548</v>
      </c>
      <c r="U1094" s="1">
        <f ca="1">IFERROR(__xludf.DUMMYFUNCTION("""COMPUTED_VALUE"""),2.95)</f>
        <v>2.95</v>
      </c>
    </row>
    <row r="1095" spans="1:21" ht="12.75" x14ac:dyDescent="0.2">
      <c r="A1095" s="3">
        <f ca="1">IFERROR(__xludf.DUMMYFUNCTION("""COMPUTED_VALUE"""),40148.5222222222)</f>
        <v>40148.5222222222</v>
      </c>
      <c r="B1095" s="1">
        <f ca="1">IFERROR(__xludf.DUMMYFUNCTION("""COMPUTED_VALUE"""),1.65)</f>
        <v>1.65</v>
      </c>
      <c r="E1095" s="1" t="str">
        <f ca="1">IFERROR(__xludf.DUMMYFUNCTION("""COMPUTED_VALUE"""),"STAR PORTABLE TABLE LIGHT")</f>
        <v>STAR PORTABLE TABLE LIGHT</v>
      </c>
      <c r="F1095" s="1">
        <f ca="1">IFERROR(__xludf.DUMMYFUNCTION("""COMPUTED_VALUE"""),6)</f>
        <v>6</v>
      </c>
      <c r="G1095" s="1">
        <f ca="1">IFERROR(__xludf.DUMMYFUNCTION("""COMPUTED_VALUE"""),2.95)</f>
        <v>2.95</v>
      </c>
      <c r="J1095" s="1" t="str">
        <f ca="1">IFERROR(__xludf.DUMMYFUNCTION("""COMPUTED_VALUE"""),"LARGE HEART MEASURING SPOONS")</f>
        <v>LARGE HEART MEASURING SPOONS</v>
      </c>
      <c r="K1095" s="1">
        <f ca="1">IFERROR(__xludf.DUMMYFUNCTION("""COMPUTED_VALUE"""),1)</f>
        <v>1</v>
      </c>
      <c r="L1095" s="1">
        <f ca="1">IFERROR(__xludf.DUMMYFUNCTION("""COMPUTED_VALUE"""),1.65)</f>
        <v>1.65</v>
      </c>
      <c r="T1095" s="1">
        <f ca="1">IFERROR(__xludf.DUMMYFUNCTION("""COMPUTED_VALUE"""),489548)</f>
        <v>489548</v>
      </c>
      <c r="U1095" s="1">
        <f ca="1">IFERROR(__xludf.DUMMYFUNCTION("""COMPUTED_VALUE"""),1.65)</f>
        <v>1.65</v>
      </c>
    </row>
    <row r="1096" spans="1:21" ht="12.75" x14ac:dyDescent="0.2">
      <c r="A1096" s="3">
        <f ca="1">IFERROR(__xludf.DUMMYFUNCTION("""COMPUTED_VALUE"""),40148.5222222222)</f>
        <v>40148.5222222222</v>
      </c>
      <c r="B1096" s="1">
        <f ca="1">IFERROR(__xludf.DUMMYFUNCTION("""COMPUTED_VALUE"""),1.65)</f>
        <v>1.65</v>
      </c>
      <c r="E1096" s="1" t="str">
        <f ca="1">IFERROR(__xludf.DUMMYFUNCTION("""COMPUTED_VALUE"""),"SNOWFLAKE PORTABLE TABLE LIGHT")</f>
        <v>SNOWFLAKE PORTABLE TABLE LIGHT</v>
      </c>
      <c r="F1096" s="1">
        <f ca="1">IFERROR(__xludf.DUMMYFUNCTION("""COMPUTED_VALUE"""),6)</f>
        <v>6</v>
      </c>
      <c r="G1096" s="1">
        <f ca="1">IFERROR(__xludf.DUMMYFUNCTION("""COMPUTED_VALUE"""),2.95)</f>
        <v>2.95</v>
      </c>
      <c r="J1096" s="1" t="str">
        <f ca="1">IFERROR(__xludf.DUMMYFUNCTION("""COMPUTED_VALUE"""),"GLASS CHICKEN BUTTER DISH")</f>
        <v>GLASS CHICKEN BUTTER DISH</v>
      </c>
      <c r="K1096" s="1">
        <f ca="1">IFERROR(__xludf.DUMMYFUNCTION("""COMPUTED_VALUE"""),1)</f>
        <v>1</v>
      </c>
      <c r="L1096" s="1">
        <f ca="1">IFERROR(__xludf.DUMMYFUNCTION("""COMPUTED_VALUE"""),1.65)</f>
        <v>1.65</v>
      </c>
      <c r="T1096" s="1">
        <f ca="1">IFERROR(__xludf.DUMMYFUNCTION("""COMPUTED_VALUE"""),489548)</f>
        <v>489548</v>
      </c>
      <c r="U1096" s="1">
        <f ca="1">IFERROR(__xludf.DUMMYFUNCTION("""COMPUTED_VALUE"""),1.65)</f>
        <v>1.65</v>
      </c>
    </row>
    <row r="1097" spans="1:21" ht="12.75" x14ac:dyDescent="0.2">
      <c r="A1097" s="3">
        <f ca="1">IFERROR(__xludf.DUMMYFUNCTION("""COMPUTED_VALUE"""),40148.5222222222)</f>
        <v>40148.5222222222</v>
      </c>
      <c r="B1097" s="1">
        <f ca="1">IFERROR(__xludf.DUMMYFUNCTION("""COMPUTED_VALUE"""),6.75)</f>
        <v>6.75</v>
      </c>
      <c r="E1097" s="1" t="str">
        <f ca="1">IFERROR(__xludf.DUMMYFUNCTION("""COMPUTED_VALUE"""),"MUSHROOM BLUE HOT WATER BOTTLE")</f>
        <v>MUSHROOM BLUE HOT WATER BOTTLE</v>
      </c>
      <c r="F1097" s="1">
        <f ca="1">IFERROR(__xludf.DUMMYFUNCTION("""COMPUTED_VALUE"""),6)</f>
        <v>6</v>
      </c>
      <c r="G1097" s="1">
        <f ca="1">IFERROR(__xludf.DUMMYFUNCTION("""COMPUTED_VALUE"""),2.95)</f>
        <v>2.95</v>
      </c>
      <c r="J1097" s="1" t="str">
        <f ca="1">IFERROR(__xludf.DUMMYFUNCTION("""COMPUTED_VALUE"""),"ROSE CARAVAN DOORSTOP")</f>
        <v>ROSE CARAVAN DOORSTOP</v>
      </c>
      <c r="K1097" s="1">
        <f ca="1">IFERROR(__xludf.DUMMYFUNCTION("""COMPUTED_VALUE"""),1)</f>
        <v>1</v>
      </c>
      <c r="L1097" s="1">
        <f ca="1">IFERROR(__xludf.DUMMYFUNCTION("""COMPUTED_VALUE"""),6.75)</f>
        <v>6.75</v>
      </c>
      <c r="T1097" s="1">
        <f ca="1">IFERROR(__xludf.DUMMYFUNCTION("""COMPUTED_VALUE"""),489548)</f>
        <v>489548</v>
      </c>
      <c r="U1097" s="1">
        <f ca="1">IFERROR(__xludf.DUMMYFUNCTION("""COMPUTED_VALUE"""),6.75)</f>
        <v>6.75</v>
      </c>
    </row>
    <row r="1098" spans="1:21" ht="12.75" x14ac:dyDescent="0.2">
      <c r="A1098" s="3">
        <f ca="1">IFERROR(__xludf.DUMMYFUNCTION("""COMPUTED_VALUE"""),40148.5222222222)</f>
        <v>40148.5222222222</v>
      </c>
      <c r="B1098" s="1">
        <f ca="1">IFERROR(__xludf.DUMMYFUNCTION("""COMPUTED_VALUE"""),0.85)</f>
        <v>0.85</v>
      </c>
      <c r="E1098" s="1" t="str">
        <f ca="1">IFERROR(__xludf.DUMMYFUNCTION("""COMPUTED_VALUE"""),"FAWN BLUE HOT WATER BOTTLE")</f>
        <v>FAWN BLUE HOT WATER BOTTLE</v>
      </c>
      <c r="F1098" s="1">
        <f ca="1">IFERROR(__xludf.DUMMYFUNCTION("""COMPUTED_VALUE"""),6)</f>
        <v>6</v>
      </c>
      <c r="G1098" s="1">
        <f ca="1">IFERROR(__xludf.DUMMYFUNCTION("""COMPUTED_VALUE"""),2.95)</f>
        <v>2.95</v>
      </c>
      <c r="J1098" s="1" t="str">
        <f ca="1">IFERROR(__xludf.DUMMYFUNCTION("""COMPUTED_VALUE"""),"SMALL HEART MEASURING SPOONS")</f>
        <v>SMALL HEART MEASURING SPOONS</v>
      </c>
      <c r="K1098" s="1">
        <f ca="1">IFERROR(__xludf.DUMMYFUNCTION("""COMPUTED_VALUE"""),1)</f>
        <v>1</v>
      </c>
      <c r="L1098" s="1">
        <f ca="1">IFERROR(__xludf.DUMMYFUNCTION("""COMPUTED_VALUE"""),0.85)</f>
        <v>0.85</v>
      </c>
      <c r="T1098" s="1">
        <f ca="1">IFERROR(__xludf.DUMMYFUNCTION("""COMPUTED_VALUE"""),489548)</f>
        <v>489548</v>
      </c>
      <c r="U1098" s="1">
        <f ca="1">IFERROR(__xludf.DUMMYFUNCTION("""COMPUTED_VALUE"""),0.85)</f>
        <v>0.85</v>
      </c>
    </row>
    <row r="1099" spans="1:21" ht="12.75" x14ac:dyDescent="0.2">
      <c r="A1099" s="3">
        <f ca="1">IFERROR(__xludf.DUMMYFUNCTION("""COMPUTED_VALUE"""),40148.5222222222)</f>
        <v>40148.5222222222</v>
      </c>
      <c r="B1099" s="1">
        <f ca="1">IFERROR(__xludf.DUMMYFUNCTION("""COMPUTED_VALUE"""),0.85)</f>
        <v>0.85</v>
      </c>
      <c r="E1099" s="1" t="str">
        <f ca="1">IFERROR(__xludf.DUMMYFUNCTION("""COMPUTED_VALUE"""),"BAKING SET 9 PIECE RETROSPOT")</f>
        <v>BAKING SET 9 PIECE RETROSPOT</v>
      </c>
      <c r="F1099" s="1">
        <f ca="1">IFERROR(__xludf.DUMMYFUNCTION("""COMPUTED_VALUE"""),3)</f>
        <v>3</v>
      </c>
      <c r="G1099" s="1">
        <f ca="1">IFERROR(__xludf.DUMMYFUNCTION("""COMPUTED_VALUE"""),4.95)</f>
        <v>4.95</v>
      </c>
      <c r="J1099" s="1" t="str">
        <f ca="1">IFERROR(__xludf.DUMMYFUNCTION("""COMPUTED_VALUE"""),"SMALL HEART MEASURING SPOONS")</f>
        <v>SMALL HEART MEASURING SPOONS</v>
      </c>
      <c r="K1099" s="1">
        <f ca="1">IFERROR(__xludf.DUMMYFUNCTION("""COMPUTED_VALUE"""),1)</f>
        <v>1</v>
      </c>
      <c r="L1099" s="1">
        <f ca="1">IFERROR(__xludf.DUMMYFUNCTION("""COMPUTED_VALUE"""),0.85)</f>
        <v>0.85</v>
      </c>
      <c r="T1099" s="1">
        <f ca="1">IFERROR(__xludf.DUMMYFUNCTION("""COMPUTED_VALUE"""),489548)</f>
        <v>489548</v>
      </c>
      <c r="U1099" s="1">
        <f ca="1">IFERROR(__xludf.DUMMYFUNCTION("""COMPUTED_VALUE"""),0.85)</f>
        <v>0.85</v>
      </c>
    </row>
    <row r="1100" spans="1:21" ht="12.75" x14ac:dyDescent="0.2">
      <c r="A1100" s="3">
        <f ca="1">IFERROR(__xludf.DUMMYFUNCTION("""COMPUTED_VALUE"""),40148.5222222222)</f>
        <v>40148.5222222222</v>
      </c>
      <c r="B1100" s="1">
        <f ca="1">IFERROR(__xludf.DUMMYFUNCTION("""COMPUTED_VALUE"""),2.1)</f>
        <v>2.1</v>
      </c>
      <c r="E1100" s="1" t="str">
        <f ca="1">IFERROR(__xludf.DUMMYFUNCTION("""COMPUTED_VALUE"""),"GREY HEART HOT WATER BOTTLE")</f>
        <v>GREY HEART HOT WATER BOTTLE</v>
      </c>
      <c r="F1100" s="1">
        <f ca="1">IFERROR(__xludf.DUMMYFUNCTION("""COMPUTED_VALUE"""),18)</f>
        <v>18</v>
      </c>
      <c r="G1100" s="1">
        <f ca="1">IFERROR(__xludf.DUMMYFUNCTION("""COMPUTED_VALUE"""),3.45)</f>
        <v>3.45</v>
      </c>
      <c r="J1100" s="1" t="str">
        <f ca="1">IFERROR(__xludf.DUMMYFUNCTION("""COMPUTED_VALUE"""),"FRENCH ENAMEL CANDLEHOLDER")</f>
        <v>FRENCH ENAMEL CANDLEHOLDER</v>
      </c>
      <c r="K1100" s="1">
        <f ca="1">IFERROR(__xludf.DUMMYFUNCTION("""COMPUTED_VALUE"""),1)</f>
        <v>1</v>
      </c>
      <c r="L1100" s="1">
        <f ca="1">IFERROR(__xludf.DUMMYFUNCTION("""COMPUTED_VALUE"""),2.1)</f>
        <v>2.1</v>
      </c>
      <c r="T1100" s="1">
        <f ca="1">IFERROR(__xludf.DUMMYFUNCTION("""COMPUTED_VALUE"""),489548)</f>
        <v>489548</v>
      </c>
      <c r="U1100" s="1">
        <f ca="1">IFERROR(__xludf.DUMMYFUNCTION("""COMPUTED_VALUE"""),2.1)</f>
        <v>2.1</v>
      </c>
    </row>
    <row r="1101" spans="1:21" ht="12.75" x14ac:dyDescent="0.2">
      <c r="A1101" s="3">
        <f ca="1">IFERROR(__xludf.DUMMYFUNCTION("""COMPUTED_VALUE"""),40148.5222222222)</f>
        <v>40148.5222222222</v>
      </c>
      <c r="B1101" s="1">
        <f ca="1">IFERROR(__xludf.DUMMYFUNCTION("""COMPUTED_VALUE"""),2.55)</f>
        <v>2.5499999999999998</v>
      </c>
      <c r="E1101" s="1" t="str">
        <f ca="1">IFERROR(__xludf.DUMMYFUNCTION("""COMPUTED_VALUE"""),"TRADITIONAL CHRISTMAS RIBBONS")</f>
        <v>TRADITIONAL CHRISTMAS RIBBONS</v>
      </c>
      <c r="F1101" s="1">
        <f ca="1">IFERROR(__xludf.DUMMYFUNCTION("""COMPUTED_VALUE"""),17)</f>
        <v>17</v>
      </c>
      <c r="G1101" s="1">
        <f ca="1">IFERROR(__xludf.DUMMYFUNCTION("""COMPUTED_VALUE"""),1.25)</f>
        <v>1.25</v>
      </c>
      <c r="J1101" s="1" t="str">
        <f ca="1">IFERROR(__xludf.DUMMYFUNCTION("""COMPUTED_VALUE"""),"LUNCHBOX WITH CUTLERY RETROSPOT")</f>
        <v>LUNCHBOX WITH CUTLERY RETROSPOT</v>
      </c>
      <c r="K1101" s="1">
        <f ca="1">IFERROR(__xludf.DUMMYFUNCTION("""COMPUTED_VALUE"""),1)</f>
        <v>1</v>
      </c>
      <c r="L1101" s="1">
        <f ca="1">IFERROR(__xludf.DUMMYFUNCTION("""COMPUTED_VALUE"""),2.55)</f>
        <v>2.5499999999999998</v>
      </c>
      <c r="T1101" s="1">
        <f ca="1">IFERROR(__xludf.DUMMYFUNCTION("""COMPUTED_VALUE"""),489548)</f>
        <v>489548</v>
      </c>
      <c r="U1101" s="1">
        <f ca="1">IFERROR(__xludf.DUMMYFUNCTION("""COMPUTED_VALUE"""),2.55)</f>
        <v>2.5499999999999998</v>
      </c>
    </row>
    <row r="1102" spans="1:21" ht="12.75" x14ac:dyDescent="0.2">
      <c r="A1102" s="3">
        <f ca="1">IFERROR(__xludf.DUMMYFUNCTION("""COMPUTED_VALUE"""),40148.5222222222)</f>
        <v>40148.5222222222</v>
      </c>
      <c r="B1102" s="1">
        <f ca="1">IFERROR(__xludf.DUMMYFUNCTION("""COMPUTED_VALUE"""),2.1)</f>
        <v>2.1</v>
      </c>
      <c r="E1102" s="1" t="str">
        <f ca="1">IFERROR(__xludf.DUMMYFUNCTION("""COMPUTED_VALUE"""),"ZINC METAL HEART DECORATION")</f>
        <v>ZINC METAL HEART DECORATION</v>
      </c>
      <c r="F1102" s="1">
        <f ca="1">IFERROR(__xludf.DUMMYFUNCTION("""COMPUTED_VALUE"""),12)</f>
        <v>12</v>
      </c>
      <c r="G1102" s="1">
        <f ca="1">IFERROR(__xludf.DUMMYFUNCTION("""COMPUTED_VALUE"""),1.25)</f>
        <v>1.25</v>
      </c>
      <c r="J1102" s="1" t="str">
        <f ca="1">IFERROR(__xludf.DUMMYFUNCTION("""COMPUTED_VALUE"""),"FRENCH ENAMEL CANDLEHOLDER")</f>
        <v>FRENCH ENAMEL CANDLEHOLDER</v>
      </c>
      <c r="K1102" s="1">
        <f ca="1">IFERROR(__xludf.DUMMYFUNCTION("""COMPUTED_VALUE"""),1)</f>
        <v>1</v>
      </c>
      <c r="L1102" s="1">
        <f ca="1">IFERROR(__xludf.DUMMYFUNCTION("""COMPUTED_VALUE"""),2.1)</f>
        <v>2.1</v>
      </c>
      <c r="T1102" s="1">
        <f ca="1">IFERROR(__xludf.DUMMYFUNCTION("""COMPUTED_VALUE"""),489548)</f>
        <v>489548</v>
      </c>
      <c r="U1102" s="1">
        <f ca="1">IFERROR(__xludf.DUMMYFUNCTION("""COMPUTED_VALUE"""),2.1)</f>
        <v>2.1</v>
      </c>
    </row>
    <row r="1103" spans="1:21" ht="12.75" x14ac:dyDescent="0.2">
      <c r="A1103" s="3">
        <f ca="1">IFERROR(__xludf.DUMMYFUNCTION("""COMPUTED_VALUE"""),40148.5222222222)</f>
        <v>40148.5222222222</v>
      </c>
      <c r="B1103" s="1">
        <f ca="1">IFERROR(__xludf.DUMMYFUNCTION("""COMPUTED_VALUE"""),1.65)</f>
        <v>1.65</v>
      </c>
      <c r="E1103" s="1" t="str">
        <f ca="1">IFERROR(__xludf.DUMMYFUNCTION("""COMPUTED_VALUE"""),"HEART IVORY TRELLIS LARGE")</f>
        <v>HEART IVORY TRELLIS LARGE</v>
      </c>
      <c r="F1103" s="1">
        <f ca="1">IFERROR(__xludf.DUMMYFUNCTION("""COMPUTED_VALUE"""),12)</f>
        <v>12</v>
      </c>
      <c r="G1103" s="1">
        <f ca="1">IFERROR(__xludf.DUMMYFUNCTION("""COMPUTED_VALUE"""),1.65)</f>
        <v>1.65</v>
      </c>
      <c r="J1103" s="1" t="str">
        <f ca="1">IFERROR(__xludf.DUMMYFUNCTION("""COMPUTED_VALUE"""),"GREEN GINGHAM FLOWER JEWELLERY BOX")</f>
        <v>GREEN GINGHAM FLOWER JEWELLERY BOX</v>
      </c>
      <c r="K1103" s="1">
        <f ca="1">IFERROR(__xludf.DUMMYFUNCTION("""COMPUTED_VALUE"""),1)</f>
        <v>1</v>
      </c>
      <c r="L1103" s="1">
        <f ca="1">IFERROR(__xludf.DUMMYFUNCTION("""COMPUTED_VALUE"""),1.65)</f>
        <v>1.65</v>
      </c>
      <c r="T1103" s="1">
        <f ca="1">IFERROR(__xludf.DUMMYFUNCTION("""COMPUTED_VALUE"""),489548)</f>
        <v>489548</v>
      </c>
      <c r="U1103" s="1">
        <f ca="1">IFERROR(__xludf.DUMMYFUNCTION("""COMPUTED_VALUE"""),1.65)</f>
        <v>1.65</v>
      </c>
    </row>
    <row r="1104" spans="1:21" ht="12.75" x14ac:dyDescent="0.2">
      <c r="A1104" s="3">
        <f ca="1">IFERROR(__xludf.DUMMYFUNCTION("""COMPUTED_VALUE"""),40148.5222222222)</f>
        <v>40148.5222222222</v>
      </c>
      <c r="B1104" s="1">
        <f ca="1">IFERROR(__xludf.DUMMYFUNCTION("""COMPUTED_VALUE"""),5.45)</f>
        <v>5.45</v>
      </c>
      <c r="E1104" s="1" t="str">
        <f ca="1">IFERROR(__xludf.DUMMYFUNCTION("""COMPUTED_VALUE"""),"PAPER CHAIN KIT 50'S CHRISTMAS")</f>
        <v>PAPER CHAIN KIT 50'S CHRISTMAS</v>
      </c>
      <c r="F1104" s="1">
        <f ca="1">IFERROR(__xludf.DUMMYFUNCTION("""COMPUTED_VALUE"""),10)</f>
        <v>10</v>
      </c>
      <c r="G1104" s="1">
        <f ca="1">IFERROR(__xludf.DUMMYFUNCTION("""COMPUTED_VALUE"""),2.95)</f>
        <v>2.95</v>
      </c>
      <c r="J1104" s="1" t="str">
        <f ca="1">IFERROR(__xludf.DUMMYFUNCTION("""COMPUTED_VALUE"""),"SET OF 3 PINK FLYING DUCKS")</f>
        <v>SET OF 3 PINK FLYING DUCKS</v>
      </c>
      <c r="K1104" s="1">
        <f ca="1">IFERROR(__xludf.DUMMYFUNCTION("""COMPUTED_VALUE"""),1)</f>
        <v>1</v>
      </c>
      <c r="L1104" s="1">
        <f ca="1">IFERROR(__xludf.DUMMYFUNCTION("""COMPUTED_VALUE"""),5.45)</f>
        <v>5.45</v>
      </c>
      <c r="T1104" s="1">
        <f ca="1">IFERROR(__xludf.DUMMYFUNCTION("""COMPUTED_VALUE"""),489548)</f>
        <v>489548</v>
      </c>
      <c r="U1104" s="1">
        <f ca="1">IFERROR(__xludf.DUMMYFUNCTION("""COMPUTED_VALUE"""),5.45)</f>
        <v>5.45</v>
      </c>
    </row>
    <row r="1105" spans="1:21" ht="12.75" x14ac:dyDescent="0.2">
      <c r="A1105" s="3">
        <f ca="1">IFERROR(__xludf.DUMMYFUNCTION("""COMPUTED_VALUE"""),40148.5222222222)</f>
        <v>40148.5222222222</v>
      </c>
      <c r="B1105" s="1">
        <f ca="1">IFERROR(__xludf.DUMMYFUNCTION("""COMPUTED_VALUE"""),8.5)</f>
        <v>8.5</v>
      </c>
      <c r="E1105" s="1" t="str">
        <f ca="1">IFERROR(__xludf.DUMMYFUNCTION("""COMPUTED_VALUE"""),"PINK HEART CANDY BUTTON CALCULATOR")</f>
        <v>PINK HEART CANDY BUTTON CALCULATOR</v>
      </c>
      <c r="F1105" s="1">
        <f ca="1">IFERROR(__xludf.DUMMYFUNCTION("""COMPUTED_VALUE"""),8)</f>
        <v>8</v>
      </c>
      <c r="G1105" s="1">
        <f ca="1">IFERROR(__xludf.DUMMYFUNCTION("""COMPUTED_VALUE"""),2.55)</f>
        <v>2.5499999999999998</v>
      </c>
      <c r="J1105" s="1" t="str">
        <f ca="1">IFERROR(__xludf.DUMMYFUNCTION("""COMPUTED_VALUE"""),"WEEKEND BAG VINTAGE ROSE PAISLEY")</f>
        <v>WEEKEND BAG VINTAGE ROSE PAISLEY</v>
      </c>
      <c r="K1105" s="1">
        <f ca="1">IFERROR(__xludf.DUMMYFUNCTION("""COMPUTED_VALUE"""),1)</f>
        <v>1</v>
      </c>
      <c r="L1105" s="1">
        <f ca="1">IFERROR(__xludf.DUMMYFUNCTION("""COMPUTED_VALUE"""),8.5)</f>
        <v>8.5</v>
      </c>
      <c r="T1105" s="1">
        <f ca="1">IFERROR(__xludf.DUMMYFUNCTION("""COMPUTED_VALUE"""),489548)</f>
        <v>489548</v>
      </c>
      <c r="U1105" s="1">
        <f ca="1">IFERROR(__xludf.DUMMYFUNCTION("""COMPUTED_VALUE"""),8.5)</f>
        <v>8.5</v>
      </c>
    </row>
    <row r="1106" spans="1:21" ht="12.75" x14ac:dyDescent="0.2">
      <c r="A1106" s="3">
        <f ca="1">IFERROR(__xludf.DUMMYFUNCTION("""COMPUTED_VALUE"""),40148.5222222222)</f>
        <v>40148.5222222222</v>
      </c>
      <c r="B1106" s="1">
        <f ca="1">IFERROR(__xludf.DUMMYFUNCTION("""COMPUTED_VALUE"""),2.55)</f>
        <v>2.5499999999999998</v>
      </c>
      <c r="E1106" s="1" t="str">
        <f ca="1">IFERROR(__xludf.DUMMYFUNCTION("""COMPUTED_VALUE"""),"WHITE HANGING HEART T-LIGHT HOLDER")</f>
        <v>WHITE HANGING HEART T-LIGHT HOLDER</v>
      </c>
      <c r="F1106" s="1">
        <f ca="1">IFERROR(__xludf.DUMMYFUNCTION("""COMPUTED_VALUE"""),6)</f>
        <v>6</v>
      </c>
      <c r="G1106" s="1">
        <f ca="1">IFERROR(__xludf.DUMMYFUNCTION("""COMPUTED_VALUE"""),2.95)</f>
        <v>2.95</v>
      </c>
      <c r="J1106" s="1" t="str">
        <f ca="1">IFERROR(__xludf.DUMMYFUNCTION("""COMPUTED_VALUE"""),"WASH BAG VINTAGE ROSE PAISLEY")</f>
        <v>WASH BAG VINTAGE ROSE PAISLEY</v>
      </c>
      <c r="K1106" s="1">
        <f ca="1">IFERROR(__xludf.DUMMYFUNCTION("""COMPUTED_VALUE"""),1)</f>
        <v>1</v>
      </c>
      <c r="L1106" s="1">
        <f ca="1">IFERROR(__xludf.DUMMYFUNCTION("""COMPUTED_VALUE"""),2.55)</f>
        <v>2.5499999999999998</v>
      </c>
      <c r="T1106" s="1">
        <f ca="1">IFERROR(__xludf.DUMMYFUNCTION("""COMPUTED_VALUE"""),489548)</f>
        <v>489548</v>
      </c>
      <c r="U1106" s="1">
        <f ca="1">IFERROR(__xludf.DUMMYFUNCTION("""COMPUTED_VALUE"""),2.55)</f>
        <v>2.5499999999999998</v>
      </c>
    </row>
    <row r="1107" spans="1:21" ht="12.75" x14ac:dyDescent="0.2">
      <c r="A1107" s="3">
        <f ca="1">IFERROR(__xludf.DUMMYFUNCTION("""COMPUTED_VALUE"""),40148.5222222222)</f>
        <v>40148.5222222222</v>
      </c>
      <c r="B1107" s="1">
        <f ca="1">IFERROR(__xludf.DUMMYFUNCTION("""COMPUTED_VALUE"""),2.55)</f>
        <v>2.5499999999999998</v>
      </c>
      <c r="E1107" s="1" t="str">
        <f ca="1">IFERROR(__xludf.DUMMYFUNCTION("""COMPUTED_VALUE"""),"SCANDINAVIAN REDS RIBBONS")</f>
        <v>SCANDINAVIAN REDS RIBBONS</v>
      </c>
      <c r="F1107" s="1">
        <f ca="1">IFERROR(__xludf.DUMMYFUNCTION("""COMPUTED_VALUE"""),5)</f>
        <v>5</v>
      </c>
      <c r="G1107" s="1">
        <f ca="1">IFERROR(__xludf.DUMMYFUNCTION("""COMPUTED_VALUE"""),1.25)</f>
        <v>1.25</v>
      </c>
      <c r="J1107" s="1" t="str">
        <f ca="1">IFERROR(__xludf.DUMMYFUNCTION("""COMPUTED_VALUE"""),"WASH BAG VINTAGE ROSE PAISLEY")</f>
        <v>WASH BAG VINTAGE ROSE PAISLEY</v>
      </c>
      <c r="K1107" s="1">
        <f ca="1">IFERROR(__xludf.DUMMYFUNCTION("""COMPUTED_VALUE"""),1)</f>
        <v>1</v>
      </c>
      <c r="L1107" s="1">
        <f ca="1">IFERROR(__xludf.DUMMYFUNCTION("""COMPUTED_VALUE"""),2.55)</f>
        <v>2.5499999999999998</v>
      </c>
      <c r="T1107" s="1">
        <f ca="1">IFERROR(__xludf.DUMMYFUNCTION("""COMPUTED_VALUE"""),489548)</f>
        <v>489548</v>
      </c>
      <c r="U1107" s="1">
        <f ca="1">IFERROR(__xludf.DUMMYFUNCTION("""COMPUTED_VALUE"""),2.55)</f>
        <v>2.5499999999999998</v>
      </c>
    </row>
    <row r="1108" spans="1:21" ht="12.75" x14ac:dyDescent="0.2">
      <c r="A1108" s="3">
        <f ca="1">IFERROR(__xludf.DUMMYFUNCTION("""COMPUTED_VALUE"""),40148.5222222222)</f>
        <v>40148.5222222222</v>
      </c>
      <c r="B1108" s="1">
        <f ca="1">IFERROR(__xludf.DUMMYFUNCTION("""COMPUTED_VALUE"""),2.1)</f>
        <v>2.1</v>
      </c>
      <c r="E1108" s="1" t="str">
        <f ca="1">IFERROR(__xludf.DUMMYFUNCTION("""COMPUTED_VALUE"""),"JUMBO BAG SCANDINAVIAN PAISLEY")</f>
        <v>JUMBO BAG SCANDINAVIAN PAISLEY</v>
      </c>
      <c r="F1108" s="1">
        <f ca="1">IFERROR(__xludf.DUMMYFUNCTION("""COMPUTED_VALUE"""),5)</f>
        <v>5</v>
      </c>
      <c r="G1108" s="1">
        <f ca="1">IFERROR(__xludf.DUMMYFUNCTION("""COMPUTED_VALUE"""),1.95)</f>
        <v>1.95</v>
      </c>
      <c r="J1108" s="1" t="str">
        <f ca="1">IFERROR(__xludf.DUMMYFUNCTION("""COMPUTED_VALUE"""),"RETRO PINK SPOT WASHING UP GLOVES")</f>
        <v>RETRO PINK SPOT WASHING UP GLOVES</v>
      </c>
      <c r="K1108" s="1">
        <f ca="1">IFERROR(__xludf.DUMMYFUNCTION("""COMPUTED_VALUE"""),1)</f>
        <v>1</v>
      </c>
      <c r="L1108" s="1">
        <f ca="1">IFERROR(__xludf.DUMMYFUNCTION("""COMPUTED_VALUE"""),2.1)</f>
        <v>2.1</v>
      </c>
      <c r="T1108" s="1">
        <f ca="1">IFERROR(__xludf.DUMMYFUNCTION("""COMPUTED_VALUE"""),489548)</f>
        <v>489548</v>
      </c>
      <c r="U1108" s="1">
        <f ca="1">IFERROR(__xludf.DUMMYFUNCTION("""COMPUTED_VALUE"""),2.1)</f>
        <v>2.1</v>
      </c>
    </row>
    <row r="1109" spans="1:21" ht="12.75" x14ac:dyDescent="0.2">
      <c r="A1109" s="3">
        <f ca="1">IFERROR(__xludf.DUMMYFUNCTION("""COMPUTED_VALUE"""),40148.5222222222)</f>
        <v>40148.5222222222</v>
      </c>
      <c r="B1109" s="1">
        <f ca="1">IFERROR(__xludf.DUMMYFUNCTION("""COMPUTED_VALUE"""),3.95)</f>
        <v>3.95</v>
      </c>
      <c r="E1109" s="1" t="str">
        <f ca="1">IFERROR(__xludf.DUMMYFUNCTION("""COMPUTED_VALUE"""),"JUMBO BAG PINK VINTAGE PAISLEY")</f>
        <v>JUMBO BAG PINK VINTAGE PAISLEY</v>
      </c>
      <c r="F1109" s="1">
        <f ca="1">IFERROR(__xludf.DUMMYFUNCTION("""COMPUTED_VALUE"""),3)</f>
        <v>3</v>
      </c>
      <c r="G1109" s="1">
        <f ca="1">IFERROR(__xludf.DUMMYFUNCTION("""COMPUTED_VALUE"""),1.95)</f>
        <v>1.95</v>
      </c>
      <c r="J1109" s="1" t="str">
        <f ca="1">IFERROR(__xludf.DUMMYFUNCTION("""COMPUTED_VALUE"""),"BLUE WHITE SCARF HOT WATER BOTTLE")</f>
        <v>BLUE WHITE SCARF HOT WATER BOTTLE</v>
      </c>
      <c r="K1109" s="1">
        <f ca="1">IFERROR(__xludf.DUMMYFUNCTION("""COMPUTED_VALUE"""),1)</f>
        <v>1</v>
      </c>
      <c r="L1109" s="1">
        <f ca="1">IFERROR(__xludf.DUMMYFUNCTION("""COMPUTED_VALUE"""),3.95)</f>
        <v>3.95</v>
      </c>
      <c r="T1109" s="1">
        <f ca="1">IFERROR(__xludf.DUMMYFUNCTION("""COMPUTED_VALUE"""),489548)</f>
        <v>489548</v>
      </c>
      <c r="U1109" s="1">
        <f ca="1">IFERROR(__xludf.DUMMYFUNCTION("""COMPUTED_VALUE"""),3.95)</f>
        <v>3.95</v>
      </c>
    </row>
    <row r="1110" spans="1:21" ht="12.75" x14ac:dyDescent="0.2">
      <c r="A1110" s="3">
        <f ca="1">IFERROR(__xludf.DUMMYFUNCTION("""COMPUTED_VALUE"""),40148.5222222222)</f>
        <v>40148.5222222222</v>
      </c>
      <c r="B1110" s="1">
        <f ca="1">IFERROR(__xludf.DUMMYFUNCTION("""COMPUTED_VALUE"""),3.95)</f>
        <v>3.95</v>
      </c>
      <c r="E1110" s="1" t="str">
        <f ca="1">IFERROR(__xludf.DUMMYFUNCTION("""COMPUTED_VALUE"""),"JUMBO BAG STRAWBERRY")</f>
        <v>JUMBO BAG STRAWBERRY</v>
      </c>
      <c r="F1110" s="1">
        <f ca="1">IFERROR(__xludf.DUMMYFUNCTION("""COMPUTED_VALUE"""),3)</f>
        <v>3</v>
      </c>
      <c r="G1110" s="1">
        <f ca="1">IFERROR(__xludf.DUMMYFUNCTION("""COMPUTED_VALUE"""),1.95)</f>
        <v>1.95</v>
      </c>
      <c r="J1110" s="1" t="str">
        <f ca="1">IFERROR(__xludf.DUMMYFUNCTION("""COMPUTED_VALUE"""),"RED WHITE SCARF  HOT WATER BOTTLE")</f>
        <v>RED WHITE SCARF  HOT WATER BOTTLE</v>
      </c>
      <c r="K1110" s="1">
        <f ca="1">IFERROR(__xludf.DUMMYFUNCTION("""COMPUTED_VALUE"""),1)</f>
        <v>1</v>
      </c>
      <c r="L1110" s="1">
        <f ca="1">IFERROR(__xludf.DUMMYFUNCTION("""COMPUTED_VALUE"""),3.95)</f>
        <v>3.95</v>
      </c>
      <c r="T1110" s="1">
        <f ca="1">IFERROR(__xludf.DUMMYFUNCTION("""COMPUTED_VALUE"""),489548)</f>
        <v>489548</v>
      </c>
      <c r="U1110" s="1">
        <f ca="1">IFERROR(__xludf.DUMMYFUNCTION("""COMPUTED_VALUE"""),3.95)</f>
        <v>3.95</v>
      </c>
    </row>
    <row r="1111" spans="1:21" ht="12.75" x14ac:dyDescent="0.2">
      <c r="A1111" s="3">
        <f ca="1">IFERROR(__xludf.DUMMYFUNCTION("""COMPUTED_VALUE"""),40148.5222222222)</f>
        <v>40148.5222222222</v>
      </c>
      <c r="B1111" s="1">
        <f ca="1">IFERROR(__xludf.DUMMYFUNCTION("""COMPUTED_VALUE"""),8.95)</f>
        <v>8.9499999999999993</v>
      </c>
      <c r="E1111" s="1" t="str">
        <f ca="1">IFERROR(__xludf.DUMMYFUNCTION("""COMPUTED_VALUE"""),"PARTY CONES CARNIVAL ASSORTED")</f>
        <v>PARTY CONES CARNIVAL ASSORTED</v>
      </c>
      <c r="F1111" s="1">
        <f ca="1">IFERROR(__xludf.DUMMYFUNCTION("""COMPUTED_VALUE"""),-48)</f>
        <v>-48</v>
      </c>
      <c r="G1111" s="1">
        <f ca="1">IFERROR(__xludf.DUMMYFUNCTION("""COMPUTED_VALUE"""),1.25)</f>
        <v>1.25</v>
      </c>
      <c r="J1111" s="1" t="str">
        <f ca="1">IFERROR(__xludf.DUMMYFUNCTION("""COMPUTED_VALUE"""),"RED PEONY TABLE CLOCK")</f>
        <v>RED PEONY TABLE CLOCK</v>
      </c>
      <c r="K1111" s="1">
        <f ca="1">IFERROR(__xludf.DUMMYFUNCTION("""COMPUTED_VALUE"""),1)</f>
        <v>1</v>
      </c>
      <c r="L1111" s="1">
        <f ca="1">IFERROR(__xludf.DUMMYFUNCTION("""COMPUTED_VALUE"""),8.95)</f>
        <v>8.9499999999999993</v>
      </c>
      <c r="T1111" s="1">
        <f ca="1">IFERROR(__xludf.DUMMYFUNCTION("""COMPUTED_VALUE"""),489548)</f>
        <v>489548</v>
      </c>
      <c r="U1111" s="1">
        <f ca="1">IFERROR(__xludf.DUMMYFUNCTION("""COMPUTED_VALUE"""),8.95)</f>
        <v>8.9499999999999993</v>
      </c>
    </row>
    <row r="1112" spans="1:21" ht="12.75" x14ac:dyDescent="0.2">
      <c r="A1112" s="3">
        <f ca="1">IFERROR(__xludf.DUMMYFUNCTION("""COMPUTED_VALUE"""),40148.5222222222)</f>
        <v>40148.5222222222</v>
      </c>
      <c r="B1112" s="1">
        <f ca="1">IFERROR(__xludf.DUMMYFUNCTION("""COMPUTED_VALUE"""),2.95)</f>
        <v>2.95</v>
      </c>
      <c r="E1112" s="1" t="str">
        <f ca="1">IFERROR(__xludf.DUMMYFUNCTION("""COMPUTED_VALUE"""),"FAWN BLUE HOT WATER BOTTLE")</f>
        <v>FAWN BLUE HOT WATER BOTTLE</v>
      </c>
      <c r="F1112" s="1">
        <f ca="1">IFERROR(__xludf.DUMMYFUNCTION("""COMPUTED_VALUE"""),-1)</f>
        <v>-1</v>
      </c>
      <c r="G1112" s="1">
        <f ca="1">IFERROR(__xludf.DUMMYFUNCTION("""COMPUTED_VALUE"""),2.95)</f>
        <v>2.95</v>
      </c>
      <c r="J1112" s="1" t="str">
        <f ca="1">IFERROR(__xludf.DUMMYFUNCTION("""COMPUTED_VALUE"""),"FELTCRAFT DOLL ROSIE")</f>
        <v>FELTCRAFT DOLL ROSIE</v>
      </c>
      <c r="K1112" s="1">
        <f ca="1">IFERROR(__xludf.DUMMYFUNCTION("""COMPUTED_VALUE"""),1)</f>
        <v>1</v>
      </c>
      <c r="L1112" s="1">
        <f ca="1">IFERROR(__xludf.DUMMYFUNCTION("""COMPUTED_VALUE"""),2.95)</f>
        <v>2.95</v>
      </c>
      <c r="T1112" s="1">
        <f ca="1">IFERROR(__xludf.DUMMYFUNCTION("""COMPUTED_VALUE"""),489548)</f>
        <v>489548</v>
      </c>
      <c r="U1112" s="1">
        <f ca="1">IFERROR(__xludf.DUMMYFUNCTION("""COMPUTED_VALUE"""),2.95)</f>
        <v>2.95</v>
      </c>
    </row>
    <row r="1113" spans="1:21" ht="12.75" x14ac:dyDescent="0.2">
      <c r="A1113" s="3">
        <f ca="1">IFERROR(__xludf.DUMMYFUNCTION("""COMPUTED_VALUE"""),40148.5222222222)</f>
        <v>40148.5222222222</v>
      </c>
      <c r="B1113" s="1">
        <f ca="1">IFERROR(__xludf.DUMMYFUNCTION("""COMPUTED_VALUE"""),2.95)</f>
        <v>2.95</v>
      </c>
      <c r="E1113" s="1" t="str">
        <f ca="1">IFERROR(__xludf.DUMMYFUNCTION("""COMPUTED_VALUE"""),"FAIRY CAKE CANDLES")</f>
        <v>FAIRY CAKE CANDLES</v>
      </c>
      <c r="F1113" s="1">
        <f ca="1">IFERROR(__xludf.DUMMYFUNCTION("""COMPUTED_VALUE"""),9)</f>
        <v>9</v>
      </c>
      <c r="G1113" s="1">
        <f ca="1">IFERROR(__xludf.DUMMYFUNCTION("""COMPUTED_VALUE"""),1.49)</f>
        <v>1.49</v>
      </c>
      <c r="J1113" s="1" t="str">
        <f ca="1">IFERROR(__xludf.DUMMYFUNCTION("""COMPUTED_VALUE"""),"FELTCRAFT DOLL EMILY")</f>
        <v>FELTCRAFT DOLL EMILY</v>
      </c>
      <c r="K1113" s="1">
        <f ca="1">IFERROR(__xludf.DUMMYFUNCTION("""COMPUTED_VALUE"""),1)</f>
        <v>1</v>
      </c>
      <c r="L1113" s="1">
        <f ca="1">IFERROR(__xludf.DUMMYFUNCTION("""COMPUTED_VALUE"""),2.95)</f>
        <v>2.95</v>
      </c>
      <c r="T1113" s="1">
        <f ca="1">IFERROR(__xludf.DUMMYFUNCTION("""COMPUTED_VALUE"""),489548)</f>
        <v>489548</v>
      </c>
      <c r="U1113" s="1">
        <f ca="1">IFERROR(__xludf.DUMMYFUNCTION("""COMPUTED_VALUE"""),2.95)</f>
        <v>2.95</v>
      </c>
    </row>
    <row r="1114" spans="1:21" ht="12.75" x14ac:dyDescent="0.2">
      <c r="A1114" s="3">
        <f ca="1">IFERROR(__xludf.DUMMYFUNCTION("""COMPUTED_VALUE"""),40148.5229166666)</f>
        <v>40148.522916666603</v>
      </c>
      <c r="B1114" s="1">
        <f ca="1">IFERROR(__xludf.DUMMYFUNCTION("""COMPUTED_VALUE"""),0.55)</f>
        <v>0.55000000000000004</v>
      </c>
      <c r="E1114" s="1" t="str">
        <f ca="1">IFERROR(__xludf.DUMMYFUNCTION("""COMPUTED_VALUE"""),"GRAND CHOCOLATECANDLE")</f>
        <v>GRAND CHOCOLATECANDLE</v>
      </c>
      <c r="F1114" s="1">
        <f ca="1">IFERROR(__xludf.DUMMYFUNCTION("""COMPUTED_VALUE"""),9)</f>
        <v>9</v>
      </c>
      <c r="G1114" s="1">
        <f ca="1">IFERROR(__xludf.DUMMYFUNCTION("""COMPUTED_VALUE"""),1.45)</f>
        <v>1.45</v>
      </c>
      <c r="J1114" s="1" t="str">
        <f ca="1">IFERROR(__xludf.DUMMYFUNCTION("""COMPUTED_VALUE"""),"PACK OF 60 PINK PAISLEY CAKE CASES")</f>
        <v>PACK OF 60 PINK PAISLEY CAKE CASES</v>
      </c>
      <c r="K1114" s="1">
        <f ca="1">IFERROR(__xludf.DUMMYFUNCTION("""COMPUTED_VALUE"""),48)</f>
        <v>48</v>
      </c>
      <c r="L1114" s="1">
        <f ca="1">IFERROR(__xludf.DUMMYFUNCTION("""COMPUTED_VALUE"""),0.55)</f>
        <v>0.55000000000000004</v>
      </c>
      <c r="T1114" s="1">
        <f ca="1">IFERROR(__xludf.DUMMYFUNCTION("""COMPUTED_VALUE"""),489550)</f>
        <v>489550</v>
      </c>
      <c r="U1114" s="1">
        <f ca="1">IFERROR(__xludf.DUMMYFUNCTION("""COMPUTED_VALUE"""),26.4)</f>
        <v>26.4</v>
      </c>
    </row>
    <row r="1115" spans="1:21" ht="12.75" x14ac:dyDescent="0.2">
      <c r="A1115" s="3">
        <f ca="1">IFERROR(__xludf.DUMMYFUNCTION("""COMPUTED_VALUE"""),40148.5229166666)</f>
        <v>40148.522916666603</v>
      </c>
      <c r="B1115" s="1">
        <f ca="1">IFERROR(__xludf.DUMMYFUNCTION("""COMPUTED_VALUE"""),0.55)</f>
        <v>0.55000000000000004</v>
      </c>
      <c r="E1115" s="1" t="str">
        <f ca="1">IFERROR(__xludf.DUMMYFUNCTION("""COMPUTED_VALUE"""),"BLUE  SPOTTY PLATE")</f>
        <v>BLUE  SPOTTY PLATE</v>
      </c>
      <c r="F1115" s="1">
        <f ca="1">IFERROR(__xludf.DUMMYFUNCTION("""COMPUTED_VALUE"""),4)</f>
        <v>4</v>
      </c>
      <c r="G1115" s="1">
        <f ca="1">IFERROR(__xludf.DUMMYFUNCTION("""COMPUTED_VALUE"""),1.69)</f>
        <v>1.69</v>
      </c>
      <c r="J1115" s="1" t="str">
        <f ca="1">IFERROR(__xludf.DUMMYFUNCTION("""COMPUTED_VALUE"""),"60 TEATIME FAIRY CAKE CASES")</f>
        <v>60 TEATIME FAIRY CAKE CASES</v>
      </c>
      <c r="K1115" s="1">
        <f ca="1">IFERROR(__xludf.DUMMYFUNCTION("""COMPUTED_VALUE"""),48)</f>
        <v>48</v>
      </c>
      <c r="L1115" s="1">
        <f ca="1">IFERROR(__xludf.DUMMYFUNCTION("""COMPUTED_VALUE"""),0.55)</f>
        <v>0.55000000000000004</v>
      </c>
      <c r="T1115" s="1">
        <f ca="1">IFERROR(__xludf.DUMMYFUNCTION("""COMPUTED_VALUE"""),489550)</f>
        <v>489550</v>
      </c>
      <c r="U1115" s="1">
        <f ca="1">IFERROR(__xludf.DUMMYFUNCTION("""COMPUTED_VALUE"""),26.4)</f>
        <v>26.4</v>
      </c>
    </row>
    <row r="1116" spans="1:21" ht="12.75" x14ac:dyDescent="0.2">
      <c r="A1116" s="3">
        <f ca="1">IFERROR(__xludf.DUMMYFUNCTION("""COMPUTED_VALUE"""),40148.5229166666)</f>
        <v>40148.522916666603</v>
      </c>
      <c r="B1116" s="1">
        <f ca="1">IFERROR(__xludf.DUMMYFUNCTION("""COMPUTED_VALUE"""),1.25)</f>
        <v>1.25</v>
      </c>
      <c r="E1116" s="1" t="str">
        <f ca="1">IFERROR(__xludf.DUMMYFUNCTION("""COMPUTED_VALUE"""),"PINK  SPOTTY PLATE")</f>
        <v>PINK  SPOTTY PLATE</v>
      </c>
      <c r="F1116" s="1">
        <f ca="1">IFERROR(__xludf.DUMMYFUNCTION("""COMPUTED_VALUE"""),4)</f>
        <v>4</v>
      </c>
      <c r="G1116" s="1">
        <f ca="1">IFERROR(__xludf.DUMMYFUNCTION("""COMPUTED_VALUE"""),1.69)</f>
        <v>1.69</v>
      </c>
      <c r="J1116" s="1" t="str">
        <f ca="1">IFERROR(__xludf.DUMMYFUNCTION("""COMPUTED_VALUE"""),"ASSORTED SANSKRIT MINI NOTEBOOK")</f>
        <v>ASSORTED SANSKRIT MINI NOTEBOOK</v>
      </c>
      <c r="K1116" s="1">
        <f ca="1">IFERROR(__xludf.DUMMYFUNCTION("""COMPUTED_VALUE"""),18)</f>
        <v>18</v>
      </c>
      <c r="L1116" s="1">
        <f ca="1">IFERROR(__xludf.DUMMYFUNCTION("""COMPUTED_VALUE"""),1.25)</f>
        <v>1.25</v>
      </c>
      <c r="T1116" s="1">
        <f ca="1">IFERROR(__xludf.DUMMYFUNCTION("""COMPUTED_VALUE"""),489550)</f>
        <v>489550</v>
      </c>
      <c r="U1116" s="1">
        <f ca="1">IFERROR(__xludf.DUMMYFUNCTION("""COMPUTED_VALUE"""),22.5)</f>
        <v>22.5</v>
      </c>
    </row>
    <row r="1117" spans="1:21" ht="12.75" x14ac:dyDescent="0.2">
      <c r="A1117" s="3">
        <f ca="1">IFERROR(__xludf.DUMMYFUNCTION("""COMPUTED_VALUE"""),40148.5229166666)</f>
        <v>40148.522916666603</v>
      </c>
      <c r="B1117" s="1">
        <f ca="1">IFERROR(__xludf.DUMMYFUNCTION("""COMPUTED_VALUE"""),0.85)</f>
        <v>0.85</v>
      </c>
      <c r="E1117" s="1" t="str">
        <f ca="1">IFERROR(__xludf.DUMMYFUNCTION("""COMPUTED_VALUE"""),"RED SPOTTY OVEN GLOVE DOUBLE")</f>
        <v>RED SPOTTY OVEN GLOVE DOUBLE</v>
      </c>
      <c r="F1117" s="1">
        <f ca="1">IFERROR(__xludf.DUMMYFUNCTION("""COMPUTED_VALUE"""),4)</f>
        <v>4</v>
      </c>
      <c r="G1117" s="1">
        <f ca="1">IFERROR(__xludf.DUMMYFUNCTION("""COMPUTED_VALUE"""),2.95)</f>
        <v>2.95</v>
      </c>
      <c r="J1117" s="1" t="str">
        <f ca="1">IFERROR(__xludf.DUMMYFUNCTION("""COMPUTED_VALUE"""),"LAVENDER SCENTED SET/9 T-LIGHTS")</f>
        <v>LAVENDER SCENTED SET/9 T-LIGHTS</v>
      </c>
      <c r="K1117" s="1">
        <f ca="1">IFERROR(__xludf.DUMMYFUNCTION("""COMPUTED_VALUE"""),12)</f>
        <v>12</v>
      </c>
      <c r="L1117" s="1">
        <f ca="1">IFERROR(__xludf.DUMMYFUNCTION("""COMPUTED_VALUE"""),0.85)</f>
        <v>0.85</v>
      </c>
      <c r="T1117" s="1">
        <f ca="1">IFERROR(__xludf.DUMMYFUNCTION("""COMPUTED_VALUE"""),489550)</f>
        <v>489550</v>
      </c>
      <c r="U1117" s="1">
        <f ca="1">IFERROR(__xludf.DUMMYFUNCTION("""COMPUTED_VALUE"""),10.2)</f>
        <v>10.199999999999999</v>
      </c>
    </row>
    <row r="1118" spans="1:21" ht="12.75" x14ac:dyDescent="0.2">
      <c r="A1118" s="3">
        <f ca="1">IFERROR(__xludf.DUMMYFUNCTION("""COMPUTED_VALUE"""),40148.5229166666)</f>
        <v>40148.522916666603</v>
      </c>
      <c r="B1118" s="1">
        <f ca="1">IFERROR(__xludf.DUMMYFUNCTION("""COMPUTED_VALUE"""),0.85)</f>
        <v>0.85</v>
      </c>
      <c r="E1118" s="1" t="str">
        <f ca="1">IFERROR(__xludf.DUMMYFUNCTION("""COMPUTED_VALUE"""),"RED SPOTTY PEG BAG")</f>
        <v>RED SPOTTY PEG BAG</v>
      </c>
      <c r="F1118" s="1">
        <f ca="1">IFERROR(__xludf.DUMMYFUNCTION("""COMPUTED_VALUE"""),4)</f>
        <v>4</v>
      </c>
      <c r="G1118" s="1">
        <f ca="1">IFERROR(__xludf.DUMMYFUNCTION("""COMPUTED_VALUE"""),2.1)</f>
        <v>2.1</v>
      </c>
      <c r="J1118" s="1" t="str">
        <f ca="1">IFERROR(__xludf.DUMMYFUNCTION("""COMPUTED_VALUE"""),"ORANGE SCENTED SET/9 T-LIGHTS")</f>
        <v>ORANGE SCENTED SET/9 T-LIGHTS</v>
      </c>
      <c r="K1118" s="1">
        <f ca="1">IFERROR(__xludf.DUMMYFUNCTION("""COMPUTED_VALUE"""),12)</f>
        <v>12</v>
      </c>
      <c r="L1118" s="1">
        <f ca="1">IFERROR(__xludf.DUMMYFUNCTION("""COMPUTED_VALUE"""),0.85)</f>
        <v>0.85</v>
      </c>
      <c r="T1118" s="1">
        <f ca="1">IFERROR(__xludf.DUMMYFUNCTION("""COMPUTED_VALUE"""),489550)</f>
        <v>489550</v>
      </c>
      <c r="U1118" s="1">
        <f ca="1">IFERROR(__xludf.DUMMYFUNCTION("""COMPUTED_VALUE"""),10.2)</f>
        <v>10.199999999999999</v>
      </c>
    </row>
    <row r="1119" spans="1:21" ht="12.75" x14ac:dyDescent="0.2">
      <c r="A1119" s="3">
        <f ca="1">IFERROR(__xludf.DUMMYFUNCTION("""COMPUTED_VALUE"""),40148.5229166666)</f>
        <v>40148.522916666603</v>
      </c>
      <c r="B1119" s="1">
        <f ca="1">IFERROR(__xludf.DUMMYFUNCTION("""COMPUTED_VALUE"""),1.25)</f>
        <v>1.25</v>
      </c>
      <c r="E1119" s="1" t="str">
        <f ca="1">IFERROR(__xludf.DUMMYFUNCTION("""COMPUTED_VALUE"""),"SET/10 BLUE SPOTTY PARTY CANDLES")</f>
        <v>SET/10 BLUE SPOTTY PARTY CANDLES</v>
      </c>
      <c r="F1119" s="1">
        <f ca="1">IFERROR(__xludf.DUMMYFUNCTION("""COMPUTED_VALUE"""),4)</f>
        <v>4</v>
      </c>
      <c r="G1119" s="1">
        <f ca="1">IFERROR(__xludf.DUMMYFUNCTION("""COMPUTED_VALUE"""),1.25)</f>
        <v>1.25</v>
      </c>
      <c r="J1119" s="1" t="str">
        <f ca="1">IFERROR(__xludf.DUMMYFUNCTION("""COMPUTED_VALUE"""),"TRADITIONAL CHRISTMAS RIBBONS")</f>
        <v>TRADITIONAL CHRISTMAS RIBBONS</v>
      </c>
      <c r="K1119" s="1">
        <f ca="1">IFERROR(__xludf.DUMMYFUNCTION("""COMPUTED_VALUE"""),12)</f>
        <v>12</v>
      </c>
      <c r="L1119" s="1">
        <f ca="1">IFERROR(__xludf.DUMMYFUNCTION("""COMPUTED_VALUE"""),1.25)</f>
        <v>1.25</v>
      </c>
      <c r="T1119" s="1">
        <f ca="1">IFERROR(__xludf.DUMMYFUNCTION("""COMPUTED_VALUE"""),489550)</f>
        <v>489550</v>
      </c>
      <c r="U1119" s="1">
        <f ca="1">IFERROR(__xludf.DUMMYFUNCTION("""COMPUTED_VALUE"""),15)</f>
        <v>15</v>
      </c>
    </row>
    <row r="1120" spans="1:21" ht="12.75" x14ac:dyDescent="0.2">
      <c r="A1120" s="3">
        <f ca="1">IFERROR(__xludf.DUMMYFUNCTION("""COMPUTED_VALUE"""),40148.5229166666)</f>
        <v>40148.522916666603</v>
      </c>
      <c r="B1120" s="1">
        <f ca="1">IFERROR(__xludf.DUMMYFUNCTION("""COMPUTED_VALUE"""),1.25)</f>
        <v>1.25</v>
      </c>
      <c r="E1120" s="1" t="str">
        <f ca="1">IFERROR(__xludf.DUMMYFUNCTION("""COMPUTED_VALUE"""),"SET/10 PINK SPOTTY PARTY CANDLES")</f>
        <v>SET/10 PINK SPOTTY PARTY CANDLES</v>
      </c>
      <c r="F1120" s="1">
        <f ca="1">IFERROR(__xludf.DUMMYFUNCTION("""COMPUTED_VALUE"""),4)</f>
        <v>4</v>
      </c>
      <c r="G1120" s="1">
        <f ca="1">IFERROR(__xludf.DUMMYFUNCTION("""COMPUTED_VALUE"""),1.25)</f>
        <v>1.25</v>
      </c>
      <c r="J1120" s="1" t="str">
        <f ca="1">IFERROR(__xludf.DUMMYFUNCTION("""COMPUTED_VALUE"""),"LUSH GREENS RIBBONS")</f>
        <v>LUSH GREENS RIBBONS</v>
      </c>
      <c r="K1120" s="1">
        <f ca="1">IFERROR(__xludf.DUMMYFUNCTION("""COMPUTED_VALUE"""),12)</f>
        <v>12</v>
      </c>
      <c r="L1120" s="1">
        <f ca="1">IFERROR(__xludf.DUMMYFUNCTION("""COMPUTED_VALUE"""),1.25)</f>
        <v>1.25</v>
      </c>
      <c r="T1120" s="1">
        <f ca="1">IFERROR(__xludf.DUMMYFUNCTION("""COMPUTED_VALUE"""),489550)</f>
        <v>489550</v>
      </c>
      <c r="U1120" s="1">
        <f ca="1">IFERROR(__xludf.DUMMYFUNCTION("""COMPUTED_VALUE"""),15)</f>
        <v>15</v>
      </c>
    </row>
    <row r="1121" spans="1:21" ht="12.75" x14ac:dyDescent="0.2">
      <c r="A1121" s="3">
        <f ca="1">IFERROR(__xludf.DUMMYFUNCTION("""COMPUTED_VALUE"""),40148.5229166666)</f>
        <v>40148.522916666603</v>
      </c>
      <c r="B1121" s="1">
        <f ca="1">IFERROR(__xludf.DUMMYFUNCTION("""COMPUTED_VALUE"""),1.25)</f>
        <v>1.25</v>
      </c>
      <c r="E1121" s="1" t="str">
        <f ca="1">IFERROR(__xludf.DUMMYFUNCTION("""COMPUTED_VALUE"""),"PREMIUM CHURCH CANDLE")</f>
        <v>PREMIUM CHURCH CANDLE</v>
      </c>
      <c r="F1121" s="1">
        <f ca="1">IFERROR(__xludf.DUMMYFUNCTION("""COMPUTED_VALUE"""),4)</f>
        <v>4</v>
      </c>
      <c r="G1121" s="1">
        <f ca="1">IFERROR(__xludf.DUMMYFUNCTION("""COMPUTED_VALUE"""),2.1)</f>
        <v>2.1</v>
      </c>
      <c r="J1121" s="1" t="str">
        <f ca="1">IFERROR(__xludf.DUMMYFUNCTION("""COMPUTED_VALUE"""),"CHOCOLATE BOX RIBBONS")</f>
        <v>CHOCOLATE BOX RIBBONS</v>
      </c>
      <c r="K1121" s="1">
        <f ca="1">IFERROR(__xludf.DUMMYFUNCTION("""COMPUTED_VALUE"""),12)</f>
        <v>12</v>
      </c>
      <c r="L1121" s="1">
        <f ca="1">IFERROR(__xludf.DUMMYFUNCTION("""COMPUTED_VALUE"""),1.25)</f>
        <v>1.25</v>
      </c>
      <c r="T1121" s="1">
        <f ca="1">IFERROR(__xludf.DUMMYFUNCTION("""COMPUTED_VALUE"""),489550)</f>
        <v>489550</v>
      </c>
      <c r="U1121" s="1">
        <f ca="1">IFERROR(__xludf.DUMMYFUNCTION("""COMPUTED_VALUE"""),15)</f>
        <v>15</v>
      </c>
    </row>
    <row r="1122" spans="1:21" ht="12.75" x14ac:dyDescent="0.2">
      <c r="A1122" s="3">
        <f ca="1">IFERROR(__xludf.DUMMYFUNCTION("""COMPUTED_VALUE"""),40148.5229166666)</f>
        <v>40148.522916666603</v>
      </c>
      <c r="B1122" s="1">
        <f ca="1">IFERROR(__xludf.DUMMYFUNCTION("""COMPUTED_VALUE"""),2.55)</f>
        <v>2.5499999999999998</v>
      </c>
      <c r="E1122" s="1" t="str">
        <f ca="1">IFERROR(__xludf.DUMMYFUNCTION("""COMPUTED_VALUE"""),"PINK SPOTTY BOWL")</f>
        <v>PINK SPOTTY BOWL</v>
      </c>
      <c r="F1122" s="1">
        <f ca="1">IFERROR(__xludf.DUMMYFUNCTION("""COMPUTED_VALUE"""),4)</f>
        <v>4</v>
      </c>
      <c r="G1122" s="1">
        <f ca="1">IFERROR(__xludf.DUMMYFUNCTION("""COMPUTED_VALUE"""),1.25)</f>
        <v>1.25</v>
      </c>
      <c r="J1122" s="1" t="str">
        <f ca="1">IFERROR(__xludf.DUMMYFUNCTION("""COMPUTED_VALUE"""),"WASH BAG VINTAGE ROSE PAISLEY")</f>
        <v>WASH BAG VINTAGE ROSE PAISLEY</v>
      </c>
      <c r="K1122" s="1">
        <f ca="1">IFERROR(__xludf.DUMMYFUNCTION("""COMPUTED_VALUE"""),6)</f>
        <v>6</v>
      </c>
      <c r="L1122" s="1">
        <f ca="1">IFERROR(__xludf.DUMMYFUNCTION("""COMPUTED_VALUE"""),2.55)</f>
        <v>2.5499999999999998</v>
      </c>
      <c r="T1122" s="1">
        <f ca="1">IFERROR(__xludf.DUMMYFUNCTION("""COMPUTED_VALUE"""),489550)</f>
        <v>489550</v>
      </c>
      <c r="U1122" s="1">
        <f ca="1">IFERROR(__xludf.DUMMYFUNCTION("""COMPUTED_VALUE"""),15.2999999999999)</f>
        <v>15.299999999999899</v>
      </c>
    </row>
    <row r="1123" spans="1:21" ht="12.75" x14ac:dyDescent="0.2">
      <c r="A1123" s="3">
        <f ca="1">IFERROR(__xludf.DUMMYFUNCTION("""COMPUTED_VALUE"""),40148.5229166666)</f>
        <v>40148.522916666603</v>
      </c>
      <c r="B1123" s="1">
        <f ca="1">IFERROR(__xludf.DUMMYFUNCTION("""COMPUTED_VALUE"""),3.75)</f>
        <v>3.75</v>
      </c>
      <c r="E1123" s="1" t="str">
        <f ca="1">IFERROR(__xludf.DUMMYFUNCTION("""COMPUTED_VALUE"""),"BLUE SPOTTY BOWL")</f>
        <v>BLUE SPOTTY BOWL</v>
      </c>
      <c r="F1123" s="1">
        <f ca="1">IFERROR(__xludf.DUMMYFUNCTION("""COMPUTED_VALUE"""),4)</f>
        <v>4</v>
      </c>
      <c r="G1123" s="1">
        <f ca="1">IFERROR(__xludf.DUMMYFUNCTION("""COMPUTED_VALUE"""),1.25)</f>
        <v>1.25</v>
      </c>
      <c r="J1123" s="1" t="str">
        <f ca="1">IFERROR(__xludf.DUMMYFUNCTION("""COMPUTED_VALUE"""),"4 WILDFLOWER BOTANICAL CANDLES")</f>
        <v>4 WILDFLOWER BOTANICAL CANDLES</v>
      </c>
      <c r="K1123" s="1">
        <f ca="1">IFERROR(__xludf.DUMMYFUNCTION("""COMPUTED_VALUE"""),6)</f>
        <v>6</v>
      </c>
      <c r="L1123" s="1">
        <f ca="1">IFERROR(__xludf.DUMMYFUNCTION("""COMPUTED_VALUE"""),3.75)</f>
        <v>3.75</v>
      </c>
      <c r="T1123" s="1">
        <f ca="1">IFERROR(__xludf.DUMMYFUNCTION("""COMPUTED_VALUE"""),489550)</f>
        <v>489550</v>
      </c>
      <c r="U1123" s="1">
        <f ca="1">IFERROR(__xludf.DUMMYFUNCTION("""COMPUTED_VALUE"""),22.5)</f>
        <v>22.5</v>
      </c>
    </row>
    <row r="1124" spans="1:21" ht="12.75" x14ac:dyDescent="0.2">
      <c r="A1124" s="3">
        <f ca="1">IFERROR(__xludf.DUMMYFUNCTION("""COMPUTED_VALUE"""),40148.5229166666)</f>
        <v>40148.522916666603</v>
      </c>
      <c r="B1124" s="1">
        <f ca="1">IFERROR(__xludf.DUMMYFUNCTION("""COMPUTED_VALUE"""),3.75)</f>
        <v>3.75</v>
      </c>
      <c r="E1124" s="1" t="str">
        <f ca="1">IFERROR(__xludf.DUMMYFUNCTION("""COMPUTED_VALUE"""),"SET/6 BLACK SNOWFLAKE T-LIGHTS")</f>
        <v>SET/6 BLACK SNOWFLAKE T-LIGHTS</v>
      </c>
      <c r="F1124" s="1">
        <f ca="1">IFERROR(__xludf.DUMMYFUNCTION("""COMPUTED_VALUE"""),3)</f>
        <v>3</v>
      </c>
      <c r="G1124" s="1">
        <f ca="1">IFERROR(__xludf.DUMMYFUNCTION("""COMPUTED_VALUE"""),1.69)</f>
        <v>1.69</v>
      </c>
      <c r="J1124" s="1" t="str">
        <f ca="1">IFERROR(__xludf.DUMMYFUNCTION("""COMPUTED_VALUE"""),"4 LAVENDER BOTANICAL DINNER CANDLES")</f>
        <v>4 LAVENDER BOTANICAL DINNER CANDLES</v>
      </c>
      <c r="K1124" s="1">
        <f ca="1">IFERROR(__xludf.DUMMYFUNCTION("""COMPUTED_VALUE"""),6)</f>
        <v>6</v>
      </c>
      <c r="L1124" s="1">
        <f ca="1">IFERROR(__xludf.DUMMYFUNCTION("""COMPUTED_VALUE"""),3.75)</f>
        <v>3.75</v>
      </c>
      <c r="T1124" s="1">
        <f ca="1">IFERROR(__xludf.DUMMYFUNCTION("""COMPUTED_VALUE"""),489550)</f>
        <v>489550</v>
      </c>
      <c r="U1124" s="1">
        <f ca="1">IFERROR(__xludf.DUMMYFUNCTION("""COMPUTED_VALUE"""),22.5)</f>
        <v>22.5</v>
      </c>
    </row>
    <row r="1125" spans="1:21" ht="12.75" x14ac:dyDescent="0.2">
      <c r="A1125" s="3">
        <f ca="1">IFERROR(__xludf.DUMMYFUNCTION("""COMPUTED_VALUE"""),40148.5229166666)</f>
        <v>40148.522916666603</v>
      </c>
      <c r="B1125" s="1">
        <f ca="1">IFERROR(__xludf.DUMMYFUNCTION("""COMPUTED_VALUE"""),3.75)</f>
        <v>3.75</v>
      </c>
      <c r="E1125" s="1" t="str">
        <f ca="1">IFERROR(__xludf.DUMMYFUNCTION("""COMPUTED_VALUE"""),"IVORY PILLAR CANDLE GOLD FLOCK")</f>
        <v>IVORY PILLAR CANDLE GOLD FLOCK</v>
      </c>
      <c r="F1125" s="1">
        <f ca="1">IFERROR(__xludf.DUMMYFUNCTION("""COMPUTED_VALUE"""),3)</f>
        <v>3</v>
      </c>
      <c r="G1125" s="1">
        <f ca="1">IFERROR(__xludf.DUMMYFUNCTION("""COMPUTED_VALUE"""),2.95)</f>
        <v>2.95</v>
      </c>
      <c r="J1125" s="1" t="str">
        <f ca="1">IFERROR(__xludf.DUMMYFUNCTION("""COMPUTED_VALUE"""),"4 VANILLA BOTANICAL CANDLES")</f>
        <v>4 VANILLA BOTANICAL CANDLES</v>
      </c>
      <c r="K1125" s="1">
        <f ca="1">IFERROR(__xludf.DUMMYFUNCTION("""COMPUTED_VALUE"""),6)</f>
        <v>6</v>
      </c>
      <c r="L1125" s="1">
        <f ca="1">IFERROR(__xludf.DUMMYFUNCTION("""COMPUTED_VALUE"""),3.75)</f>
        <v>3.75</v>
      </c>
      <c r="T1125" s="1">
        <f ca="1">IFERROR(__xludf.DUMMYFUNCTION("""COMPUTED_VALUE"""),489550)</f>
        <v>489550</v>
      </c>
      <c r="U1125" s="1">
        <f ca="1">IFERROR(__xludf.DUMMYFUNCTION("""COMPUTED_VALUE"""),22.5)</f>
        <v>22.5</v>
      </c>
    </row>
    <row r="1126" spans="1:21" ht="12.75" x14ac:dyDescent="0.2">
      <c r="A1126" s="3">
        <f ca="1">IFERROR(__xludf.DUMMYFUNCTION("""COMPUTED_VALUE"""),40148.5229166666)</f>
        <v>40148.522916666603</v>
      </c>
      <c r="B1126" s="1">
        <f ca="1">IFERROR(__xludf.DUMMYFUNCTION("""COMPUTED_VALUE"""),2.95)</f>
        <v>2.95</v>
      </c>
      <c r="E1126" s="1" t="str">
        <f ca="1">IFERROR(__xludf.DUMMYFUNCTION("""COMPUTED_VALUE"""),"IVORY PILLAR CANDLE SILVER FLOCK")</f>
        <v>IVORY PILLAR CANDLE SILVER FLOCK</v>
      </c>
      <c r="F1126" s="1">
        <f ca="1">IFERROR(__xludf.DUMMYFUNCTION("""COMPUTED_VALUE"""),3)</f>
        <v>3</v>
      </c>
      <c r="G1126" s="1">
        <f ca="1">IFERROR(__xludf.DUMMYFUNCTION("""COMPUTED_VALUE"""),2.95)</f>
        <v>2.95</v>
      </c>
      <c r="J1126" s="1" t="str">
        <f ca="1">IFERROR(__xludf.DUMMYFUNCTION("""COMPUTED_VALUE"""),"SET 12 WILDFLOWER BOTANICAL T-LIGHT")</f>
        <v>SET 12 WILDFLOWER BOTANICAL T-LIGHT</v>
      </c>
      <c r="K1126" s="1">
        <f ca="1">IFERROR(__xludf.DUMMYFUNCTION("""COMPUTED_VALUE"""),6)</f>
        <v>6</v>
      </c>
      <c r="L1126" s="1">
        <f ca="1">IFERROR(__xludf.DUMMYFUNCTION("""COMPUTED_VALUE"""),2.95)</f>
        <v>2.95</v>
      </c>
      <c r="T1126" s="1">
        <f ca="1">IFERROR(__xludf.DUMMYFUNCTION("""COMPUTED_VALUE"""),489550)</f>
        <v>489550</v>
      </c>
      <c r="U1126" s="1">
        <f ca="1">IFERROR(__xludf.DUMMYFUNCTION("""COMPUTED_VALUE"""),17.7)</f>
        <v>17.7</v>
      </c>
    </row>
    <row r="1127" spans="1:21" ht="12.75" x14ac:dyDescent="0.2">
      <c r="A1127" s="3">
        <f ca="1">IFERROR(__xludf.DUMMYFUNCTION("""COMPUTED_VALUE"""),40148.5229166666)</f>
        <v>40148.522916666603</v>
      </c>
      <c r="B1127" s="1">
        <f ca="1">IFERROR(__xludf.DUMMYFUNCTION("""COMPUTED_VALUE"""),2.1)</f>
        <v>2.1</v>
      </c>
      <c r="E1127" s="1" t="str">
        <f ca="1">IFERROR(__xludf.DUMMYFUNCTION("""COMPUTED_VALUE"""),"HAND OPEN SHAPE GOLD")</f>
        <v>HAND OPEN SHAPE GOLD</v>
      </c>
      <c r="F1127" s="1">
        <f ca="1">IFERROR(__xludf.DUMMYFUNCTION("""COMPUTED_VALUE"""),2)</f>
        <v>2</v>
      </c>
      <c r="G1127" s="1">
        <f ca="1">IFERROR(__xludf.DUMMYFUNCTION("""COMPUTED_VALUE"""),4.25)</f>
        <v>4.25</v>
      </c>
      <c r="J1127" s="1" t="str">
        <f ca="1">IFERROR(__xludf.DUMMYFUNCTION("""COMPUTED_VALUE"""),"GIN + TONIC DIET METAL SIGN")</f>
        <v>GIN + TONIC DIET METAL SIGN</v>
      </c>
      <c r="K1127" s="1">
        <f ca="1">IFERROR(__xludf.DUMMYFUNCTION("""COMPUTED_VALUE"""),6)</f>
        <v>6</v>
      </c>
      <c r="L1127" s="1">
        <f ca="1">IFERROR(__xludf.DUMMYFUNCTION("""COMPUTED_VALUE"""),2.1)</f>
        <v>2.1</v>
      </c>
      <c r="T1127" s="1">
        <f ca="1">IFERROR(__xludf.DUMMYFUNCTION("""COMPUTED_VALUE"""),489550)</f>
        <v>489550</v>
      </c>
      <c r="U1127" s="1">
        <f ca="1">IFERROR(__xludf.DUMMYFUNCTION("""COMPUTED_VALUE"""),12.6)</f>
        <v>12.6</v>
      </c>
    </row>
    <row r="1128" spans="1:21" ht="12.75" x14ac:dyDescent="0.2">
      <c r="A1128" s="3">
        <f ca="1">IFERROR(__xludf.DUMMYFUNCTION("""COMPUTED_VALUE"""),40148.5229166666)</f>
        <v>40148.522916666603</v>
      </c>
      <c r="B1128" s="1">
        <f ca="1">IFERROR(__xludf.DUMMYFUNCTION("""COMPUTED_VALUE"""),12.75)</f>
        <v>12.75</v>
      </c>
      <c r="E1128" s="1" t="str">
        <f ca="1">IFERROR(__xludf.DUMMYFUNCTION("""COMPUTED_VALUE"""),"200 RED + WHITE BENDY STRAWS")</f>
        <v>200 RED + WHITE BENDY STRAWS</v>
      </c>
      <c r="F1128" s="1">
        <f ca="1">IFERROR(__xludf.DUMMYFUNCTION("""COMPUTED_VALUE"""),2)</f>
        <v>2</v>
      </c>
      <c r="G1128" s="1">
        <f ca="1">IFERROR(__xludf.DUMMYFUNCTION("""COMPUTED_VALUE"""),1.25)</f>
        <v>1.25</v>
      </c>
      <c r="J1128" s="1" t="str">
        <f ca="1">IFERROR(__xludf.DUMMYFUNCTION("""COMPUTED_VALUE"""),"S/16 VINTAGE PISTACHIO CUTLERY")</f>
        <v>S/16 VINTAGE PISTACHIO CUTLERY</v>
      </c>
      <c r="K1128" s="1">
        <f ca="1">IFERROR(__xludf.DUMMYFUNCTION("""COMPUTED_VALUE"""),4)</f>
        <v>4</v>
      </c>
      <c r="L1128" s="1">
        <f ca="1">IFERROR(__xludf.DUMMYFUNCTION("""COMPUTED_VALUE"""),12.75)</f>
        <v>12.75</v>
      </c>
      <c r="T1128" s="1">
        <f ca="1">IFERROR(__xludf.DUMMYFUNCTION("""COMPUTED_VALUE"""),489550)</f>
        <v>489550</v>
      </c>
      <c r="U1128" s="1">
        <f ca="1">IFERROR(__xludf.DUMMYFUNCTION("""COMPUTED_VALUE"""),51)</f>
        <v>51</v>
      </c>
    </row>
    <row r="1129" spans="1:21" ht="12.75" x14ac:dyDescent="0.2">
      <c r="A1129" s="3">
        <f ca="1">IFERROR(__xludf.DUMMYFUNCTION("""COMPUTED_VALUE"""),40148.5229166666)</f>
        <v>40148.522916666603</v>
      </c>
      <c r="B1129" s="1">
        <f ca="1">IFERROR(__xludf.DUMMYFUNCTION("""COMPUTED_VALUE"""),9.95)</f>
        <v>9.9499999999999993</v>
      </c>
      <c r="E1129" s="1" t="str">
        <f ca="1">IFERROR(__xludf.DUMMYFUNCTION("""COMPUTED_VALUE"""),"VINTAGE GOLD TINSEL REEL")</f>
        <v>VINTAGE GOLD TINSEL REEL</v>
      </c>
      <c r="F1129" s="1">
        <f ca="1">IFERROR(__xludf.DUMMYFUNCTION("""COMPUTED_VALUE"""),2)</f>
        <v>2</v>
      </c>
      <c r="G1129" s="1">
        <f ca="1">IFERROR(__xludf.DUMMYFUNCTION("""COMPUTED_VALUE"""),2.1)</f>
        <v>2.1</v>
      </c>
      <c r="J1129" s="1" t="str">
        <f ca="1">IFERROR(__xludf.DUMMYFUNCTION("""COMPUTED_VALUE"""),"VINTAGE CREAM 3 BASKET CAKE STAND")</f>
        <v>VINTAGE CREAM 3 BASKET CAKE STAND</v>
      </c>
      <c r="K1129" s="1">
        <f ca="1">IFERROR(__xludf.DUMMYFUNCTION("""COMPUTED_VALUE"""),4)</f>
        <v>4</v>
      </c>
      <c r="L1129" s="1">
        <f ca="1">IFERROR(__xludf.DUMMYFUNCTION("""COMPUTED_VALUE"""),9.95)</f>
        <v>9.9499999999999993</v>
      </c>
      <c r="T1129" s="1">
        <f ca="1">IFERROR(__xludf.DUMMYFUNCTION("""COMPUTED_VALUE"""),489550)</f>
        <v>489550</v>
      </c>
      <c r="U1129" s="1">
        <f ca="1">IFERROR(__xludf.DUMMYFUNCTION("""COMPUTED_VALUE"""),39.8)</f>
        <v>39.799999999999997</v>
      </c>
    </row>
    <row r="1130" spans="1:21" ht="12.75" x14ac:dyDescent="0.2">
      <c r="A1130" s="3">
        <f ca="1">IFERROR(__xludf.DUMMYFUNCTION("""COMPUTED_VALUE"""),40148.5229166666)</f>
        <v>40148.522916666603</v>
      </c>
      <c r="B1130" s="1">
        <f ca="1">IFERROR(__xludf.DUMMYFUNCTION("""COMPUTED_VALUE"""),6.75)</f>
        <v>6.75</v>
      </c>
      <c r="E1130" s="1" t="str">
        <f ca="1">IFERROR(__xludf.DUMMYFUNCTION("""COMPUTED_VALUE"""),"PINK PILLAR CANDLE SILVER FLOCK")</f>
        <v>PINK PILLAR CANDLE SILVER FLOCK</v>
      </c>
      <c r="F1130" s="1">
        <f ca="1">IFERROR(__xludf.DUMMYFUNCTION("""COMPUTED_VALUE"""),2)</f>
        <v>2</v>
      </c>
      <c r="G1130" s="1">
        <f ca="1">IFERROR(__xludf.DUMMYFUNCTION("""COMPUTED_VALUE"""),2.95)</f>
        <v>2.95</v>
      </c>
      <c r="J1130" s="1" t="str">
        <f ca="1">IFERROR(__xludf.DUMMYFUNCTION("""COMPUTED_VALUE"""),"DOOR MAT NEW ENGLAND")</f>
        <v>DOOR MAT NEW ENGLAND</v>
      </c>
      <c r="K1130" s="1">
        <f ca="1">IFERROR(__xludf.DUMMYFUNCTION("""COMPUTED_VALUE"""),2)</f>
        <v>2</v>
      </c>
      <c r="L1130" s="1">
        <f ca="1">IFERROR(__xludf.DUMMYFUNCTION("""COMPUTED_VALUE"""),6.75)</f>
        <v>6.75</v>
      </c>
      <c r="T1130" s="1">
        <f ca="1">IFERROR(__xludf.DUMMYFUNCTION("""COMPUTED_VALUE"""),489550)</f>
        <v>489550</v>
      </c>
      <c r="U1130" s="1">
        <f ca="1">IFERROR(__xludf.DUMMYFUNCTION("""COMPUTED_VALUE"""),13.5)</f>
        <v>13.5</v>
      </c>
    </row>
    <row r="1131" spans="1:21" ht="12.75" x14ac:dyDescent="0.2">
      <c r="A1131" s="3">
        <f ca="1">IFERROR(__xludf.DUMMYFUNCTION("""COMPUTED_VALUE"""),40148.5229166666)</f>
        <v>40148.522916666603</v>
      </c>
      <c r="B1131" s="1">
        <f ca="1">IFERROR(__xludf.DUMMYFUNCTION("""COMPUTED_VALUE"""),6.75)</f>
        <v>6.75</v>
      </c>
      <c r="E1131" s="1" t="str">
        <f ca="1">IFERROR(__xludf.DUMMYFUNCTION("""COMPUTED_VALUE"""),"BLOKEY SILVER TOOL SET")</f>
        <v>BLOKEY SILVER TOOL SET</v>
      </c>
      <c r="F1131" s="1">
        <f ca="1">IFERROR(__xludf.DUMMYFUNCTION("""COMPUTED_VALUE"""),1)</f>
        <v>1</v>
      </c>
      <c r="G1131" s="1">
        <f ca="1">IFERROR(__xludf.DUMMYFUNCTION("""COMPUTED_VALUE"""),4.95)</f>
        <v>4.95</v>
      </c>
      <c r="J1131" s="1" t="str">
        <f ca="1">IFERROR(__xludf.DUMMYFUNCTION("""COMPUTED_VALUE"""),"FANCY FONT HOME SWEET HOME DOORMAT")</f>
        <v>FANCY FONT HOME SWEET HOME DOORMAT</v>
      </c>
      <c r="K1131" s="1">
        <f ca="1">IFERROR(__xludf.DUMMYFUNCTION("""COMPUTED_VALUE"""),2)</f>
        <v>2</v>
      </c>
      <c r="L1131" s="1">
        <f ca="1">IFERROR(__xludf.DUMMYFUNCTION("""COMPUTED_VALUE"""),6.75)</f>
        <v>6.75</v>
      </c>
      <c r="T1131" s="1">
        <f ca="1">IFERROR(__xludf.DUMMYFUNCTION("""COMPUTED_VALUE"""),489550)</f>
        <v>489550</v>
      </c>
      <c r="U1131" s="1">
        <f ca="1">IFERROR(__xludf.DUMMYFUNCTION("""COMPUTED_VALUE"""),13.5)</f>
        <v>13.5</v>
      </c>
    </row>
    <row r="1132" spans="1:21" ht="12.75" x14ac:dyDescent="0.2">
      <c r="A1132" s="3">
        <f ca="1">IFERROR(__xludf.DUMMYFUNCTION("""COMPUTED_VALUE"""),40148.5229166666)</f>
        <v>40148.522916666603</v>
      </c>
      <c r="B1132" s="1">
        <f ca="1">IFERROR(__xludf.DUMMYFUNCTION("""COMPUTED_VALUE"""),12.75)</f>
        <v>12.75</v>
      </c>
      <c r="E1132" s="1" t="str">
        <f ca="1">IFERROR(__xludf.DUMMYFUNCTION("""COMPUTED_VALUE"""),"GIRLY PINK TOOL SET")</f>
        <v>GIRLY PINK TOOL SET</v>
      </c>
      <c r="F1132" s="1">
        <f ca="1">IFERROR(__xludf.DUMMYFUNCTION("""COMPUTED_VALUE"""),1)</f>
        <v>1</v>
      </c>
      <c r="G1132" s="1">
        <f ca="1">IFERROR(__xludf.DUMMYFUNCTION("""COMPUTED_VALUE"""),4.95)</f>
        <v>4.95</v>
      </c>
      <c r="J1132" s="1" t="str">
        <f ca="1">IFERROR(__xludf.DUMMYFUNCTION("""COMPUTED_VALUE"""),"S/16 VINTAGE SKY BLUE CUTLERY")</f>
        <v>S/16 VINTAGE SKY BLUE CUTLERY</v>
      </c>
      <c r="K1132" s="1">
        <f ca="1">IFERROR(__xludf.DUMMYFUNCTION("""COMPUTED_VALUE"""),2)</f>
        <v>2</v>
      </c>
      <c r="L1132" s="1">
        <f ca="1">IFERROR(__xludf.DUMMYFUNCTION("""COMPUTED_VALUE"""),12.75)</f>
        <v>12.75</v>
      </c>
      <c r="T1132" s="1">
        <f ca="1">IFERROR(__xludf.DUMMYFUNCTION("""COMPUTED_VALUE"""),489550)</f>
        <v>489550</v>
      </c>
      <c r="U1132" s="1">
        <f ca="1">IFERROR(__xludf.DUMMYFUNCTION("""COMPUTED_VALUE"""),25.5)</f>
        <v>25.5</v>
      </c>
    </row>
    <row r="1133" spans="1:21" ht="12.75" x14ac:dyDescent="0.2">
      <c r="A1133" s="3">
        <f ca="1">IFERROR(__xludf.DUMMYFUNCTION("""COMPUTED_VALUE"""),40148.5229166666)</f>
        <v>40148.522916666603</v>
      </c>
      <c r="B1133" s="1">
        <f ca="1">IFERROR(__xludf.DUMMYFUNCTION("""COMPUTED_VALUE"""),12.75)</f>
        <v>12.75</v>
      </c>
      <c r="E1133" s="1" t="str">
        <f ca="1">IFERROR(__xludf.DUMMYFUNCTION("""COMPUTED_VALUE"""),"SET 3 RED SPOT TIN TEA,COFFEE,SUGAR")</f>
        <v>SET 3 RED SPOT TIN TEA,COFFEE,SUGAR</v>
      </c>
      <c r="F1133" s="1">
        <f ca="1">IFERROR(__xludf.DUMMYFUNCTION("""COMPUTED_VALUE"""),1)</f>
        <v>1</v>
      </c>
      <c r="G1133" s="1">
        <f ca="1">IFERROR(__xludf.DUMMYFUNCTION("""COMPUTED_VALUE"""),4.95)</f>
        <v>4.95</v>
      </c>
      <c r="J1133" s="1" t="str">
        <f ca="1">IFERROR(__xludf.DUMMYFUNCTION("""COMPUTED_VALUE"""),"S/16 VINTAGE IVORY CUTLERY")</f>
        <v>S/16 VINTAGE IVORY CUTLERY</v>
      </c>
      <c r="K1133" s="1">
        <f ca="1">IFERROR(__xludf.DUMMYFUNCTION("""COMPUTED_VALUE"""),2)</f>
        <v>2</v>
      </c>
      <c r="L1133" s="1">
        <f ca="1">IFERROR(__xludf.DUMMYFUNCTION("""COMPUTED_VALUE"""),12.75)</f>
        <v>12.75</v>
      </c>
      <c r="T1133" s="1">
        <f ca="1">IFERROR(__xludf.DUMMYFUNCTION("""COMPUTED_VALUE"""),489550)</f>
        <v>489550</v>
      </c>
      <c r="U1133" s="1">
        <f ca="1">IFERROR(__xludf.DUMMYFUNCTION("""COMPUTED_VALUE"""),25.5)</f>
        <v>25.5</v>
      </c>
    </row>
    <row r="1134" spans="1:21" ht="12.75" x14ac:dyDescent="0.2">
      <c r="A1134" s="3">
        <f ca="1">IFERROR(__xludf.DUMMYFUNCTION("""COMPUTED_VALUE"""),40148.5229166666)</f>
        <v>40148.522916666603</v>
      </c>
      <c r="B1134" s="1">
        <f ca="1">IFERROR(__xludf.DUMMYFUNCTION("""COMPUTED_VALUE"""),4.95)</f>
        <v>4.95</v>
      </c>
      <c r="E1134" s="1" t="str">
        <f ca="1">IFERROR(__xludf.DUMMYFUNCTION("""COMPUTED_VALUE"""),"RED SPOTTY BIG BOWL")</f>
        <v>RED SPOTTY BIG BOWL</v>
      </c>
      <c r="F1134" s="1">
        <f ca="1">IFERROR(__xludf.DUMMYFUNCTION("""COMPUTED_VALUE"""),1)</f>
        <v>1</v>
      </c>
      <c r="G1134" s="1">
        <f ca="1">IFERROR(__xludf.DUMMYFUNCTION("""COMPUTED_VALUE"""),4.95)</f>
        <v>4.95</v>
      </c>
      <c r="J1134" s="1" t="str">
        <f ca="1">IFERROR(__xludf.DUMMYFUNCTION("""COMPUTED_VALUE"""),"OPEN CLOSED METAL SIGN")</f>
        <v>OPEN CLOSED METAL SIGN</v>
      </c>
      <c r="K1134" s="1">
        <f ca="1">IFERROR(__xludf.DUMMYFUNCTION("""COMPUTED_VALUE"""),2)</f>
        <v>2</v>
      </c>
      <c r="L1134" s="1">
        <f ca="1">IFERROR(__xludf.DUMMYFUNCTION("""COMPUTED_VALUE"""),4.95)</f>
        <v>4.95</v>
      </c>
      <c r="T1134" s="1">
        <f ca="1">IFERROR(__xludf.DUMMYFUNCTION("""COMPUTED_VALUE"""),489550)</f>
        <v>489550</v>
      </c>
      <c r="U1134" s="1">
        <f ca="1">IFERROR(__xludf.DUMMYFUNCTION("""COMPUTED_VALUE"""),9.9)</f>
        <v>9.9</v>
      </c>
    </row>
    <row r="1135" spans="1:21" ht="12.75" x14ac:dyDescent="0.2">
      <c r="A1135" s="3">
        <f ca="1">IFERROR(__xludf.DUMMYFUNCTION("""COMPUTED_VALUE"""),40148.5229166666)</f>
        <v>40148.522916666603</v>
      </c>
      <c r="B1135" s="1">
        <f ca="1">IFERROR(__xludf.DUMMYFUNCTION("""COMPUTED_VALUE"""),14.95)</f>
        <v>14.95</v>
      </c>
      <c r="E1135" s="1" t="str">
        <f ca="1">IFERROR(__xludf.DUMMYFUNCTION("""COMPUTED_VALUE"""),"SET OF RED SALAD SERVERS")</f>
        <v>SET OF RED SALAD SERVERS</v>
      </c>
      <c r="F1135" s="1">
        <f ca="1">IFERROR(__xludf.DUMMYFUNCTION("""COMPUTED_VALUE"""),1)</f>
        <v>1</v>
      </c>
      <c r="G1135" s="1">
        <f ca="1">IFERROR(__xludf.DUMMYFUNCTION("""COMPUTED_VALUE"""),1.49)</f>
        <v>1.49</v>
      </c>
      <c r="J1135" s="1" t="str">
        <f ca="1">IFERROR(__xludf.DUMMYFUNCTION("""COMPUTED_VALUE"""),"PICCADILLY TEA SET")</f>
        <v>PICCADILLY TEA SET</v>
      </c>
      <c r="K1135" s="1">
        <f ca="1">IFERROR(__xludf.DUMMYFUNCTION("""COMPUTED_VALUE"""),2)</f>
        <v>2</v>
      </c>
      <c r="L1135" s="1">
        <f ca="1">IFERROR(__xludf.DUMMYFUNCTION("""COMPUTED_VALUE"""),14.95)</f>
        <v>14.95</v>
      </c>
      <c r="T1135" s="1">
        <f ca="1">IFERROR(__xludf.DUMMYFUNCTION("""COMPUTED_VALUE"""),489550)</f>
        <v>489550</v>
      </c>
      <c r="U1135" s="1">
        <f ca="1">IFERROR(__xludf.DUMMYFUNCTION("""COMPUTED_VALUE"""),29.9)</f>
        <v>29.9</v>
      </c>
    </row>
    <row r="1136" spans="1:21" ht="12.75" x14ac:dyDescent="0.2">
      <c r="A1136" s="3">
        <f ca="1">IFERROR(__xludf.DUMMYFUNCTION("""COMPUTED_VALUE"""),40148.5229166666)</f>
        <v>40148.522916666603</v>
      </c>
      <c r="B1136" s="1">
        <f ca="1">IFERROR(__xludf.DUMMYFUNCTION("""COMPUTED_VALUE"""),9.95)</f>
        <v>9.9499999999999993</v>
      </c>
      <c r="E1136" s="1" t="str">
        <f ca="1">IFERROR(__xludf.DUMMYFUNCTION("""COMPUTED_VALUE"""),"RED SPOTTY BISCUIT TIN")</f>
        <v>RED SPOTTY BISCUIT TIN</v>
      </c>
      <c r="F1136" s="1">
        <f ca="1">IFERROR(__xludf.DUMMYFUNCTION("""COMPUTED_VALUE"""),1)</f>
        <v>1</v>
      </c>
      <c r="G1136" s="1">
        <f ca="1">IFERROR(__xludf.DUMMYFUNCTION("""COMPUTED_VALUE"""),3.75)</f>
        <v>3.75</v>
      </c>
      <c r="J1136" s="1" t="str">
        <f ca="1">IFERROR(__xludf.DUMMYFUNCTION("""COMPUTED_VALUE"""),"TEA TIME TEAPOT IN GIFT BOX")</f>
        <v>TEA TIME TEAPOT IN GIFT BOX</v>
      </c>
      <c r="K1136" s="1">
        <f ca="1">IFERROR(__xludf.DUMMYFUNCTION("""COMPUTED_VALUE"""),2)</f>
        <v>2</v>
      </c>
      <c r="L1136" s="1">
        <f ca="1">IFERROR(__xludf.DUMMYFUNCTION("""COMPUTED_VALUE"""),9.95)</f>
        <v>9.9499999999999993</v>
      </c>
      <c r="T1136" s="1">
        <f ca="1">IFERROR(__xludf.DUMMYFUNCTION("""COMPUTED_VALUE"""),489550)</f>
        <v>489550</v>
      </c>
      <c r="U1136" s="1">
        <f ca="1">IFERROR(__xludf.DUMMYFUNCTION("""COMPUTED_VALUE"""),19.9)</f>
        <v>19.899999999999999</v>
      </c>
    </row>
    <row r="1137" spans="1:21" ht="12.75" x14ac:dyDescent="0.2">
      <c r="A1137" s="3">
        <f ca="1">IFERROR(__xludf.DUMMYFUNCTION("""COMPUTED_VALUE"""),40148.5229166666)</f>
        <v>40148.522916666603</v>
      </c>
      <c r="B1137" s="1">
        <f ca="1">IFERROR(__xludf.DUMMYFUNCTION("""COMPUTED_VALUE"""),7.95)</f>
        <v>7.95</v>
      </c>
      <c r="E1137" s="1" t="str">
        <f ca="1">IFERROR(__xludf.DUMMYFUNCTION("""COMPUTED_VALUE"""),"FAIRY CAKE CANDLES")</f>
        <v>FAIRY CAKE CANDLES</v>
      </c>
      <c r="F1137" s="1">
        <f ca="1">IFERROR(__xludf.DUMMYFUNCTION("""COMPUTED_VALUE"""),108)</f>
        <v>108</v>
      </c>
      <c r="G1137" s="1">
        <f ca="1">IFERROR(__xludf.DUMMYFUNCTION("""COMPUTED_VALUE"""),1.25)</f>
        <v>1.25</v>
      </c>
      <c r="J1137" s="1" t="str">
        <f ca="1">IFERROR(__xludf.DUMMYFUNCTION("""COMPUTED_VALUE"""),"WOODEN BOX ADVENT CALENDAR")</f>
        <v>WOODEN BOX ADVENT CALENDAR</v>
      </c>
      <c r="K1137" s="1">
        <f ca="1">IFERROR(__xludf.DUMMYFUNCTION("""COMPUTED_VALUE"""),-2)</f>
        <v>-2</v>
      </c>
      <c r="L1137" s="1">
        <f ca="1">IFERROR(__xludf.DUMMYFUNCTION("""COMPUTED_VALUE"""),7.95)</f>
        <v>7.95</v>
      </c>
      <c r="T1137" s="1"/>
      <c r="U1137" s="1">
        <f ca="1">IFERROR(__xludf.DUMMYFUNCTION("""COMPUTED_VALUE"""),-15.9)</f>
        <v>-15.9</v>
      </c>
    </row>
    <row r="1138" spans="1:21" ht="12.75" x14ac:dyDescent="0.2">
      <c r="A1138" s="3">
        <f ca="1">IFERROR(__xludf.DUMMYFUNCTION("""COMPUTED_VALUE"""),40148.5243055555)</f>
        <v>40148.524305555497</v>
      </c>
      <c r="B1138" s="1">
        <f ca="1">IFERROR(__xludf.DUMMYFUNCTION("""COMPUTED_VALUE"""),6.95)</f>
        <v>6.95</v>
      </c>
      <c r="E1138" s="1" t="str">
        <f ca="1">IFERROR(__xludf.DUMMYFUNCTION("""COMPUTED_VALUE"""),"STRAWBERRY CERAMIC TRINKET BOX")</f>
        <v>STRAWBERRY CERAMIC TRINKET BOX</v>
      </c>
      <c r="F1138" s="1">
        <f ca="1">IFERROR(__xludf.DUMMYFUNCTION("""COMPUTED_VALUE"""),24)</f>
        <v>24</v>
      </c>
      <c r="G1138" s="1">
        <f ca="1">IFERROR(__xludf.DUMMYFUNCTION("""COMPUTED_VALUE"""),1.25)</f>
        <v>1.25</v>
      </c>
      <c r="J1138" s="1" t="str">
        <f ca="1">IFERROR(__xludf.DUMMYFUNCTION("""COMPUTED_VALUE"""),"15CM CHRISTMAS GLASS BALL 20 LIGHTS")</f>
        <v>15CM CHRISTMAS GLASS BALL 20 LIGHTS</v>
      </c>
      <c r="K1138" s="1">
        <f ca="1">IFERROR(__xludf.DUMMYFUNCTION("""COMPUTED_VALUE"""),-1)</f>
        <v>-1</v>
      </c>
      <c r="L1138" s="1">
        <f ca="1">IFERROR(__xludf.DUMMYFUNCTION("""COMPUTED_VALUE"""),6.95)</f>
        <v>6.95</v>
      </c>
      <c r="T1138" s="1"/>
      <c r="U1138" s="1">
        <f ca="1">IFERROR(__xludf.DUMMYFUNCTION("""COMPUTED_VALUE"""),-6.95)</f>
        <v>-6.95</v>
      </c>
    </row>
    <row r="1139" spans="1:21" ht="12.75" x14ac:dyDescent="0.2">
      <c r="A1139" s="3">
        <f ca="1">IFERROR(__xludf.DUMMYFUNCTION("""COMPUTED_VALUE"""),40148.525)</f>
        <v>40148.525000000001</v>
      </c>
      <c r="B1139" s="1">
        <f ca="1">IFERROR(__xludf.DUMMYFUNCTION("""COMPUTED_VALUE"""),0.85)</f>
        <v>0.85</v>
      </c>
      <c r="E1139" s="1" t="str">
        <f ca="1">IFERROR(__xludf.DUMMYFUNCTION("""COMPUTED_VALUE"""),"SWEETHEART CERAMIC TRINKET BOX")</f>
        <v>SWEETHEART CERAMIC TRINKET BOX</v>
      </c>
      <c r="F1139" s="1">
        <f ca="1">IFERROR(__xludf.DUMMYFUNCTION("""COMPUTED_VALUE"""),24)</f>
        <v>24</v>
      </c>
      <c r="G1139" s="1">
        <f ca="1">IFERROR(__xludf.DUMMYFUNCTION("""COMPUTED_VALUE"""),1.25)</f>
        <v>1.25</v>
      </c>
      <c r="J1139" s="1" t="str">
        <f ca="1">IFERROR(__xludf.DUMMYFUNCTION("""COMPUTED_VALUE"""),"PARTY CONE CHRISTMAS DECORATION")</f>
        <v>PARTY CONE CHRISTMAS DECORATION</v>
      </c>
      <c r="K1139" s="1">
        <f ca="1">IFERROR(__xludf.DUMMYFUNCTION("""COMPUTED_VALUE"""),18)</f>
        <v>18</v>
      </c>
      <c r="L1139" s="1">
        <f ca="1">IFERROR(__xludf.DUMMYFUNCTION("""COMPUTED_VALUE"""),0.85)</f>
        <v>0.85</v>
      </c>
      <c r="T1139" s="1">
        <f ca="1">IFERROR(__xludf.DUMMYFUNCTION("""COMPUTED_VALUE"""),489552)</f>
        <v>489552</v>
      </c>
      <c r="U1139" s="1">
        <f ca="1">IFERROR(__xludf.DUMMYFUNCTION("""COMPUTED_VALUE"""),15.2999999999999)</f>
        <v>15.299999999999899</v>
      </c>
    </row>
    <row r="1140" spans="1:21" ht="12.75" x14ac:dyDescent="0.2">
      <c r="A1140" s="3">
        <f ca="1">IFERROR(__xludf.DUMMYFUNCTION("""COMPUTED_VALUE"""),40148.525)</f>
        <v>40148.525000000001</v>
      </c>
      <c r="B1140" s="1">
        <f ca="1">IFERROR(__xludf.DUMMYFUNCTION("""COMPUTED_VALUE"""),0.65)</f>
        <v>0.65</v>
      </c>
      <c r="E1140" s="1" t="str">
        <f ca="1">IFERROR(__xludf.DUMMYFUNCTION("""COMPUTED_VALUE"""),"TABLE LAMP WHITE SHADE WOOD BASE")</f>
        <v>TABLE LAMP WHITE SHADE WOOD BASE</v>
      </c>
      <c r="F1140" s="1">
        <f ca="1">IFERROR(__xludf.DUMMYFUNCTION("""COMPUTED_VALUE"""),12)</f>
        <v>12</v>
      </c>
      <c r="G1140" s="1">
        <f ca="1">IFERROR(__xludf.DUMMYFUNCTION("""COMPUTED_VALUE"""),4.65)</f>
        <v>4.6500000000000004</v>
      </c>
      <c r="J1140" s="1" t="str">
        <f ca="1">IFERROR(__xludf.DUMMYFUNCTION("""COMPUTED_VALUE"""),"KEY FOB , FRONT  DOOR ")</f>
        <v xml:space="preserve">KEY FOB , FRONT  DOOR </v>
      </c>
      <c r="K1140" s="1">
        <f ca="1">IFERROR(__xludf.DUMMYFUNCTION("""COMPUTED_VALUE"""),12)</f>
        <v>12</v>
      </c>
      <c r="L1140" s="1">
        <f ca="1">IFERROR(__xludf.DUMMYFUNCTION("""COMPUTED_VALUE"""),0.65)</f>
        <v>0.65</v>
      </c>
      <c r="T1140" s="1">
        <f ca="1">IFERROR(__xludf.DUMMYFUNCTION("""COMPUTED_VALUE"""),489552)</f>
        <v>489552</v>
      </c>
      <c r="U1140" s="1">
        <f ca="1">IFERROR(__xludf.DUMMYFUNCTION("""COMPUTED_VALUE"""),7.8)</f>
        <v>7.8</v>
      </c>
    </row>
    <row r="1141" spans="1:21" ht="12.75" x14ac:dyDescent="0.2">
      <c r="A1141" s="3">
        <f ca="1">IFERROR(__xludf.DUMMYFUNCTION("""COMPUTED_VALUE"""),40148.525)</f>
        <v>40148.525000000001</v>
      </c>
      <c r="B1141" s="1">
        <f ca="1">IFERROR(__xludf.DUMMYFUNCTION("""COMPUTED_VALUE"""),0.65)</f>
        <v>0.65</v>
      </c>
      <c r="E1141" s="1" t="str">
        <f ca="1">IFERROR(__xludf.DUMMYFUNCTION("""COMPUTED_VALUE"""),"S/4 CACTI CANDLES")</f>
        <v>S/4 CACTI CANDLES</v>
      </c>
      <c r="F1141" s="1">
        <f ca="1">IFERROR(__xludf.DUMMYFUNCTION("""COMPUTED_VALUE"""),1)</f>
        <v>1</v>
      </c>
      <c r="G1141" s="1">
        <f ca="1">IFERROR(__xludf.DUMMYFUNCTION("""COMPUTED_VALUE"""),4.95)</f>
        <v>4.95</v>
      </c>
      <c r="J1141" s="1" t="str">
        <f ca="1">IFERROR(__xludf.DUMMYFUNCTION("""COMPUTED_VALUE"""),"KEY FOB , BACK DOOR ")</f>
        <v xml:space="preserve">KEY FOB , BACK DOOR </v>
      </c>
      <c r="K1141" s="1">
        <f ca="1">IFERROR(__xludf.DUMMYFUNCTION("""COMPUTED_VALUE"""),10)</f>
        <v>10</v>
      </c>
      <c r="L1141" s="1">
        <f ca="1">IFERROR(__xludf.DUMMYFUNCTION("""COMPUTED_VALUE"""),0.65)</f>
        <v>0.65</v>
      </c>
      <c r="T1141" s="1">
        <f ca="1">IFERROR(__xludf.DUMMYFUNCTION("""COMPUTED_VALUE"""),489552)</f>
        <v>489552</v>
      </c>
      <c r="U1141" s="1">
        <f ca="1">IFERROR(__xludf.DUMMYFUNCTION("""COMPUTED_VALUE"""),6.5)</f>
        <v>6.5</v>
      </c>
    </row>
    <row r="1142" spans="1:21" ht="12.75" x14ac:dyDescent="0.2">
      <c r="A1142" s="3">
        <f ca="1">IFERROR(__xludf.DUMMYFUNCTION("""COMPUTED_VALUE"""),40148.525)</f>
        <v>40148.525000000001</v>
      </c>
      <c r="B1142" s="1">
        <f ca="1">IFERROR(__xludf.DUMMYFUNCTION("""COMPUTED_VALUE"""),0.65)</f>
        <v>0.65</v>
      </c>
      <c r="E1142" s="1" t="str">
        <f ca="1">IFERROR(__xludf.DUMMYFUNCTION("""COMPUTED_VALUE"""),"SILVER BLUE EGG T-LIGHT HOLDER")</f>
        <v>SILVER BLUE EGG T-LIGHT HOLDER</v>
      </c>
      <c r="F1142" s="1">
        <f ca="1">IFERROR(__xludf.DUMMYFUNCTION("""COMPUTED_VALUE"""),1)</f>
        <v>1</v>
      </c>
      <c r="G1142" s="1">
        <f ca="1">IFERROR(__xludf.DUMMYFUNCTION("""COMPUTED_VALUE"""),1.65)</f>
        <v>1.65</v>
      </c>
      <c r="J1142" s="1" t="str">
        <f ca="1">IFERROR(__xludf.DUMMYFUNCTION("""COMPUTED_VALUE"""),"KEY FOB , SHED")</f>
        <v>KEY FOB , SHED</v>
      </c>
      <c r="K1142" s="1">
        <f ca="1">IFERROR(__xludf.DUMMYFUNCTION("""COMPUTED_VALUE"""),10)</f>
        <v>10</v>
      </c>
      <c r="L1142" s="1">
        <f ca="1">IFERROR(__xludf.DUMMYFUNCTION("""COMPUTED_VALUE"""),0.65)</f>
        <v>0.65</v>
      </c>
      <c r="T1142" s="1">
        <f ca="1">IFERROR(__xludf.DUMMYFUNCTION("""COMPUTED_VALUE"""),489552)</f>
        <v>489552</v>
      </c>
      <c r="U1142" s="1">
        <f ca="1">IFERROR(__xludf.DUMMYFUNCTION("""COMPUTED_VALUE"""),6.5)</f>
        <v>6.5</v>
      </c>
    </row>
    <row r="1143" spans="1:21" ht="12.75" x14ac:dyDescent="0.2">
      <c r="A1143" s="3">
        <f ca="1">IFERROR(__xludf.DUMMYFUNCTION("""COMPUTED_VALUE"""),40148.525)</f>
        <v>40148.525000000001</v>
      </c>
      <c r="B1143" s="1">
        <f ca="1">IFERROR(__xludf.DUMMYFUNCTION("""COMPUTED_VALUE"""),3.75)</f>
        <v>3.75</v>
      </c>
      <c r="E1143" s="1" t="str">
        <f ca="1">IFERROR(__xludf.DUMMYFUNCTION("""COMPUTED_VALUE"""),"HOT WATER BOTTLE TEA AND SYMPATHY")</f>
        <v>HOT WATER BOTTLE TEA AND SYMPATHY</v>
      </c>
      <c r="F1143" s="1">
        <f ca="1">IFERROR(__xludf.DUMMYFUNCTION("""COMPUTED_VALUE"""),1)</f>
        <v>1</v>
      </c>
      <c r="G1143" s="1">
        <f ca="1">IFERROR(__xludf.DUMMYFUNCTION("""COMPUTED_VALUE"""),3.95)</f>
        <v>3.95</v>
      </c>
      <c r="J1143" s="1" t="str">
        <f ca="1">IFERROR(__xludf.DUMMYFUNCTION("""COMPUTED_VALUE"""),"WHITE SKULL HOT WATER BOTTLE")</f>
        <v>WHITE SKULL HOT WATER BOTTLE</v>
      </c>
      <c r="K1143" s="1">
        <f ca="1">IFERROR(__xludf.DUMMYFUNCTION("""COMPUTED_VALUE"""),10)</f>
        <v>10</v>
      </c>
      <c r="L1143" s="1">
        <f ca="1">IFERROR(__xludf.DUMMYFUNCTION("""COMPUTED_VALUE"""),3.75)</f>
        <v>3.75</v>
      </c>
      <c r="T1143" s="1">
        <f ca="1">IFERROR(__xludf.DUMMYFUNCTION("""COMPUTED_VALUE"""),489552)</f>
        <v>489552</v>
      </c>
      <c r="U1143" s="1">
        <f ca="1">IFERROR(__xludf.DUMMYFUNCTION("""COMPUTED_VALUE"""),37.5)</f>
        <v>37.5</v>
      </c>
    </row>
    <row r="1144" spans="1:21" ht="12.75" x14ac:dyDescent="0.2">
      <c r="A1144" s="3">
        <f ca="1">IFERROR(__xludf.DUMMYFUNCTION("""COMPUTED_VALUE"""),40148.525)</f>
        <v>40148.525000000001</v>
      </c>
      <c r="B1144" s="1">
        <f ca="1">IFERROR(__xludf.DUMMYFUNCTION("""COMPUTED_VALUE"""),1.49)</f>
        <v>1.49</v>
      </c>
      <c r="E1144" s="1" t="str">
        <f ca="1">IFERROR(__xludf.DUMMYFUNCTION("""COMPUTED_VALUE"""),"PREMIUM CHURCH CANDLE")</f>
        <v>PREMIUM CHURCH CANDLE</v>
      </c>
      <c r="F1144" s="1">
        <f ca="1">IFERROR(__xludf.DUMMYFUNCTION("""COMPUTED_VALUE"""),1)</f>
        <v>1</v>
      </c>
      <c r="G1144" s="1">
        <f ca="1">IFERROR(__xludf.DUMMYFUNCTION("""COMPUTED_VALUE"""),2.1)</f>
        <v>2.1</v>
      </c>
      <c r="J1144" s="1" t="str">
        <f ca="1">IFERROR(__xludf.DUMMYFUNCTION("""COMPUTED_VALUE"""),"FAIRY CAKE CANDLES")</f>
        <v>FAIRY CAKE CANDLES</v>
      </c>
      <c r="K1144" s="1">
        <f ca="1">IFERROR(__xludf.DUMMYFUNCTION("""COMPUTED_VALUE"""),9)</f>
        <v>9</v>
      </c>
      <c r="L1144" s="1">
        <f ca="1">IFERROR(__xludf.DUMMYFUNCTION("""COMPUTED_VALUE"""),1.49)</f>
        <v>1.49</v>
      </c>
      <c r="T1144" s="1">
        <f ca="1">IFERROR(__xludf.DUMMYFUNCTION("""COMPUTED_VALUE"""),489552)</f>
        <v>489552</v>
      </c>
      <c r="U1144" s="1">
        <f ca="1">IFERROR(__xludf.DUMMYFUNCTION("""COMPUTED_VALUE"""),13.41)</f>
        <v>13.41</v>
      </c>
    </row>
    <row r="1145" spans="1:21" ht="12.75" x14ac:dyDescent="0.2">
      <c r="A1145" s="3">
        <f ca="1">IFERROR(__xludf.DUMMYFUNCTION("""COMPUTED_VALUE"""),40148.525)</f>
        <v>40148.525000000001</v>
      </c>
      <c r="B1145" s="1">
        <f ca="1">IFERROR(__xludf.DUMMYFUNCTION("""COMPUTED_VALUE"""),4.95)</f>
        <v>4.95</v>
      </c>
      <c r="E1145" s="1" t="str">
        <f ca="1">IFERROR(__xludf.DUMMYFUNCTION("""COMPUTED_VALUE"""),"RED ROSE AND LACE C/COVER")</f>
        <v>RED ROSE AND LACE C/COVER</v>
      </c>
      <c r="F1145" s="1">
        <f ca="1">IFERROR(__xludf.DUMMYFUNCTION("""COMPUTED_VALUE"""),18)</f>
        <v>18</v>
      </c>
      <c r="G1145" s="1">
        <f ca="1">IFERROR(__xludf.DUMMYFUNCTION("""COMPUTED_VALUE"""),2.95)</f>
        <v>2.95</v>
      </c>
      <c r="J1145" s="1" t="str">
        <f ca="1">IFERROR(__xludf.DUMMYFUNCTION("""COMPUTED_VALUE"""),"SCOTTIE DOG HOT WATER BOTTLE")</f>
        <v>SCOTTIE DOG HOT WATER BOTTLE</v>
      </c>
      <c r="K1145" s="1">
        <f ca="1">IFERROR(__xludf.DUMMYFUNCTION("""COMPUTED_VALUE"""),8)</f>
        <v>8</v>
      </c>
      <c r="L1145" s="1">
        <f ca="1">IFERROR(__xludf.DUMMYFUNCTION("""COMPUTED_VALUE"""),4.95)</f>
        <v>4.95</v>
      </c>
      <c r="T1145" s="1">
        <f ca="1">IFERROR(__xludf.DUMMYFUNCTION("""COMPUTED_VALUE"""),489552)</f>
        <v>489552</v>
      </c>
      <c r="U1145" s="1">
        <f ca="1">IFERROR(__xludf.DUMMYFUNCTION("""COMPUTED_VALUE"""),39.6)</f>
        <v>39.6</v>
      </c>
    </row>
    <row r="1146" spans="1:21" ht="12.75" x14ac:dyDescent="0.2">
      <c r="A1146" s="3">
        <f ca="1">IFERROR(__xludf.DUMMYFUNCTION("""COMPUTED_VALUE"""),40148.525)</f>
        <v>40148.525000000001</v>
      </c>
      <c r="B1146" s="1">
        <f ca="1">IFERROR(__xludf.DUMMYFUNCTION("""COMPUTED_VALUE"""),3.75)</f>
        <v>3.75</v>
      </c>
      <c r="E1146" s="1" t="str">
        <f ca="1">IFERROR(__xludf.DUMMYFUNCTION("""COMPUTED_VALUE"""),"ORIENTAL RED C/COVER")</f>
        <v>ORIENTAL RED C/COVER</v>
      </c>
      <c r="F1146" s="1">
        <f ca="1">IFERROR(__xludf.DUMMYFUNCTION("""COMPUTED_VALUE"""),12)</f>
        <v>12</v>
      </c>
      <c r="G1146" s="1">
        <f ca="1">IFERROR(__xludf.DUMMYFUNCTION("""COMPUTED_VALUE"""),4.25)</f>
        <v>4.25</v>
      </c>
      <c r="J1146" s="1" t="str">
        <f ca="1">IFERROR(__xludf.DUMMYFUNCTION("""COMPUTED_VALUE"""),"GREEN 3 PIECE MINI DOTS CUTLERY SET")</f>
        <v>GREEN 3 PIECE MINI DOTS CUTLERY SET</v>
      </c>
      <c r="K1146" s="1">
        <f ca="1">IFERROR(__xludf.DUMMYFUNCTION("""COMPUTED_VALUE"""),6)</f>
        <v>6</v>
      </c>
      <c r="L1146" s="1">
        <f ca="1">IFERROR(__xludf.DUMMYFUNCTION("""COMPUTED_VALUE"""),3.75)</f>
        <v>3.75</v>
      </c>
      <c r="T1146" s="1">
        <f ca="1">IFERROR(__xludf.DUMMYFUNCTION("""COMPUTED_VALUE"""),489552)</f>
        <v>489552</v>
      </c>
      <c r="U1146" s="1">
        <f ca="1">IFERROR(__xludf.DUMMYFUNCTION("""COMPUTED_VALUE"""),22.5)</f>
        <v>22.5</v>
      </c>
    </row>
    <row r="1147" spans="1:21" ht="12.75" x14ac:dyDescent="0.2">
      <c r="A1147" s="3">
        <f ca="1">IFERROR(__xludf.DUMMYFUNCTION("""COMPUTED_VALUE"""),40148.525)</f>
        <v>40148.525000000001</v>
      </c>
      <c r="B1147" s="1">
        <f ca="1">IFERROR(__xludf.DUMMYFUNCTION("""COMPUTED_VALUE"""),3.75)</f>
        <v>3.75</v>
      </c>
      <c r="E1147" s="1" t="str">
        <f ca="1">IFERROR(__xludf.DUMMYFUNCTION("""COMPUTED_VALUE"""),"PURPLE PILLAR CANDLE BLACK FLOCK")</f>
        <v>PURPLE PILLAR CANDLE BLACK FLOCK</v>
      </c>
      <c r="F1147" s="1">
        <f ca="1">IFERROR(__xludf.DUMMYFUNCTION("""COMPUTED_VALUE"""),10)</f>
        <v>10</v>
      </c>
      <c r="G1147" s="1">
        <f ca="1">IFERROR(__xludf.DUMMYFUNCTION("""COMPUTED_VALUE"""),2.95)</f>
        <v>2.95</v>
      </c>
      <c r="J1147" s="1" t="str">
        <f ca="1">IFERROR(__xludf.DUMMYFUNCTION("""COMPUTED_VALUE"""),"PINK 3 PIECE MINI DOTS CUTLERY SET")</f>
        <v>PINK 3 PIECE MINI DOTS CUTLERY SET</v>
      </c>
      <c r="K1147" s="1">
        <f ca="1">IFERROR(__xludf.DUMMYFUNCTION("""COMPUTED_VALUE"""),6)</f>
        <v>6</v>
      </c>
      <c r="L1147" s="1">
        <f ca="1">IFERROR(__xludf.DUMMYFUNCTION("""COMPUTED_VALUE"""),3.75)</f>
        <v>3.75</v>
      </c>
      <c r="T1147" s="1">
        <f ca="1">IFERROR(__xludf.DUMMYFUNCTION("""COMPUTED_VALUE"""),489552)</f>
        <v>489552</v>
      </c>
      <c r="U1147" s="1">
        <f ca="1">IFERROR(__xludf.DUMMYFUNCTION("""COMPUTED_VALUE"""),22.5)</f>
        <v>22.5</v>
      </c>
    </row>
    <row r="1148" spans="1:21" ht="12.75" x14ac:dyDescent="0.2">
      <c r="A1148" s="3">
        <f ca="1">IFERROR(__xludf.DUMMYFUNCTION("""COMPUTED_VALUE"""),40148.525)</f>
        <v>40148.525000000001</v>
      </c>
      <c r="B1148" s="1">
        <f ca="1">IFERROR(__xludf.DUMMYFUNCTION("""COMPUTED_VALUE"""),3.75)</f>
        <v>3.75</v>
      </c>
      <c r="E1148" s="1" t="str">
        <f ca="1">IFERROR(__xludf.DUMMYFUNCTION("""COMPUTED_VALUE"""),"NEW BAROQUE IVORY CUSHION COVER")</f>
        <v>NEW BAROQUE IVORY CUSHION COVER</v>
      </c>
      <c r="F1148" s="1">
        <f ca="1">IFERROR(__xludf.DUMMYFUNCTION("""COMPUTED_VALUE"""),6)</f>
        <v>6</v>
      </c>
      <c r="G1148" s="1">
        <f ca="1">IFERROR(__xludf.DUMMYFUNCTION("""COMPUTED_VALUE"""),2.95)</f>
        <v>2.95</v>
      </c>
      <c r="J1148" s="1" t="str">
        <f ca="1">IFERROR(__xludf.DUMMYFUNCTION("""COMPUTED_VALUE"""),"RED 3 PIECE MINI DOTS CUTLERY SET")</f>
        <v>RED 3 PIECE MINI DOTS CUTLERY SET</v>
      </c>
      <c r="K1148" s="1">
        <f ca="1">IFERROR(__xludf.DUMMYFUNCTION("""COMPUTED_VALUE"""),6)</f>
        <v>6</v>
      </c>
      <c r="L1148" s="1">
        <f ca="1">IFERROR(__xludf.DUMMYFUNCTION("""COMPUTED_VALUE"""),3.75)</f>
        <v>3.75</v>
      </c>
      <c r="T1148" s="1">
        <f ca="1">IFERROR(__xludf.DUMMYFUNCTION("""COMPUTED_VALUE"""),489552)</f>
        <v>489552</v>
      </c>
      <c r="U1148" s="1">
        <f ca="1">IFERROR(__xludf.DUMMYFUNCTION("""COMPUTED_VALUE"""),22.5)</f>
        <v>22.5</v>
      </c>
    </row>
    <row r="1149" spans="1:21" ht="12.75" x14ac:dyDescent="0.2">
      <c r="A1149" s="3">
        <f ca="1">IFERROR(__xludf.DUMMYFUNCTION("""COMPUTED_VALUE"""),40148.525)</f>
        <v>40148.525000000001</v>
      </c>
      <c r="B1149" s="1">
        <f ca="1">IFERROR(__xludf.DUMMYFUNCTION("""COMPUTED_VALUE"""),3.75)</f>
        <v>3.75</v>
      </c>
      <c r="E1149" s="1" t="str">
        <f ca="1">IFERROR(__xludf.DUMMYFUNCTION("""COMPUTED_VALUE"""),"SET/3 OCEAN SCENT CANDLE JEWEL BOX")</f>
        <v>SET/3 OCEAN SCENT CANDLE JEWEL BOX</v>
      </c>
      <c r="F1149" s="1">
        <f ca="1">IFERROR(__xludf.DUMMYFUNCTION("""COMPUTED_VALUE"""),-1)</f>
        <v>-1</v>
      </c>
      <c r="G1149" s="1">
        <f ca="1">IFERROR(__xludf.DUMMYFUNCTION("""COMPUTED_VALUE"""),4.25)</f>
        <v>4.25</v>
      </c>
      <c r="J1149" s="1" t="str">
        <f ca="1">IFERROR(__xludf.DUMMYFUNCTION("""COMPUTED_VALUE"""),"BLUE 3 PIECE MINI DOTS CUTLERY SET")</f>
        <v>BLUE 3 PIECE MINI DOTS CUTLERY SET</v>
      </c>
      <c r="K1149" s="1">
        <f ca="1">IFERROR(__xludf.DUMMYFUNCTION("""COMPUTED_VALUE"""),6)</f>
        <v>6</v>
      </c>
      <c r="L1149" s="1">
        <f ca="1">IFERROR(__xludf.DUMMYFUNCTION("""COMPUTED_VALUE"""),3.75)</f>
        <v>3.75</v>
      </c>
      <c r="T1149" s="1">
        <f ca="1">IFERROR(__xludf.DUMMYFUNCTION("""COMPUTED_VALUE"""),489552)</f>
        <v>489552</v>
      </c>
      <c r="U1149" s="1">
        <f ca="1">IFERROR(__xludf.DUMMYFUNCTION("""COMPUTED_VALUE"""),22.5)</f>
        <v>22.5</v>
      </c>
    </row>
    <row r="1150" spans="1:21" ht="12.75" x14ac:dyDescent="0.2">
      <c r="A1150" s="3">
        <f ca="1">IFERROR(__xludf.DUMMYFUNCTION("""COMPUTED_VALUE"""),40148.525)</f>
        <v>40148.525000000001</v>
      </c>
      <c r="B1150" s="1">
        <f ca="1">IFERROR(__xludf.DUMMYFUNCTION("""COMPUTED_VALUE"""),1.45)</f>
        <v>1.45</v>
      </c>
      <c r="E1150" s="1" t="str">
        <f ca="1">IFERROR(__xludf.DUMMYFUNCTION("""COMPUTED_VALUE"""),"VANILLA SCENT CANDLE JEWELLED BOX")</f>
        <v>VANILLA SCENT CANDLE JEWELLED BOX</v>
      </c>
      <c r="F1150" s="1">
        <f ca="1">IFERROR(__xludf.DUMMYFUNCTION("""COMPUTED_VALUE"""),-1)</f>
        <v>-1</v>
      </c>
      <c r="G1150" s="1">
        <f ca="1">IFERROR(__xludf.DUMMYFUNCTION("""COMPUTED_VALUE"""),4.25)</f>
        <v>4.25</v>
      </c>
      <c r="J1150" s="1" t="str">
        <f ca="1">IFERROR(__xludf.DUMMYFUNCTION("""COMPUTED_VALUE"""),"TOXIC AREA  DOOR HANGER")</f>
        <v>TOXIC AREA  DOOR HANGER</v>
      </c>
      <c r="K1150" s="1">
        <f ca="1">IFERROR(__xludf.DUMMYFUNCTION("""COMPUTED_VALUE"""),4)</f>
        <v>4</v>
      </c>
      <c r="L1150" s="1">
        <f ca="1">IFERROR(__xludf.DUMMYFUNCTION("""COMPUTED_VALUE"""),1.45)</f>
        <v>1.45</v>
      </c>
      <c r="T1150" s="1">
        <f ca="1">IFERROR(__xludf.DUMMYFUNCTION("""COMPUTED_VALUE"""),489552)</f>
        <v>489552</v>
      </c>
      <c r="U1150" s="1">
        <f ca="1">IFERROR(__xludf.DUMMYFUNCTION("""COMPUTED_VALUE"""),5.8)</f>
        <v>5.8</v>
      </c>
    </row>
    <row r="1151" spans="1:21" ht="12.75" x14ac:dyDescent="0.2">
      <c r="A1151" s="3">
        <f ca="1">IFERROR(__xludf.DUMMYFUNCTION("""COMPUTED_VALUE"""),40148.525)</f>
        <v>40148.525000000001</v>
      </c>
      <c r="B1151" s="1">
        <f ca="1">IFERROR(__xludf.DUMMYFUNCTION("""COMPUTED_VALUE"""),1.25)</f>
        <v>1.25</v>
      </c>
      <c r="E1151" s="1" t="str">
        <f ca="1">IFERROR(__xludf.DUMMYFUNCTION("""COMPUTED_VALUE"""),"OCEAN SCENT CANDLE IN JEWELLED BOX")</f>
        <v>OCEAN SCENT CANDLE IN JEWELLED BOX</v>
      </c>
      <c r="F1151" s="1">
        <f ca="1">IFERROR(__xludf.DUMMYFUNCTION("""COMPUTED_VALUE"""),-2)</f>
        <v>-2</v>
      </c>
      <c r="G1151" s="1">
        <f ca="1">IFERROR(__xludf.DUMMYFUNCTION("""COMPUTED_VALUE"""),4.25)</f>
        <v>4.25</v>
      </c>
      <c r="J1151" s="1" t="str">
        <f ca="1">IFERROR(__xludf.DUMMYFUNCTION("""COMPUTED_VALUE"""),"CHOCOLATE BOX RIBBONS")</f>
        <v>CHOCOLATE BOX RIBBONS</v>
      </c>
      <c r="K1151" s="1">
        <f ca="1">IFERROR(__xludf.DUMMYFUNCTION("""COMPUTED_VALUE"""),3)</f>
        <v>3</v>
      </c>
      <c r="L1151" s="1">
        <f ca="1">IFERROR(__xludf.DUMMYFUNCTION("""COMPUTED_VALUE"""),1.25)</f>
        <v>1.25</v>
      </c>
      <c r="T1151" s="1">
        <f ca="1">IFERROR(__xludf.DUMMYFUNCTION("""COMPUTED_VALUE"""),489552)</f>
        <v>489552</v>
      </c>
      <c r="U1151" s="1">
        <f ca="1">IFERROR(__xludf.DUMMYFUNCTION("""COMPUTED_VALUE"""),3.75)</f>
        <v>3.75</v>
      </c>
    </row>
    <row r="1152" spans="1:21" ht="12.75" x14ac:dyDescent="0.2">
      <c r="A1152" s="3">
        <f ca="1">IFERROR(__xludf.DUMMYFUNCTION("""COMPUTED_VALUE"""),40148.525)</f>
        <v>40148.525000000001</v>
      </c>
      <c r="B1152" s="1">
        <f ca="1">IFERROR(__xludf.DUMMYFUNCTION("""COMPUTED_VALUE"""),1.95)</f>
        <v>1.95</v>
      </c>
      <c r="E1152" s="1" t="str">
        <f ca="1">IFERROR(__xludf.DUMMYFUNCTION("""COMPUTED_VALUE"""),"PAINTED BIRD ASSORTED CHRISTMAS")</f>
        <v>PAINTED BIRD ASSORTED CHRISTMAS</v>
      </c>
      <c r="F1152" s="1">
        <f ca="1">IFERROR(__xludf.DUMMYFUNCTION("""COMPUTED_VALUE"""),24)</f>
        <v>24</v>
      </c>
      <c r="G1152" s="1">
        <f ca="1">IFERROR(__xludf.DUMMYFUNCTION("""COMPUTED_VALUE"""),1.69)</f>
        <v>1.69</v>
      </c>
      <c r="J1152" s="1" t="str">
        <f ca="1">IFERROR(__xludf.DUMMYFUNCTION("""COMPUTED_VALUE"""),"SET OF THREE 50'S GIFT WRAPS")</f>
        <v>SET OF THREE 50'S GIFT WRAPS</v>
      </c>
      <c r="K1152" s="1">
        <f ca="1">IFERROR(__xludf.DUMMYFUNCTION("""COMPUTED_VALUE"""),3)</f>
        <v>3</v>
      </c>
      <c r="L1152" s="1">
        <f ca="1">IFERROR(__xludf.DUMMYFUNCTION("""COMPUTED_VALUE"""),1.95)</f>
        <v>1.95</v>
      </c>
      <c r="T1152" s="1">
        <f ca="1">IFERROR(__xludf.DUMMYFUNCTION("""COMPUTED_VALUE"""),489552)</f>
        <v>489552</v>
      </c>
      <c r="U1152" s="1">
        <f ca="1">IFERROR(__xludf.DUMMYFUNCTION("""COMPUTED_VALUE"""),5.85)</f>
        <v>5.85</v>
      </c>
    </row>
    <row r="1153" spans="1:21" ht="12.75" x14ac:dyDescent="0.2">
      <c r="A1153" s="3">
        <f ca="1">IFERROR(__xludf.DUMMYFUNCTION("""COMPUTED_VALUE"""),40148.525)</f>
        <v>40148.525000000001</v>
      </c>
      <c r="B1153" s="1">
        <f ca="1">IFERROR(__xludf.DUMMYFUNCTION("""COMPUTED_VALUE"""),1.65)</f>
        <v>1.65</v>
      </c>
      <c r="E1153" s="1" t="str">
        <f ca="1">IFERROR(__xludf.DUMMYFUNCTION("""COMPUTED_VALUE"""),"ASSORTED COLOUR BIRD ORNAMENT")</f>
        <v>ASSORTED COLOUR BIRD ORNAMENT</v>
      </c>
      <c r="F1153" s="1">
        <f ca="1">IFERROR(__xludf.DUMMYFUNCTION("""COMPUTED_VALUE"""),16)</f>
        <v>16</v>
      </c>
      <c r="G1153" s="1">
        <f ca="1">IFERROR(__xludf.DUMMYFUNCTION("""COMPUTED_VALUE"""),1.69)</f>
        <v>1.69</v>
      </c>
      <c r="J1153" s="1" t="str">
        <f ca="1">IFERROR(__xludf.DUMMYFUNCTION("""COMPUTED_VALUE"""),"RIBBON REEL HEARTS DESIGN")</f>
        <v>RIBBON REEL HEARTS DESIGN</v>
      </c>
      <c r="K1153" s="1">
        <f ca="1">IFERROR(__xludf.DUMMYFUNCTION("""COMPUTED_VALUE"""),2)</f>
        <v>2</v>
      </c>
      <c r="L1153" s="1">
        <f ca="1">IFERROR(__xludf.DUMMYFUNCTION("""COMPUTED_VALUE"""),1.65)</f>
        <v>1.65</v>
      </c>
      <c r="T1153" s="1">
        <f ca="1">IFERROR(__xludf.DUMMYFUNCTION("""COMPUTED_VALUE"""),489552)</f>
        <v>489552</v>
      </c>
      <c r="U1153" s="1">
        <f ca="1">IFERROR(__xludf.DUMMYFUNCTION("""COMPUTED_VALUE"""),3.3)</f>
        <v>3.3</v>
      </c>
    </row>
    <row r="1154" spans="1:21" ht="12.75" x14ac:dyDescent="0.2">
      <c r="A1154" s="3">
        <f ca="1">IFERROR(__xludf.DUMMYFUNCTION("""COMPUTED_VALUE"""),40148.525)</f>
        <v>40148.525000000001</v>
      </c>
      <c r="B1154" s="1">
        <f ca="1">IFERROR(__xludf.DUMMYFUNCTION("""COMPUTED_VALUE"""),1.25)</f>
        <v>1.25</v>
      </c>
      <c r="E1154" s="1" t="str">
        <f ca="1">IFERROR(__xludf.DUMMYFUNCTION("""COMPUTED_VALUE"""),"HAND OPEN SHAPE DECO.WHITE")</f>
        <v>HAND OPEN SHAPE DECO.WHITE</v>
      </c>
      <c r="F1154" s="1">
        <f ca="1">IFERROR(__xludf.DUMMYFUNCTION("""COMPUTED_VALUE"""),36)</f>
        <v>36</v>
      </c>
      <c r="G1154" s="1">
        <f ca="1">IFERROR(__xludf.DUMMYFUNCTION("""COMPUTED_VALUE"""),2.95)</f>
        <v>2.95</v>
      </c>
      <c r="J1154" s="1" t="str">
        <f ca="1">IFERROR(__xludf.DUMMYFUNCTION("""COMPUTED_VALUE"""),"SET/4 BADGES WOODLAND ANIMAL")</f>
        <v>SET/4 BADGES WOODLAND ANIMAL</v>
      </c>
      <c r="K1154" s="1">
        <f ca="1">IFERROR(__xludf.DUMMYFUNCTION("""COMPUTED_VALUE"""),2)</f>
        <v>2</v>
      </c>
      <c r="L1154" s="1">
        <f ca="1">IFERROR(__xludf.DUMMYFUNCTION("""COMPUTED_VALUE"""),1.25)</f>
        <v>1.25</v>
      </c>
      <c r="T1154" s="1">
        <f ca="1">IFERROR(__xludf.DUMMYFUNCTION("""COMPUTED_VALUE"""),489552)</f>
        <v>489552</v>
      </c>
      <c r="U1154" s="1">
        <f ca="1">IFERROR(__xludf.DUMMYFUNCTION("""COMPUTED_VALUE"""),2.5)</f>
        <v>2.5</v>
      </c>
    </row>
    <row r="1155" spans="1:21" ht="12.75" x14ac:dyDescent="0.2">
      <c r="A1155" s="3">
        <f ca="1">IFERROR(__xludf.DUMMYFUNCTION("""COMPUTED_VALUE"""),40148.525)</f>
        <v>40148.525000000001</v>
      </c>
      <c r="B1155" s="1">
        <f ca="1">IFERROR(__xludf.DUMMYFUNCTION("""COMPUTED_VALUE"""),1.25)</f>
        <v>1.25</v>
      </c>
      <c r="E1155" s="1" t="str">
        <f ca="1">IFERROR(__xludf.DUMMYFUNCTION("""COMPUTED_VALUE"""),"6 HOOK JEWELLERY STAND BLACK DRESS")</f>
        <v>6 HOOK JEWELLERY STAND BLACK DRESS</v>
      </c>
      <c r="F1155" s="1">
        <f ca="1">IFERROR(__xludf.DUMMYFUNCTION("""COMPUTED_VALUE"""),24)</f>
        <v>24</v>
      </c>
      <c r="G1155" s="1">
        <f ca="1">IFERROR(__xludf.DUMMYFUNCTION("""COMPUTED_VALUE"""),1.95)</f>
        <v>1.95</v>
      </c>
      <c r="J1155" s="1" t="str">
        <f ca="1">IFERROR(__xludf.DUMMYFUNCTION("""COMPUTED_VALUE"""),"BRIGHT BLUES RIBBONS")</f>
        <v>BRIGHT BLUES RIBBONS</v>
      </c>
      <c r="K1155" s="1">
        <f ca="1">IFERROR(__xludf.DUMMYFUNCTION("""COMPUTED_VALUE"""),2)</f>
        <v>2</v>
      </c>
      <c r="L1155" s="1">
        <f ca="1">IFERROR(__xludf.DUMMYFUNCTION("""COMPUTED_VALUE"""),1.25)</f>
        <v>1.25</v>
      </c>
      <c r="T1155" s="1">
        <f ca="1">IFERROR(__xludf.DUMMYFUNCTION("""COMPUTED_VALUE"""),489552)</f>
        <v>489552</v>
      </c>
      <c r="U1155" s="1">
        <f ca="1">IFERROR(__xludf.DUMMYFUNCTION("""COMPUTED_VALUE"""),2.5)</f>
        <v>2.5</v>
      </c>
    </row>
    <row r="1156" spans="1:21" ht="12.75" x14ac:dyDescent="0.2">
      <c r="A1156" s="3">
        <f ca="1">IFERROR(__xludf.DUMMYFUNCTION("""COMPUTED_VALUE"""),40148.525)</f>
        <v>40148.525000000001</v>
      </c>
      <c r="B1156" s="1">
        <f ca="1">IFERROR(__xludf.DUMMYFUNCTION("""COMPUTED_VALUE"""),2.95)</f>
        <v>2.95</v>
      </c>
      <c r="E1156" s="1" t="str">
        <f ca="1">IFERROR(__xludf.DUMMYFUNCTION("""COMPUTED_VALUE"""),"HAND OPEN SHAPE GOLD")</f>
        <v>HAND OPEN SHAPE GOLD</v>
      </c>
      <c r="F1156" s="1">
        <f ca="1">IFERROR(__xludf.DUMMYFUNCTION("""COMPUTED_VALUE"""),18)</f>
        <v>18</v>
      </c>
      <c r="G1156" s="1">
        <f ca="1">IFERROR(__xludf.DUMMYFUNCTION("""COMPUTED_VALUE"""),3.39)</f>
        <v>3.39</v>
      </c>
      <c r="J1156" s="1" t="str">
        <f ca="1">IFERROR(__xludf.DUMMYFUNCTION("""COMPUTED_VALUE"""),"PAPER CHAIN KIT 50'S CHRISTMAS")</f>
        <v>PAPER CHAIN KIT 50'S CHRISTMAS</v>
      </c>
      <c r="K1156" s="1">
        <f ca="1">IFERROR(__xludf.DUMMYFUNCTION("""COMPUTED_VALUE"""),2)</f>
        <v>2</v>
      </c>
      <c r="L1156" s="1">
        <f ca="1">IFERROR(__xludf.DUMMYFUNCTION("""COMPUTED_VALUE"""),2.95)</f>
        <v>2.95</v>
      </c>
      <c r="T1156" s="1">
        <f ca="1">IFERROR(__xludf.DUMMYFUNCTION("""COMPUTED_VALUE"""),489552)</f>
        <v>489552</v>
      </c>
      <c r="U1156" s="1">
        <f ca="1">IFERROR(__xludf.DUMMYFUNCTION("""COMPUTED_VALUE"""),5.9)</f>
        <v>5.9</v>
      </c>
    </row>
    <row r="1157" spans="1:21" ht="12.75" x14ac:dyDescent="0.2">
      <c r="A1157" s="3">
        <f ca="1">IFERROR(__xludf.DUMMYFUNCTION("""COMPUTED_VALUE"""),40148.525)</f>
        <v>40148.525000000001</v>
      </c>
      <c r="B1157" s="1">
        <f ca="1">IFERROR(__xludf.DUMMYFUNCTION("""COMPUTED_VALUE"""),2.95)</f>
        <v>2.95</v>
      </c>
      <c r="E1157" s="1" t="str">
        <f ca="1">IFERROR(__xludf.DUMMYFUNCTION("""COMPUTED_VALUE"""),"S/3 FLWR FAIRY LILLY CANDLES")</f>
        <v>S/3 FLWR FAIRY LILLY CANDLES</v>
      </c>
      <c r="F1157" s="1">
        <f ca="1">IFERROR(__xludf.DUMMYFUNCTION("""COMPUTED_VALUE"""),8)</f>
        <v>8</v>
      </c>
      <c r="G1157" s="1">
        <f ca="1">IFERROR(__xludf.DUMMYFUNCTION("""COMPUTED_VALUE"""),2.1)</f>
        <v>2.1</v>
      </c>
      <c r="J1157" s="1" t="str">
        <f ca="1">IFERROR(__xludf.DUMMYFUNCTION("""COMPUTED_VALUE"""),"FELTCRAFT DOLL ROSIE")</f>
        <v>FELTCRAFT DOLL ROSIE</v>
      </c>
      <c r="K1157" s="1">
        <f ca="1">IFERROR(__xludf.DUMMYFUNCTION("""COMPUTED_VALUE"""),2)</f>
        <v>2</v>
      </c>
      <c r="L1157" s="1">
        <f ca="1">IFERROR(__xludf.DUMMYFUNCTION("""COMPUTED_VALUE"""),2.95)</f>
        <v>2.95</v>
      </c>
      <c r="T1157" s="1">
        <f ca="1">IFERROR(__xludf.DUMMYFUNCTION("""COMPUTED_VALUE"""),489552)</f>
        <v>489552</v>
      </c>
      <c r="U1157" s="1">
        <f ca="1">IFERROR(__xludf.DUMMYFUNCTION("""COMPUTED_VALUE"""),5.9)</f>
        <v>5.9</v>
      </c>
    </row>
    <row r="1158" spans="1:21" ht="12.75" x14ac:dyDescent="0.2">
      <c r="A1158" s="3">
        <f ca="1">IFERROR(__xludf.DUMMYFUNCTION("""COMPUTED_VALUE"""),40148.525)</f>
        <v>40148.525000000001</v>
      </c>
      <c r="B1158" s="1">
        <f ca="1">IFERROR(__xludf.DUMMYFUNCTION("""COMPUTED_VALUE"""),2.95)</f>
        <v>2.95</v>
      </c>
      <c r="E1158" s="1" t="str">
        <f ca="1">IFERROR(__xludf.DUMMYFUNCTION("""COMPUTED_VALUE"""),"F.FAIRY S/3 CANDLE/GLASS, ROSE")</f>
        <v>F.FAIRY S/3 CANDLE/GLASS, ROSE</v>
      </c>
      <c r="F1158" s="1">
        <f ca="1">IFERROR(__xludf.DUMMYFUNCTION("""COMPUTED_VALUE"""),8)</f>
        <v>8</v>
      </c>
      <c r="G1158" s="1">
        <f ca="1">IFERROR(__xludf.DUMMYFUNCTION("""COMPUTED_VALUE"""),1.95)</f>
        <v>1.95</v>
      </c>
      <c r="J1158" s="1" t="str">
        <f ca="1">IFERROR(__xludf.DUMMYFUNCTION("""COMPUTED_VALUE"""),"FELTCRAFT DOLL MOLLY")</f>
        <v>FELTCRAFT DOLL MOLLY</v>
      </c>
      <c r="K1158" s="1">
        <f ca="1">IFERROR(__xludf.DUMMYFUNCTION("""COMPUTED_VALUE"""),2)</f>
        <v>2</v>
      </c>
      <c r="L1158" s="1">
        <f ca="1">IFERROR(__xludf.DUMMYFUNCTION("""COMPUTED_VALUE"""),2.95)</f>
        <v>2.95</v>
      </c>
      <c r="T1158" s="1">
        <f ca="1">IFERROR(__xludf.DUMMYFUNCTION("""COMPUTED_VALUE"""),489552)</f>
        <v>489552</v>
      </c>
      <c r="U1158" s="1">
        <f ca="1">IFERROR(__xludf.DUMMYFUNCTION("""COMPUTED_VALUE"""),5.9)</f>
        <v>5.9</v>
      </c>
    </row>
    <row r="1159" spans="1:21" ht="12.75" x14ac:dyDescent="0.2">
      <c r="A1159" s="3">
        <f ca="1">IFERROR(__xludf.DUMMYFUNCTION("""COMPUTED_VALUE"""),40148.525)</f>
        <v>40148.525000000001</v>
      </c>
      <c r="B1159" s="1">
        <f ca="1">IFERROR(__xludf.DUMMYFUNCTION("""COMPUTED_VALUE"""),2.95)</f>
        <v>2.95</v>
      </c>
      <c r="E1159" s="1" t="str">
        <f ca="1">IFERROR(__xludf.DUMMYFUNCTION("""COMPUTED_VALUE"""),"POTTING SHED SOW 'N' GROW SET")</f>
        <v>POTTING SHED SOW 'N' GROW SET</v>
      </c>
      <c r="F1159" s="1">
        <f ca="1">IFERROR(__xludf.DUMMYFUNCTION("""COMPUTED_VALUE"""),4)</f>
        <v>4</v>
      </c>
      <c r="G1159" s="1">
        <f ca="1">IFERROR(__xludf.DUMMYFUNCTION("""COMPUTED_VALUE"""),4.25)</f>
        <v>4.25</v>
      </c>
      <c r="J1159" s="1" t="str">
        <f ca="1">IFERROR(__xludf.DUMMYFUNCTION("""COMPUTED_VALUE"""),"FELTCRAFT DOLL MARIA")</f>
        <v>FELTCRAFT DOLL MARIA</v>
      </c>
      <c r="K1159" s="1">
        <f ca="1">IFERROR(__xludf.DUMMYFUNCTION("""COMPUTED_VALUE"""),2)</f>
        <v>2</v>
      </c>
      <c r="L1159" s="1">
        <f ca="1">IFERROR(__xludf.DUMMYFUNCTION("""COMPUTED_VALUE"""),2.95)</f>
        <v>2.95</v>
      </c>
      <c r="T1159" s="1">
        <f ca="1">IFERROR(__xludf.DUMMYFUNCTION("""COMPUTED_VALUE"""),489552)</f>
        <v>489552</v>
      </c>
      <c r="U1159" s="1">
        <f ca="1">IFERROR(__xludf.DUMMYFUNCTION("""COMPUTED_VALUE"""),5.9)</f>
        <v>5.9</v>
      </c>
    </row>
    <row r="1160" spans="1:21" ht="12.75" x14ac:dyDescent="0.2">
      <c r="A1160" s="3">
        <f ca="1">IFERROR(__xludf.DUMMYFUNCTION("""COMPUTED_VALUE"""),40148.525)</f>
        <v>40148.525000000001</v>
      </c>
      <c r="B1160" s="1">
        <f ca="1">IFERROR(__xludf.DUMMYFUNCTION("""COMPUTED_VALUE"""),8.95)</f>
        <v>8.9499999999999993</v>
      </c>
      <c r="E1160" s="1" t="str">
        <f ca="1">IFERROR(__xludf.DUMMYFUNCTION("""COMPUTED_VALUE"""),"RETRO SPOT SMALL MILK JUG")</f>
        <v>RETRO SPOT SMALL MILK JUG</v>
      </c>
      <c r="F1160" s="1">
        <f ca="1">IFERROR(__xludf.DUMMYFUNCTION("""COMPUTED_VALUE"""),-1)</f>
        <v>-1</v>
      </c>
      <c r="G1160" s="1">
        <f ca="1">IFERROR(__xludf.DUMMYFUNCTION("""COMPUTED_VALUE"""),2.55)</f>
        <v>2.5499999999999998</v>
      </c>
      <c r="J1160" s="1" t="str">
        <f ca="1">IFERROR(__xludf.DUMMYFUNCTION("""COMPUTED_VALUE"""),"WOODEN BOX ADVENT CALENDAR")</f>
        <v>WOODEN BOX ADVENT CALENDAR</v>
      </c>
      <c r="K1160" s="1">
        <f ca="1">IFERROR(__xludf.DUMMYFUNCTION("""COMPUTED_VALUE"""),1)</f>
        <v>1</v>
      </c>
      <c r="L1160" s="1">
        <f ca="1">IFERROR(__xludf.DUMMYFUNCTION("""COMPUTED_VALUE"""),8.95)</f>
        <v>8.9499999999999993</v>
      </c>
      <c r="T1160" s="1">
        <f ca="1">IFERROR(__xludf.DUMMYFUNCTION("""COMPUTED_VALUE"""),489552)</f>
        <v>489552</v>
      </c>
      <c r="U1160" s="1">
        <f ca="1">IFERROR(__xludf.DUMMYFUNCTION("""COMPUTED_VALUE"""),8.95)</f>
        <v>8.9499999999999993</v>
      </c>
    </row>
    <row r="1161" spans="1:21" ht="12.75" x14ac:dyDescent="0.2">
      <c r="A1161" s="3">
        <f ca="1">IFERROR(__xludf.DUMMYFUNCTION("""COMPUTED_VALUE"""),40148.525)</f>
        <v>40148.525000000001</v>
      </c>
      <c r="B1161" s="1">
        <f ca="1">IFERROR(__xludf.DUMMYFUNCTION("""COMPUTED_VALUE"""),1.25)</f>
        <v>1.25</v>
      </c>
      <c r="E1161" s="1" t="str">
        <f ca="1">IFERROR(__xludf.DUMMYFUNCTION("""COMPUTED_VALUE"""),"RETRO SPOT STORAGE JAR")</f>
        <v>RETRO SPOT STORAGE JAR</v>
      </c>
      <c r="F1161" s="1">
        <f ca="1">IFERROR(__xludf.DUMMYFUNCTION("""COMPUTED_VALUE"""),-1)</f>
        <v>-1</v>
      </c>
      <c r="G1161" s="1">
        <f ca="1">IFERROR(__xludf.DUMMYFUNCTION("""COMPUTED_VALUE"""),3.75)</f>
        <v>3.75</v>
      </c>
      <c r="J1161" s="1" t="str">
        <f ca="1">IFERROR(__xludf.DUMMYFUNCTION("""COMPUTED_VALUE"""),"URBAN BLACK RIBBONS")</f>
        <v>URBAN BLACK RIBBONS</v>
      </c>
      <c r="K1161" s="1">
        <f ca="1">IFERROR(__xludf.DUMMYFUNCTION("""COMPUTED_VALUE"""),1)</f>
        <v>1</v>
      </c>
      <c r="L1161" s="1">
        <f ca="1">IFERROR(__xludf.DUMMYFUNCTION("""COMPUTED_VALUE"""),1.25)</f>
        <v>1.25</v>
      </c>
      <c r="T1161" s="1">
        <f ca="1">IFERROR(__xludf.DUMMYFUNCTION("""COMPUTED_VALUE"""),489552)</f>
        <v>489552</v>
      </c>
      <c r="U1161" s="1">
        <f ca="1">IFERROR(__xludf.DUMMYFUNCTION("""COMPUTED_VALUE"""),1.25)</f>
        <v>1.25</v>
      </c>
    </row>
    <row r="1162" spans="1:21" ht="12.75" x14ac:dyDescent="0.2">
      <c r="A1162" s="3">
        <f ca="1">IFERROR(__xludf.DUMMYFUNCTION("""COMPUTED_VALUE"""),40148.525)</f>
        <v>40148.525000000001</v>
      </c>
      <c r="B1162" s="1">
        <f ca="1">IFERROR(__xludf.DUMMYFUNCTION("""COMPUTED_VALUE"""),2.25)</f>
        <v>2.25</v>
      </c>
      <c r="E1162" s="1" t="str">
        <f ca="1">IFERROR(__xludf.DUMMYFUNCTION("""COMPUTED_VALUE"""),"RED HANGING HEART T-LIGHT HOLDER")</f>
        <v>RED HANGING HEART T-LIGHT HOLDER</v>
      </c>
      <c r="F1162" s="1">
        <f ca="1">IFERROR(__xludf.DUMMYFUNCTION("""COMPUTED_VALUE"""),12)</f>
        <v>12</v>
      </c>
      <c r="G1162" s="1">
        <f ca="1">IFERROR(__xludf.DUMMYFUNCTION("""COMPUTED_VALUE"""),2.95)</f>
        <v>2.95</v>
      </c>
      <c r="J1162" s="1" t="str">
        <f ca="1">IFERROR(__xludf.DUMMYFUNCTION("""COMPUTED_VALUE"""),"LETS GO SHOPPING COTTON TOTE BAG")</f>
        <v>LETS GO SHOPPING COTTON TOTE BAG</v>
      </c>
      <c r="K1162" s="1">
        <f ca="1">IFERROR(__xludf.DUMMYFUNCTION("""COMPUTED_VALUE"""),1)</f>
        <v>1</v>
      </c>
      <c r="L1162" s="1">
        <f ca="1">IFERROR(__xludf.DUMMYFUNCTION("""COMPUTED_VALUE"""),2.25)</f>
        <v>2.25</v>
      </c>
      <c r="T1162" s="1">
        <f ca="1">IFERROR(__xludf.DUMMYFUNCTION("""COMPUTED_VALUE"""),489552)</f>
        <v>489552</v>
      </c>
      <c r="U1162" s="1">
        <f ca="1">IFERROR(__xludf.DUMMYFUNCTION("""COMPUTED_VALUE"""),2.25)</f>
        <v>2.25</v>
      </c>
    </row>
    <row r="1163" spans="1:21" ht="12.75" x14ac:dyDescent="0.2">
      <c r="A1163" s="3">
        <f ca="1">IFERROR(__xludf.DUMMYFUNCTION("""COMPUTED_VALUE"""),40148.525)</f>
        <v>40148.525000000001</v>
      </c>
      <c r="B1163" s="1">
        <f ca="1">IFERROR(__xludf.DUMMYFUNCTION("""COMPUTED_VALUE"""),2.25)</f>
        <v>2.25</v>
      </c>
      <c r="E1163" s="1" t="str">
        <f ca="1">IFERROR(__xludf.DUMMYFUNCTION("""COMPUTED_VALUE"""),"WHITE CHRISTMAS GARLAND STARS TREES")</f>
        <v>WHITE CHRISTMAS GARLAND STARS TREES</v>
      </c>
      <c r="F1163" s="1">
        <f ca="1">IFERROR(__xludf.DUMMYFUNCTION("""COMPUTED_VALUE"""),12)</f>
        <v>12</v>
      </c>
      <c r="G1163" s="1">
        <f ca="1">IFERROR(__xludf.DUMMYFUNCTION("""COMPUTED_VALUE"""),3.75)</f>
        <v>3.75</v>
      </c>
      <c r="J1163" s="1" t="str">
        <f ca="1">IFERROR(__xludf.DUMMYFUNCTION("""COMPUTED_VALUE"""),"RABBIT  DESIGN  COTTON TOTE BAG")</f>
        <v>RABBIT  DESIGN  COTTON TOTE BAG</v>
      </c>
      <c r="K1163" s="1">
        <f ca="1">IFERROR(__xludf.DUMMYFUNCTION("""COMPUTED_VALUE"""),1)</f>
        <v>1</v>
      </c>
      <c r="L1163" s="1">
        <f ca="1">IFERROR(__xludf.DUMMYFUNCTION("""COMPUTED_VALUE"""),2.25)</f>
        <v>2.25</v>
      </c>
      <c r="T1163" s="1">
        <f ca="1">IFERROR(__xludf.DUMMYFUNCTION("""COMPUTED_VALUE"""),489552)</f>
        <v>489552</v>
      </c>
      <c r="U1163" s="1">
        <f ca="1">IFERROR(__xludf.DUMMYFUNCTION("""COMPUTED_VALUE"""),2.25)</f>
        <v>2.25</v>
      </c>
    </row>
    <row r="1164" spans="1:21" ht="12.75" x14ac:dyDescent="0.2">
      <c r="A1164" s="3">
        <f ca="1">IFERROR(__xludf.DUMMYFUNCTION("""COMPUTED_VALUE"""),40148.5284722222)</f>
        <v>40148.528472222199</v>
      </c>
      <c r="B1164" s="1">
        <f ca="1">IFERROR(__xludf.DUMMYFUNCTION("""COMPUTED_VALUE"""),6.35)</f>
        <v>6.35</v>
      </c>
      <c r="E1164" s="1" t="str">
        <f ca="1">IFERROR(__xludf.DUMMYFUNCTION("""COMPUTED_VALUE"""),"HEART FILIGREE DOVE LARGE")</f>
        <v>HEART FILIGREE DOVE LARGE</v>
      </c>
      <c r="F1164" s="1">
        <f ca="1">IFERROR(__xludf.DUMMYFUNCTION("""COMPUTED_VALUE"""),12)</f>
        <v>12</v>
      </c>
      <c r="G1164" s="1">
        <f ca="1">IFERROR(__xludf.DUMMYFUNCTION("""COMPUTED_VALUE"""),1.65)</f>
        <v>1.65</v>
      </c>
      <c r="J1164" s="1" t="str">
        <f ca="1">IFERROR(__xludf.DUMMYFUNCTION("""COMPUTED_VALUE"""),"SET OF 3 SILVER FLYING DUCKS")</f>
        <v>SET OF 3 SILVER FLYING DUCKS</v>
      </c>
      <c r="K1164" s="1">
        <f ca="1">IFERROR(__xludf.DUMMYFUNCTION("""COMPUTED_VALUE"""),-1)</f>
        <v>-1</v>
      </c>
      <c r="L1164" s="1">
        <f ca="1">IFERROR(__xludf.DUMMYFUNCTION("""COMPUTED_VALUE"""),6.35)</f>
        <v>6.35</v>
      </c>
      <c r="T1164" s="1"/>
      <c r="U1164" s="1">
        <f ca="1">IFERROR(__xludf.DUMMYFUNCTION("""COMPUTED_VALUE"""),-6.35)</f>
        <v>-6.35</v>
      </c>
    </row>
    <row r="1165" spans="1:21" ht="12.75" x14ac:dyDescent="0.2">
      <c r="A1165" s="3">
        <f ca="1">IFERROR(__xludf.DUMMYFUNCTION("""COMPUTED_VALUE"""),40148.5284722222)</f>
        <v>40148.528472222199</v>
      </c>
      <c r="B1165" s="1">
        <f ca="1">IFERROR(__xludf.DUMMYFUNCTION("""COMPUTED_VALUE"""),3.49)</f>
        <v>3.49</v>
      </c>
      <c r="E1165" s="1" t="str">
        <f ca="1">IFERROR(__xludf.DUMMYFUNCTION("""COMPUTED_VALUE"""),"GREY HEART HOT WATER BOTTLE")</f>
        <v>GREY HEART HOT WATER BOTTLE</v>
      </c>
      <c r="F1165" s="1">
        <f ca="1">IFERROR(__xludf.DUMMYFUNCTION("""COMPUTED_VALUE"""),7)</f>
        <v>7</v>
      </c>
      <c r="G1165" s="1">
        <f ca="1">IFERROR(__xludf.DUMMYFUNCTION("""COMPUTED_VALUE"""),3.45)</f>
        <v>3.45</v>
      </c>
      <c r="J1165" s="1" t="str">
        <f ca="1">IFERROR(__xludf.DUMMYFUNCTION("""COMPUTED_VALUE"""),"HAND OPEN SHAPE DECO.WHITE")</f>
        <v>HAND OPEN SHAPE DECO.WHITE</v>
      </c>
      <c r="K1165" s="1">
        <f ca="1">IFERROR(__xludf.DUMMYFUNCTION("""COMPUTED_VALUE"""),-6)</f>
        <v>-6</v>
      </c>
      <c r="L1165" s="1">
        <f ca="1">IFERROR(__xludf.DUMMYFUNCTION("""COMPUTED_VALUE"""),3.49)</f>
        <v>3.49</v>
      </c>
      <c r="T1165" s="1"/>
      <c r="U1165" s="1">
        <f ca="1">IFERROR(__xludf.DUMMYFUNCTION("""COMPUTED_VALUE"""),-20.94)</f>
        <v>-20.94</v>
      </c>
    </row>
    <row r="1166" spans="1:21" ht="12.75" x14ac:dyDescent="0.2">
      <c r="A1166" s="3">
        <f ca="1">IFERROR(__xludf.DUMMYFUNCTION("""COMPUTED_VALUE"""),40148.5298611111)</f>
        <v>40148.529861111099</v>
      </c>
      <c r="B1166" s="1">
        <f ca="1">IFERROR(__xludf.DUMMYFUNCTION("""COMPUTED_VALUE"""),2.95)</f>
        <v>2.95</v>
      </c>
      <c r="E1166" s="1" t="str">
        <f ca="1">IFERROR(__xludf.DUMMYFUNCTION("""COMPUTED_VALUE"""),"WHITE HANGING HEART T-LIGHT HOLDER")</f>
        <v>WHITE HANGING HEART T-LIGHT HOLDER</v>
      </c>
      <c r="F1166" s="1">
        <f ca="1">IFERROR(__xludf.DUMMYFUNCTION("""COMPUTED_VALUE"""),6)</f>
        <v>6</v>
      </c>
      <c r="G1166" s="1">
        <f ca="1">IFERROR(__xludf.DUMMYFUNCTION("""COMPUTED_VALUE"""),2.95)</f>
        <v>2.95</v>
      </c>
      <c r="J1166" s="1" t="str">
        <f ca="1">IFERROR(__xludf.DUMMYFUNCTION("""COMPUTED_VALUE"""),"HAND OPEN SHAPE BLACK")</f>
        <v>HAND OPEN SHAPE BLACK</v>
      </c>
      <c r="K1166" s="1">
        <f ca="1">IFERROR(__xludf.DUMMYFUNCTION("""COMPUTED_VALUE"""),-2)</f>
        <v>-2</v>
      </c>
      <c r="L1166" s="1">
        <f ca="1">IFERROR(__xludf.DUMMYFUNCTION("""COMPUTED_VALUE"""),2.95)</f>
        <v>2.95</v>
      </c>
      <c r="T1166" s="1"/>
      <c r="U1166" s="1">
        <f ca="1">IFERROR(__xludf.DUMMYFUNCTION("""COMPUTED_VALUE"""),-5.9)</f>
        <v>-5.9</v>
      </c>
    </row>
    <row r="1167" spans="1:21" ht="12.75" x14ac:dyDescent="0.2">
      <c r="A1167" s="3">
        <f ca="1">IFERROR(__xludf.DUMMYFUNCTION("""COMPUTED_VALUE"""),40148.5298611111)</f>
        <v>40148.529861111099</v>
      </c>
      <c r="B1167" s="1">
        <f ca="1">IFERROR(__xludf.DUMMYFUNCTION("""COMPUTED_VALUE"""),4.25)</f>
        <v>4.25</v>
      </c>
      <c r="E1167" s="1" t="str">
        <f ca="1">IFERROR(__xludf.DUMMYFUNCTION("""COMPUTED_VALUE"""),"PAPER CHAIN KIT 50'S CHRISTMAS")</f>
        <v>PAPER CHAIN KIT 50'S CHRISTMAS</v>
      </c>
      <c r="F1167" s="1">
        <f ca="1">IFERROR(__xludf.DUMMYFUNCTION("""COMPUTED_VALUE"""),2)</f>
        <v>2</v>
      </c>
      <c r="G1167" s="1">
        <f ca="1">IFERROR(__xludf.DUMMYFUNCTION("""COMPUTED_VALUE"""),2.95)</f>
        <v>2.95</v>
      </c>
      <c r="J1167" s="1" t="str">
        <f ca="1">IFERROR(__xludf.DUMMYFUNCTION("""COMPUTED_VALUE"""),"ANTIQUE LILY FAIRY LIGHTS")</f>
        <v>ANTIQUE LILY FAIRY LIGHTS</v>
      </c>
      <c r="K1167" s="1">
        <f ca="1">IFERROR(__xludf.DUMMYFUNCTION("""COMPUTED_VALUE"""),-3)</f>
        <v>-3</v>
      </c>
      <c r="L1167" s="1">
        <f ca="1">IFERROR(__xludf.DUMMYFUNCTION("""COMPUTED_VALUE"""),4.25)</f>
        <v>4.25</v>
      </c>
      <c r="T1167" s="1"/>
      <c r="U1167" s="1">
        <f ca="1">IFERROR(__xludf.DUMMYFUNCTION("""COMPUTED_VALUE"""),-12.75)</f>
        <v>-12.75</v>
      </c>
    </row>
    <row r="1168" spans="1:21" ht="12.75" x14ac:dyDescent="0.2">
      <c r="A1168" s="3">
        <f ca="1">IFERROR(__xludf.DUMMYFUNCTION("""COMPUTED_VALUE"""),40148.5305555555)</f>
        <v>40148.530555555502</v>
      </c>
      <c r="B1168" s="1">
        <f ca="1">IFERROR(__xludf.DUMMYFUNCTION("""COMPUTED_VALUE"""),3.25)</f>
        <v>3.25</v>
      </c>
      <c r="E1168" s="1" t="str">
        <f ca="1">IFERROR(__xludf.DUMMYFUNCTION("""COMPUTED_VALUE"""),"RED STAR CARD HOLDER")</f>
        <v>RED STAR CARD HOLDER</v>
      </c>
      <c r="F1168" s="1">
        <f ca="1">IFERROR(__xludf.DUMMYFUNCTION("""COMPUTED_VALUE"""),2)</f>
        <v>2</v>
      </c>
      <c r="G1168" s="1">
        <f ca="1">IFERROR(__xludf.DUMMYFUNCTION("""COMPUTED_VALUE"""),2.95)</f>
        <v>2.95</v>
      </c>
      <c r="J1168" s="1" t="str">
        <f ca="1">IFERROR(__xludf.DUMMYFUNCTION("""COMPUTED_VALUE"""),"FIRST AID TIN")</f>
        <v>FIRST AID TIN</v>
      </c>
      <c r="K1168" s="1">
        <f ca="1">IFERROR(__xludf.DUMMYFUNCTION("""COMPUTED_VALUE"""),-6)</f>
        <v>-6</v>
      </c>
      <c r="L1168" s="1">
        <f ca="1">IFERROR(__xludf.DUMMYFUNCTION("""COMPUTED_VALUE"""),3.25)</f>
        <v>3.25</v>
      </c>
      <c r="T1168" s="1"/>
      <c r="U1168" s="1">
        <f ca="1">IFERROR(__xludf.DUMMYFUNCTION("""COMPUTED_VALUE"""),-19.5)</f>
        <v>-19.5</v>
      </c>
    </row>
    <row r="1169" spans="1:21" ht="12.75" x14ac:dyDescent="0.2">
      <c r="A1169" s="3">
        <f ca="1">IFERROR(__xludf.DUMMYFUNCTION("""COMPUTED_VALUE"""),40148.5326388888)</f>
        <v>40148.532638888799</v>
      </c>
      <c r="B1169" s="1">
        <f ca="1">IFERROR(__xludf.DUMMYFUNCTION("""COMPUTED_VALUE"""),0.55)</f>
        <v>0.55000000000000004</v>
      </c>
      <c r="E1169" s="1" t="str">
        <f ca="1">IFERROR(__xludf.DUMMYFUNCTION("""COMPUTED_VALUE"""),"GREEN CHRISTMAS TREE CARD HOLDER")</f>
        <v>GREEN CHRISTMAS TREE CARD HOLDER</v>
      </c>
      <c r="F1169" s="1">
        <f ca="1">IFERROR(__xludf.DUMMYFUNCTION("""COMPUTED_VALUE"""),2)</f>
        <v>2</v>
      </c>
      <c r="G1169" s="1">
        <f ca="1">IFERROR(__xludf.DUMMYFUNCTION("""COMPUTED_VALUE"""),4.25)</f>
        <v>4.25</v>
      </c>
      <c r="J1169" s="1" t="str">
        <f ca="1">IFERROR(__xludf.DUMMYFUNCTION("""COMPUTED_VALUE"""),"PACK OF 72 RETRO SPOT CAKE CASES")</f>
        <v>PACK OF 72 RETRO SPOT CAKE CASES</v>
      </c>
      <c r="K1169" s="1">
        <f ca="1">IFERROR(__xludf.DUMMYFUNCTION("""COMPUTED_VALUE"""),24)</f>
        <v>24</v>
      </c>
      <c r="L1169" s="1">
        <f ca="1">IFERROR(__xludf.DUMMYFUNCTION("""COMPUTED_VALUE"""),0.55)</f>
        <v>0.55000000000000004</v>
      </c>
      <c r="T1169" s="1">
        <f ca="1">IFERROR(__xludf.DUMMYFUNCTION("""COMPUTED_VALUE"""),489556)</f>
        <v>489556</v>
      </c>
      <c r="U1169" s="1">
        <f ca="1">IFERROR(__xludf.DUMMYFUNCTION("""COMPUTED_VALUE"""),13.2)</f>
        <v>13.2</v>
      </c>
    </row>
    <row r="1170" spans="1:21" ht="12.75" x14ac:dyDescent="0.2">
      <c r="A1170" s="3">
        <f ca="1">IFERROR(__xludf.DUMMYFUNCTION("""COMPUTED_VALUE"""),40148.5326388888)</f>
        <v>40148.532638888799</v>
      </c>
      <c r="B1170" s="1">
        <f ca="1">IFERROR(__xludf.DUMMYFUNCTION("""COMPUTED_VALUE"""),1.25)</f>
        <v>1.25</v>
      </c>
      <c r="E1170" s="1" t="str">
        <f ca="1">IFERROR(__xludf.DUMMYFUNCTION("""COMPUTED_VALUE"""),"HAND OPEN SHAPE GOLD")</f>
        <v>HAND OPEN SHAPE GOLD</v>
      </c>
      <c r="F1170" s="1">
        <f ca="1">IFERROR(__xludf.DUMMYFUNCTION("""COMPUTED_VALUE"""),2)</f>
        <v>2</v>
      </c>
      <c r="G1170" s="1">
        <f ca="1">IFERROR(__xludf.DUMMYFUNCTION("""COMPUTED_VALUE"""),4.25)</f>
        <v>4.25</v>
      </c>
      <c r="J1170" s="1" t="str">
        <f ca="1">IFERROR(__xludf.DUMMYFUNCTION("""COMPUTED_VALUE"""),"LAVENDER SCENTED FABRIC HEART")</f>
        <v>LAVENDER SCENTED FABRIC HEART</v>
      </c>
      <c r="K1170" s="1">
        <f ca="1">IFERROR(__xludf.DUMMYFUNCTION("""COMPUTED_VALUE"""),15)</f>
        <v>15</v>
      </c>
      <c r="L1170" s="1">
        <f ca="1">IFERROR(__xludf.DUMMYFUNCTION("""COMPUTED_VALUE"""),1.25)</f>
        <v>1.25</v>
      </c>
      <c r="T1170" s="1">
        <f ca="1">IFERROR(__xludf.DUMMYFUNCTION("""COMPUTED_VALUE"""),489556)</f>
        <v>489556</v>
      </c>
      <c r="U1170" s="1">
        <f ca="1">IFERROR(__xludf.DUMMYFUNCTION("""COMPUTED_VALUE"""),18.75)</f>
        <v>18.75</v>
      </c>
    </row>
    <row r="1171" spans="1:21" ht="12.75" x14ac:dyDescent="0.2">
      <c r="A1171" s="3">
        <f ca="1">IFERROR(__xludf.DUMMYFUNCTION("""COMPUTED_VALUE"""),40148.5326388888)</f>
        <v>40148.532638888799</v>
      </c>
      <c r="B1171" s="1">
        <f ca="1">IFERROR(__xludf.DUMMYFUNCTION("""COMPUTED_VALUE"""),0.65)</f>
        <v>0.65</v>
      </c>
      <c r="E1171" s="1" t="str">
        <f ca="1">IFERROR(__xludf.DUMMYFUNCTION("""COMPUTED_VALUE"""),"HAND OPEN SHAPE DECO.WHITE")</f>
        <v>HAND OPEN SHAPE DECO.WHITE</v>
      </c>
      <c r="F1171" s="1">
        <f ca="1">IFERROR(__xludf.DUMMYFUNCTION("""COMPUTED_VALUE"""),2)</f>
        <v>2</v>
      </c>
      <c r="G1171" s="1">
        <f ca="1">IFERROR(__xludf.DUMMYFUNCTION("""COMPUTED_VALUE"""),3.49)</f>
        <v>3.49</v>
      </c>
      <c r="J1171" s="1" t="str">
        <f ca="1">IFERROR(__xludf.DUMMYFUNCTION("""COMPUTED_VALUE"""),"12 PENCILS SMALL TUBE RED SPOTTY")</f>
        <v>12 PENCILS SMALL TUBE RED SPOTTY</v>
      </c>
      <c r="K1171" s="1">
        <f ca="1">IFERROR(__xludf.DUMMYFUNCTION("""COMPUTED_VALUE"""),8)</f>
        <v>8</v>
      </c>
      <c r="L1171" s="1">
        <f ca="1">IFERROR(__xludf.DUMMYFUNCTION("""COMPUTED_VALUE"""),0.65)</f>
        <v>0.65</v>
      </c>
      <c r="T1171" s="1">
        <f ca="1">IFERROR(__xludf.DUMMYFUNCTION("""COMPUTED_VALUE"""),489556)</f>
        <v>489556</v>
      </c>
      <c r="U1171" s="1">
        <f ca="1">IFERROR(__xludf.DUMMYFUNCTION("""COMPUTED_VALUE"""),5.2)</f>
        <v>5.2</v>
      </c>
    </row>
    <row r="1172" spans="1:21" ht="12.75" x14ac:dyDescent="0.2">
      <c r="A1172" s="3">
        <f ca="1">IFERROR(__xludf.DUMMYFUNCTION("""COMPUTED_VALUE"""),40148.5326388888)</f>
        <v>40148.532638888799</v>
      </c>
      <c r="B1172" s="1">
        <f ca="1">IFERROR(__xludf.DUMMYFUNCTION("""COMPUTED_VALUE"""),0.85)</f>
        <v>0.85</v>
      </c>
      <c r="E1172" s="1" t="str">
        <f ca="1">IFERROR(__xludf.DUMMYFUNCTION("""COMPUTED_VALUE"""),"S/4 GROOVY CAT MAGNETS")</f>
        <v>S/4 GROOVY CAT MAGNETS</v>
      </c>
      <c r="F1172" s="1">
        <f ca="1">IFERROR(__xludf.DUMMYFUNCTION("""COMPUTED_VALUE"""),1)</f>
        <v>1</v>
      </c>
      <c r="G1172" s="1">
        <f ca="1">IFERROR(__xludf.DUMMYFUNCTION("""COMPUTED_VALUE"""),1.65)</f>
        <v>1.65</v>
      </c>
      <c r="J1172" s="1" t="str">
        <f ca="1">IFERROR(__xludf.DUMMYFUNCTION("""COMPUTED_VALUE"""),"VINTAGE DESIGN GIFT TAGS")</f>
        <v>VINTAGE DESIGN GIFT TAGS</v>
      </c>
      <c r="K1172" s="1">
        <f ca="1">IFERROR(__xludf.DUMMYFUNCTION("""COMPUTED_VALUE"""),8)</f>
        <v>8</v>
      </c>
      <c r="L1172" s="1">
        <f ca="1">IFERROR(__xludf.DUMMYFUNCTION("""COMPUTED_VALUE"""),0.85)</f>
        <v>0.85</v>
      </c>
      <c r="T1172" s="1">
        <f ca="1">IFERROR(__xludf.DUMMYFUNCTION("""COMPUTED_VALUE"""),489556)</f>
        <v>489556</v>
      </c>
      <c r="U1172" s="1">
        <f ca="1">IFERROR(__xludf.DUMMYFUNCTION("""COMPUTED_VALUE"""),6.8)</f>
        <v>6.8</v>
      </c>
    </row>
    <row r="1173" spans="1:21" ht="12.75" x14ac:dyDescent="0.2">
      <c r="A1173" s="3">
        <f ca="1">IFERROR(__xludf.DUMMYFUNCTION("""COMPUTED_VALUE"""),40148.5326388888)</f>
        <v>40148.532638888799</v>
      </c>
      <c r="B1173" s="1">
        <f ca="1">IFERROR(__xludf.DUMMYFUNCTION("""COMPUTED_VALUE"""),1.25)</f>
        <v>1.25</v>
      </c>
      <c r="E1173" s="1" t="str">
        <f ca="1">IFERROR(__xludf.DUMMYFUNCTION("""COMPUTED_VALUE"""),"WOOD STAMP SET FLOWERS")</f>
        <v>WOOD STAMP SET FLOWERS</v>
      </c>
      <c r="F1173" s="1">
        <f ca="1">IFERROR(__xludf.DUMMYFUNCTION("""COMPUTED_VALUE"""),1)</f>
        <v>1</v>
      </c>
      <c r="G1173" s="1">
        <f ca="1">IFERROR(__xludf.DUMMYFUNCTION("""COMPUTED_VALUE"""),1.65)</f>
        <v>1.65</v>
      </c>
      <c r="J1173" s="1" t="str">
        <f ca="1">IFERROR(__xludf.DUMMYFUNCTION("""COMPUTED_VALUE"""),"POTTERING MUG")</f>
        <v>POTTERING MUG</v>
      </c>
      <c r="K1173" s="1">
        <f ca="1">IFERROR(__xludf.DUMMYFUNCTION("""COMPUTED_VALUE"""),6)</f>
        <v>6</v>
      </c>
      <c r="L1173" s="1">
        <f ca="1">IFERROR(__xludf.DUMMYFUNCTION("""COMPUTED_VALUE"""),1.25)</f>
        <v>1.25</v>
      </c>
      <c r="T1173" s="1">
        <f ca="1">IFERROR(__xludf.DUMMYFUNCTION("""COMPUTED_VALUE"""),489556)</f>
        <v>489556</v>
      </c>
      <c r="U1173" s="1">
        <f ca="1">IFERROR(__xludf.DUMMYFUNCTION("""COMPUTED_VALUE"""),7.5)</f>
        <v>7.5</v>
      </c>
    </row>
    <row r="1174" spans="1:21" ht="12.75" x14ac:dyDescent="0.2">
      <c r="A1174" s="3">
        <f ca="1">IFERROR(__xludf.DUMMYFUNCTION("""COMPUTED_VALUE"""),40148.5326388888)</f>
        <v>40148.532638888799</v>
      </c>
      <c r="B1174" s="1">
        <f ca="1">IFERROR(__xludf.DUMMYFUNCTION("""COMPUTED_VALUE"""),1.25)</f>
        <v>1.25</v>
      </c>
      <c r="E1174" s="1" t="str">
        <f ca="1">IFERROR(__xludf.DUMMYFUNCTION("""COMPUTED_VALUE"""),"MOBILE VINTAGE HEARTS")</f>
        <v>MOBILE VINTAGE HEARTS</v>
      </c>
      <c r="F1174" s="1">
        <f ca="1">IFERROR(__xludf.DUMMYFUNCTION("""COMPUTED_VALUE"""),1)</f>
        <v>1</v>
      </c>
      <c r="G1174" s="1">
        <f ca="1">IFERROR(__xludf.DUMMYFUNCTION("""COMPUTED_VALUE"""),4.95)</f>
        <v>4.95</v>
      </c>
      <c r="J1174" s="1" t="str">
        <f ca="1">IFERROR(__xludf.DUMMYFUNCTION("""COMPUTED_VALUE"""),"ANTIQUE SILVER TEA GLASS ETCHED")</f>
        <v>ANTIQUE SILVER TEA GLASS ETCHED</v>
      </c>
      <c r="K1174" s="1">
        <f ca="1">IFERROR(__xludf.DUMMYFUNCTION("""COMPUTED_VALUE"""),6)</f>
        <v>6</v>
      </c>
      <c r="L1174" s="1">
        <f ca="1">IFERROR(__xludf.DUMMYFUNCTION("""COMPUTED_VALUE"""),1.25)</f>
        <v>1.25</v>
      </c>
      <c r="T1174" s="1">
        <f ca="1">IFERROR(__xludf.DUMMYFUNCTION("""COMPUTED_VALUE"""),489556)</f>
        <v>489556</v>
      </c>
      <c r="U1174" s="1">
        <f ca="1">IFERROR(__xludf.DUMMYFUNCTION("""COMPUTED_VALUE"""),7.5)</f>
        <v>7.5</v>
      </c>
    </row>
    <row r="1175" spans="1:21" ht="12.75" x14ac:dyDescent="0.2">
      <c r="A1175" s="3">
        <f ca="1">IFERROR(__xludf.DUMMYFUNCTION("""COMPUTED_VALUE"""),40148.5326388888)</f>
        <v>40148.532638888799</v>
      </c>
      <c r="B1175" s="1">
        <f ca="1">IFERROR(__xludf.DUMMYFUNCTION("""COMPUTED_VALUE"""),1.95)</f>
        <v>1.95</v>
      </c>
      <c r="E1175" s="1" t="str">
        <f ca="1">IFERROR(__xludf.DUMMYFUNCTION("""COMPUTED_VALUE"""),"PLEASE ONE PERSON  METAL SIGN")</f>
        <v>PLEASE ONE PERSON  METAL SIGN</v>
      </c>
      <c r="F1175" s="1">
        <f ca="1">IFERROR(__xludf.DUMMYFUNCTION("""COMPUTED_VALUE"""),12)</f>
        <v>12</v>
      </c>
      <c r="G1175" s="1">
        <f ca="1">IFERROR(__xludf.DUMMYFUNCTION("""COMPUTED_VALUE"""),2.1)</f>
        <v>2.1</v>
      </c>
      <c r="J1175" s="1" t="str">
        <f ca="1">IFERROR(__xludf.DUMMYFUNCTION("""COMPUTED_VALUE"""),"SET OF THREE VINTAGE GIFT WRAPS")</f>
        <v>SET OF THREE VINTAGE GIFT WRAPS</v>
      </c>
      <c r="K1175" s="1">
        <f ca="1">IFERROR(__xludf.DUMMYFUNCTION("""COMPUTED_VALUE"""),6)</f>
        <v>6</v>
      </c>
      <c r="L1175" s="1">
        <f ca="1">IFERROR(__xludf.DUMMYFUNCTION("""COMPUTED_VALUE"""),1.95)</f>
        <v>1.95</v>
      </c>
      <c r="T1175" s="1">
        <f ca="1">IFERROR(__xludf.DUMMYFUNCTION("""COMPUTED_VALUE"""),489556)</f>
        <v>489556</v>
      </c>
      <c r="U1175" s="1">
        <f ca="1">IFERROR(__xludf.DUMMYFUNCTION("""COMPUTED_VALUE"""),11.7)</f>
        <v>11.7</v>
      </c>
    </row>
    <row r="1176" spans="1:21" ht="12.75" x14ac:dyDescent="0.2">
      <c r="A1176" s="3">
        <f ca="1">IFERROR(__xludf.DUMMYFUNCTION("""COMPUTED_VALUE"""),40148.5326388888)</f>
        <v>40148.532638888799</v>
      </c>
      <c r="B1176" s="1">
        <f ca="1">IFERROR(__xludf.DUMMYFUNCTION("""COMPUTED_VALUE"""),1.65)</f>
        <v>1.65</v>
      </c>
      <c r="E1176" s="1" t="str">
        <f ca="1">IFERROR(__xludf.DUMMYFUNCTION("""COMPUTED_VALUE"""),"ASSORTED COLOUR BIRD ORNAMENT")</f>
        <v>ASSORTED COLOUR BIRD ORNAMENT</v>
      </c>
      <c r="F1176" s="1">
        <f ca="1">IFERROR(__xludf.DUMMYFUNCTION("""COMPUTED_VALUE"""),8)</f>
        <v>8</v>
      </c>
      <c r="G1176" s="1">
        <f ca="1">IFERROR(__xludf.DUMMYFUNCTION("""COMPUTED_VALUE"""),1.69)</f>
        <v>1.69</v>
      </c>
      <c r="J1176" s="1" t="str">
        <f ca="1">IFERROR(__xludf.DUMMYFUNCTION("""COMPUTED_VALUE"""),"RIBBON REEL STRIPES DESIGN")</f>
        <v>RIBBON REEL STRIPES DESIGN</v>
      </c>
      <c r="K1176" s="1">
        <f ca="1">IFERROR(__xludf.DUMMYFUNCTION("""COMPUTED_VALUE"""),5)</f>
        <v>5</v>
      </c>
      <c r="L1176" s="1">
        <f ca="1">IFERROR(__xludf.DUMMYFUNCTION("""COMPUTED_VALUE"""),1.65)</f>
        <v>1.65</v>
      </c>
      <c r="T1176" s="1">
        <f ca="1">IFERROR(__xludf.DUMMYFUNCTION("""COMPUTED_VALUE"""),489556)</f>
        <v>489556</v>
      </c>
      <c r="U1176" s="1">
        <f ca="1">IFERROR(__xludf.DUMMYFUNCTION("""COMPUTED_VALUE"""),8.25)</f>
        <v>8.25</v>
      </c>
    </row>
    <row r="1177" spans="1:21" ht="12.75" x14ac:dyDescent="0.2">
      <c r="A1177" s="3">
        <f ca="1">IFERROR(__xludf.DUMMYFUNCTION("""COMPUTED_VALUE"""),40148.5326388888)</f>
        <v>40148.532638888799</v>
      </c>
      <c r="B1177" s="1">
        <f ca="1">IFERROR(__xludf.DUMMYFUNCTION("""COMPUTED_VALUE"""),1.25)</f>
        <v>1.25</v>
      </c>
      <c r="E1177" s="1" t="str">
        <f ca="1">IFERROR(__xludf.DUMMYFUNCTION("""COMPUTED_VALUE"""),"PAPER CHAIN KIT 50'S CHRISTMAS")</f>
        <v>PAPER CHAIN KIT 50'S CHRISTMAS</v>
      </c>
      <c r="F1177" s="1">
        <f ca="1">IFERROR(__xludf.DUMMYFUNCTION("""COMPUTED_VALUE"""),4)</f>
        <v>4</v>
      </c>
      <c r="G1177" s="1">
        <f ca="1">IFERROR(__xludf.DUMMYFUNCTION("""COMPUTED_VALUE"""),2.95)</f>
        <v>2.95</v>
      </c>
      <c r="J1177" s="1" t="str">
        <f ca="1">IFERROR(__xludf.DUMMYFUNCTION("""COMPUTED_VALUE"""),"36 PENCILS TUBE RED SPOTTY")</f>
        <v>36 PENCILS TUBE RED SPOTTY</v>
      </c>
      <c r="K1177" s="1">
        <f ca="1">IFERROR(__xludf.DUMMYFUNCTION("""COMPUTED_VALUE"""),4)</f>
        <v>4</v>
      </c>
      <c r="L1177" s="1">
        <f ca="1">IFERROR(__xludf.DUMMYFUNCTION("""COMPUTED_VALUE"""),1.25)</f>
        <v>1.25</v>
      </c>
      <c r="T1177" s="1">
        <f ca="1">IFERROR(__xludf.DUMMYFUNCTION("""COMPUTED_VALUE"""),489556)</f>
        <v>489556</v>
      </c>
      <c r="U1177" s="1">
        <f ca="1">IFERROR(__xludf.DUMMYFUNCTION("""COMPUTED_VALUE"""),5)</f>
        <v>5</v>
      </c>
    </row>
    <row r="1178" spans="1:21" ht="12.75" x14ac:dyDescent="0.2">
      <c r="A1178" s="3">
        <f ca="1">IFERROR(__xludf.DUMMYFUNCTION("""COMPUTED_VALUE"""),40148.5326388888)</f>
        <v>40148.532638888799</v>
      </c>
      <c r="B1178" s="1">
        <f ca="1">IFERROR(__xludf.DUMMYFUNCTION("""COMPUTED_VALUE"""),2.55)</f>
        <v>2.5499999999999998</v>
      </c>
      <c r="E1178" s="1" t="str">
        <f ca="1">IFERROR(__xludf.DUMMYFUNCTION("""COMPUTED_VALUE"""),"SET OF THREE 50'S GIFT WRAPS")</f>
        <v>SET OF THREE 50'S GIFT WRAPS</v>
      </c>
      <c r="F1178" s="1">
        <f ca="1">IFERROR(__xludf.DUMMYFUNCTION("""COMPUTED_VALUE"""),4)</f>
        <v>4</v>
      </c>
      <c r="G1178" s="1">
        <f ca="1">IFERROR(__xludf.DUMMYFUNCTION("""COMPUTED_VALUE"""),1.95)</f>
        <v>1.95</v>
      </c>
      <c r="J1178" s="1" t="str">
        <f ca="1">IFERROR(__xludf.DUMMYFUNCTION("""COMPUTED_VALUE"""),"WOODEN PICTURE FRAME WHITE FINISH")</f>
        <v>WOODEN PICTURE FRAME WHITE FINISH</v>
      </c>
      <c r="K1178" s="1">
        <f ca="1">IFERROR(__xludf.DUMMYFUNCTION("""COMPUTED_VALUE"""),4)</f>
        <v>4</v>
      </c>
      <c r="L1178" s="1">
        <f ca="1">IFERROR(__xludf.DUMMYFUNCTION("""COMPUTED_VALUE"""),2.55)</f>
        <v>2.5499999999999998</v>
      </c>
      <c r="T1178" s="1">
        <f ca="1">IFERROR(__xludf.DUMMYFUNCTION("""COMPUTED_VALUE"""),489556)</f>
        <v>489556</v>
      </c>
      <c r="U1178" s="1">
        <f ca="1">IFERROR(__xludf.DUMMYFUNCTION("""COMPUTED_VALUE"""),10.2)</f>
        <v>10.199999999999999</v>
      </c>
    </row>
    <row r="1179" spans="1:21" ht="12.75" x14ac:dyDescent="0.2">
      <c r="A1179" s="3">
        <f ca="1">IFERROR(__xludf.DUMMYFUNCTION("""COMPUTED_VALUE"""),40148.5326388888)</f>
        <v>40148.532638888799</v>
      </c>
      <c r="B1179" s="1">
        <f ca="1">IFERROR(__xludf.DUMMYFUNCTION("""COMPUTED_VALUE"""),2.1)</f>
        <v>2.1</v>
      </c>
      <c r="E1179" s="1" t="str">
        <f ca="1">IFERROR(__xludf.DUMMYFUNCTION("""COMPUTED_VALUE"""),"SET OF THREE VINTAGE GIFT WRAPS")</f>
        <v>SET OF THREE VINTAGE GIFT WRAPS</v>
      </c>
      <c r="F1179" s="1">
        <f ca="1">IFERROR(__xludf.DUMMYFUNCTION("""COMPUTED_VALUE"""),4)</f>
        <v>4</v>
      </c>
      <c r="G1179" s="1">
        <f ca="1">IFERROR(__xludf.DUMMYFUNCTION("""COMPUTED_VALUE"""),1.95)</f>
        <v>1.95</v>
      </c>
      <c r="J1179" s="1" t="str">
        <f ca="1">IFERROR(__xludf.DUMMYFUNCTION("""COMPUTED_VALUE"""),"HAND OVER THE CHOCOLATE   SIGN")</f>
        <v>HAND OVER THE CHOCOLATE   SIGN</v>
      </c>
      <c r="K1179" s="1">
        <f ca="1">IFERROR(__xludf.DUMMYFUNCTION("""COMPUTED_VALUE"""),4)</f>
        <v>4</v>
      </c>
      <c r="L1179" s="1">
        <f ca="1">IFERROR(__xludf.DUMMYFUNCTION("""COMPUTED_VALUE"""),2.1)</f>
        <v>2.1</v>
      </c>
      <c r="T1179" s="1">
        <f ca="1">IFERROR(__xludf.DUMMYFUNCTION("""COMPUTED_VALUE"""),489556)</f>
        <v>489556</v>
      </c>
      <c r="U1179" s="1">
        <f ca="1">IFERROR(__xludf.DUMMYFUNCTION("""COMPUTED_VALUE"""),8.4)</f>
        <v>8.4</v>
      </c>
    </row>
    <row r="1180" spans="1:21" ht="12.75" x14ac:dyDescent="0.2">
      <c r="A1180" s="3">
        <f ca="1">IFERROR(__xludf.DUMMYFUNCTION("""COMPUTED_VALUE"""),40148.5326388888)</f>
        <v>40148.532638888799</v>
      </c>
      <c r="B1180" s="1">
        <f ca="1">IFERROR(__xludf.DUMMYFUNCTION("""COMPUTED_VALUE"""),2.95)</f>
        <v>2.95</v>
      </c>
      <c r="E1180" s="1" t="str">
        <f ca="1">IFERROR(__xludf.DUMMYFUNCTION("""COMPUTED_VALUE"""),"GREY HEART HOT WATER BOTTLE")</f>
        <v>GREY HEART HOT WATER BOTTLE</v>
      </c>
      <c r="F1180" s="1">
        <f ca="1">IFERROR(__xludf.DUMMYFUNCTION("""COMPUTED_VALUE"""),3)</f>
        <v>3</v>
      </c>
      <c r="G1180" s="1">
        <f ca="1">IFERROR(__xludf.DUMMYFUNCTION("""COMPUTED_VALUE"""),3.45)</f>
        <v>3.45</v>
      </c>
      <c r="J1180" s="1" t="str">
        <f ca="1">IFERROR(__xludf.DUMMYFUNCTION("""COMPUTED_VALUE"""),"PINK STRIPE HOT WATER BOTTLE")</f>
        <v>PINK STRIPE HOT WATER BOTTLE</v>
      </c>
      <c r="K1180" s="1">
        <f ca="1">IFERROR(__xludf.DUMMYFUNCTION("""COMPUTED_VALUE"""),4)</f>
        <v>4</v>
      </c>
      <c r="L1180" s="1">
        <f ca="1">IFERROR(__xludf.DUMMYFUNCTION("""COMPUTED_VALUE"""),2.95)</f>
        <v>2.95</v>
      </c>
      <c r="T1180" s="1">
        <f ca="1">IFERROR(__xludf.DUMMYFUNCTION("""COMPUTED_VALUE"""),489556)</f>
        <v>489556</v>
      </c>
      <c r="U1180" s="1">
        <f ca="1">IFERROR(__xludf.DUMMYFUNCTION("""COMPUTED_VALUE"""),11.8)</f>
        <v>11.8</v>
      </c>
    </row>
    <row r="1181" spans="1:21" ht="12.75" x14ac:dyDescent="0.2">
      <c r="A1181" s="3">
        <f ca="1">IFERROR(__xludf.DUMMYFUNCTION("""COMPUTED_VALUE"""),40148.5326388888)</f>
        <v>40148.532638888799</v>
      </c>
      <c r="B1181" s="1">
        <f ca="1">IFERROR(__xludf.DUMMYFUNCTION("""COMPUTED_VALUE"""),1.25)</f>
        <v>1.25</v>
      </c>
      <c r="E1181" s="1" t="str">
        <f ca="1">IFERROR(__xludf.DUMMYFUNCTION("""COMPUTED_VALUE"""),"DOG BOWL , CHASING BALL DESIGN")</f>
        <v>DOG BOWL , CHASING BALL DESIGN</v>
      </c>
      <c r="F1181" s="1">
        <f ca="1">IFERROR(__xludf.DUMMYFUNCTION("""COMPUTED_VALUE"""),3)</f>
        <v>3</v>
      </c>
      <c r="G1181" s="1">
        <f ca="1">IFERROR(__xludf.DUMMYFUNCTION("""COMPUTED_VALUE"""),3.75)</f>
        <v>3.75</v>
      </c>
      <c r="J1181" s="1" t="str">
        <f ca="1">IFERROR(__xludf.DUMMYFUNCTION("""COMPUTED_VALUE"""),"ROSE FOLKART HEART DECORATIONS")</f>
        <v>ROSE FOLKART HEART DECORATIONS</v>
      </c>
      <c r="K1181" s="1">
        <f ca="1">IFERROR(__xludf.DUMMYFUNCTION("""COMPUTED_VALUE"""),4)</f>
        <v>4</v>
      </c>
      <c r="L1181" s="1">
        <f ca="1">IFERROR(__xludf.DUMMYFUNCTION("""COMPUTED_VALUE"""),1.25)</f>
        <v>1.25</v>
      </c>
      <c r="T1181" s="1">
        <f ca="1">IFERROR(__xludf.DUMMYFUNCTION("""COMPUTED_VALUE"""),489556)</f>
        <v>489556</v>
      </c>
      <c r="U1181" s="1">
        <f ca="1">IFERROR(__xludf.DUMMYFUNCTION("""COMPUTED_VALUE"""),5)</f>
        <v>5</v>
      </c>
    </row>
    <row r="1182" spans="1:21" ht="12.75" x14ac:dyDescent="0.2">
      <c r="A1182" s="3">
        <f ca="1">IFERROR(__xludf.DUMMYFUNCTION("""COMPUTED_VALUE"""),40148.5326388888)</f>
        <v>40148.532638888799</v>
      </c>
      <c r="B1182" s="1">
        <f ca="1">IFERROR(__xludf.DUMMYFUNCTION("""COMPUTED_VALUE"""),0.65)</f>
        <v>0.65</v>
      </c>
      <c r="E1182" s="1" t="str">
        <f ca="1">IFERROR(__xludf.DUMMYFUNCTION("""COMPUTED_VALUE"""),"VINTAGE HEADS AND TAILS CARD GAME")</f>
        <v>VINTAGE HEADS AND TAILS CARD GAME</v>
      </c>
      <c r="F1182" s="1">
        <f ca="1">IFERROR(__xludf.DUMMYFUNCTION("""COMPUTED_VALUE"""),3)</f>
        <v>3</v>
      </c>
      <c r="G1182" s="1">
        <f ca="1">IFERROR(__xludf.DUMMYFUNCTION("""COMPUTED_VALUE"""),1.25)</f>
        <v>1.25</v>
      </c>
      <c r="J1182" s="1" t="str">
        <f ca="1">IFERROR(__xludf.DUMMYFUNCTION("""COMPUTED_VALUE"""),"12 PENCILS SMALL TUBE SKULL")</f>
        <v>12 PENCILS SMALL TUBE SKULL</v>
      </c>
      <c r="K1182" s="1">
        <f ca="1">IFERROR(__xludf.DUMMYFUNCTION("""COMPUTED_VALUE"""),3)</f>
        <v>3</v>
      </c>
      <c r="L1182" s="1">
        <f ca="1">IFERROR(__xludf.DUMMYFUNCTION("""COMPUTED_VALUE"""),0.65)</f>
        <v>0.65</v>
      </c>
      <c r="T1182" s="1">
        <f ca="1">IFERROR(__xludf.DUMMYFUNCTION("""COMPUTED_VALUE"""),489556)</f>
        <v>489556</v>
      </c>
      <c r="U1182" s="1">
        <f ca="1">IFERROR(__xludf.DUMMYFUNCTION("""COMPUTED_VALUE"""),1.95)</f>
        <v>1.95</v>
      </c>
    </row>
    <row r="1183" spans="1:21" ht="12.75" x14ac:dyDescent="0.2">
      <c r="A1183" s="3">
        <f ca="1">IFERROR(__xludf.DUMMYFUNCTION("""COMPUTED_VALUE"""),40148.5326388888)</f>
        <v>40148.532638888799</v>
      </c>
      <c r="B1183" s="1">
        <f ca="1">IFERROR(__xludf.DUMMYFUNCTION("""COMPUTED_VALUE"""),2.95)</f>
        <v>2.95</v>
      </c>
      <c r="E1183" s="1" t="str">
        <f ca="1">IFERROR(__xludf.DUMMYFUNCTION("""COMPUTED_VALUE"""),"3 STRIPEY MICE FELTCRAFT")</f>
        <v>3 STRIPEY MICE FELTCRAFT</v>
      </c>
      <c r="F1183" s="1">
        <f ca="1">IFERROR(__xludf.DUMMYFUNCTION("""COMPUTED_VALUE"""),3)</f>
        <v>3</v>
      </c>
      <c r="G1183" s="1">
        <f ca="1">IFERROR(__xludf.DUMMYFUNCTION("""COMPUTED_VALUE"""),1.95)</f>
        <v>1.95</v>
      </c>
      <c r="J1183" s="1" t="str">
        <f ca="1">IFERROR(__xludf.DUMMYFUNCTION("""COMPUTED_VALUE"""),"WHITE HANGING HEART T-LIGHT HOLDER")</f>
        <v>WHITE HANGING HEART T-LIGHT HOLDER</v>
      </c>
      <c r="K1183" s="1">
        <f ca="1">IFERROR(__xludf.DUMMYFUNCTION("""COMPUTED_VALUE"""),3)</f>
        <v>3</v>
      </c>
      <c r="L1183" s="1">
        <f ca="1">IFERROR(__xludf.DUMMYFUNCTION("""COMPUTED_VALUE"""),2.95)</f>
        <v>2.95</v>
      </c>
      <c r="T1183" s="1">
        <f ca="1">IFERROR(__xludf.DUMMYFUNCTION("""COMPUTED_VALUE"""),489556)</f>
        <v>489556</v>
      </c>
      <c r="U1183" s="1">
        <f ca="1">IFERROR(__xludf.DUMMYFUNCTION("""COMPUTED_VALUE"""),8.85)</f>
        <v>8.85</v>
      </c>
    </row>
    <row r="1184" spans="1:21" ht="12.75" x14ac:dyDescent="0.2">
      <c r="A1184" s="3">
        <f ca="1">IFERROR(__xludf.DUMMYFUNCTION("""COMPUTED_VALUE"""),40148.5326388888)</f>
        <v>40148.532638888799</v>
      </c>
      <c r="B1184" s="1">
        <f ca="1">IFERROR(__xludf.DUMMYFUNCTION("""COMPUTED_VALUE"""),1.25)</f>
        <v>1.25</v>
      </c>
      <c r="E1184" s="1" t="str">
        <f ca="1">IFERROR(__xludf.DUMMYFUNCTION("""COMPUTED_VALUE"""),"CHOCOLATE HOT WATER BOTTLE")</f>
        <v>CHOCOLATE HOT WATER BOTTLE</v>
      </c>
      <c r="F1184" s="1">
        <f ca="1">IFERROR(__xludf.DUMMYFUNCTION("""COMPUTED_VALUE"""),2)</f>
        <v>2</v>
      </c>
      <c r="G1184" s="1">
        <f ca="1">IFERROR(__xludf.DUMMYFUNCTION("""COMPUTED_VALUE"""),4.95)</f>
        <v>4.95</v>
      </c>
      <c r="J1184" s="1" t="str">
        <f ca="1">IFERROR(__xludf.DUMMYFUNCTION("""COMPUTED_VALUE"""),"RED SPOTTY SHOPPER BAG")</f>
        <v>RED SPOTTY SHOPPER BAG</v>
      </c>
      <c r="K1184" s="1">
        <f ca="1">IFERROR(__xludf.DUMMYFUNCTION("""COMPUTED_VALUE"""),3)</f>
        <v>3</v>
      </c>
      <c r="L1184" s="1">
        <f ca="1">IFERROR(__xludf.DUMMYFUNCTION("""COMPUTED_VALUE"""),1.25)</f>
        <v>1.25</v>
      </c>
      <c r="T1184" s="1">
        <f ca="1">IFERROR(__xludf.DUMMYFUNCTION("""COMPUTED_VALUE"""),489556)</f>
        <v>489556</v>
      </c>
      <c r="U1184" s="1">
        <f ca="1">IFERROR(__xludf.DUMMYFUNCTION("""COMPUTED_VALUE"""),3.75)</f>
        <v>3.75</v>
      </c>
    </row>
    <row r="1185" spans="1:21" ht="12.75" x14ac:dyDescent="0.2">
      <c r="A1185" s="3">
        <f ca="1">IFERROR(__xludf.DUMMYFUNCTION("""COMPUTED_VALUE"""),40148.5326388888)</f>
        <v>40148.532638888799</v>
      </c>
      <c r="B1185" s="1">
        <f ca="1">IFERROR(__xludf.DUMMYFUNCTION("""COMPUTED_VALUE"""),1.95)</f>
        <v>1.95</v>
      </c>
      <c r="E1185" s="1" t="str">
        <f ca="1">IFERROR(__xludf.DUMMYFUNCTION("""COMPUTED_VALUE"""),"PINK STRIPE HOT WATER BOTTLE")</f>
        <v>PINK STRIPE HOT WATER BOTTLE</v>
      </c>
      <c r="F1185" s="1">
        <f ca="1">IFERROR(__xludf.DUMMYFUNCTION("""COMPUTED_VALUE"""),2)</f>
        <v>2</v>
      </c>
      <c r="G1185" s="1">
        <f ca="1">IFERROR(__xludf.DUMMYFUNCTION("""COMPUTED_VALUE"""),2.95)</f>
        <v>2.95</v>
      </c>
      <c r="J1185" s="1" t="str">
        <f ca="1">IFERROR(__xludf.DUMMYFUNCTION("""COMPUTED_VALUE"""),"SET OF THREE 50'S GIFT WRAPS")</f>
        <v>SET OF THREE 50'S GIFT WRAPS</v>
      </c>
      <c r="K1185" s="1">
        <f ca="1">IFERROR(__xludf.DUMMYFUNCTION("""COMPUTED_VALUE"""),3)</f>
        <v>3</v>
      </c>
      <c r="L1185" s="1">
        <f ca="1">IFERROR(__xludf.DUMMYFUNCTION("""COMPUTED_VALUE"""),1.95)</f>
        <v>1.95</v>
      </c>
      <c r="T1185" s="1">
        <f ca="1">IFERROR(__xludf.DUMMYFUNCTION("""COMPUTED_VALUE"""),489556)</f>
        <v>489556</v>
      </c>
      <c r="U1185" s="1">
        <f ca="1">IFERROR(__xludf.DUMMYFUNCTION("""COMPUTED_VALUE"""),5.85)</f>
        <v>5.85</v>
      </c>
    </row>
    <row r="1186" spans="1:21" ht="12.75" x14ac:dyDescent="0.2">
      <c r="A1186" s="3">
        <f ca="1">IFERROR(__xludf.DUMMYFUNCTION("""COMPUTED_VALUE"""),40148.5326388888)</f>
        <v>40148.532638888799</v>
      </c>
      <c r="B1186" s="1">
        <f ca="1">IFERROR(__xludf.DUMMYFUNCTION("""COMPUTED_VALUE"""),1.25)</f>
        <v>1.25</v>
      </c>
      <c r="E1186" s="1" t="str">
        <f ca="1">IFERROR(__xludf.DUMMYFUNCTION("""COMPUTED_VALUE"""),"FELTCRAFT DOLL MOLLY")</f>
        <v>FELTCRAFT DOLL MOLLY</v>
      </c>
      <c r="F1186" s="1">
        <f ca="1">IFERROR(__xludf.DUMMYFUNCTION("""COMPUTED_VALUE"""),2)</f>
        <v>2</v>
      </c>
      <c r="G1186" s="1">
        <f ca="1">IFERROR(__xludf.DUMMYFUNCTION("""COMPUTED_VALUE"""),2.95)</f>
        <v>2.95</v>
      </c>
      <c r="J1186" s="1" t="str">
        <f ca="1">IFERROR(__xludf.DUMMYFUNCTION("""COMPUTED_VALUE"""),"BLUE ROSE FABRIC MIRROR")</f>
        <v>BLUE ROSE FABRIC MIRROR</v>
      </c>
      <c r="K1186" s="1">
        <f ca="1">IFERROR(__xludf.DUMMYFUNCTION("""COMPUTED_VALUE"""),2)</f>
        <v>2</v>
      </c>
      <c r="L1186" s="1">
        <f ca="1">IFERROR(__xludf.DUMMYFUNCTION("""COMPUTED_VALUE"""),1.25)</f>
        <v>1.25</v>
      </c>
      <c r="T1186" s="1">
        <f ca="1">IFERROR(__xludf.DUMMYFUNCTION("""COMPUTED_VALUE"""),489556)</f>
        <v>489556</v>
      </c>
      <c r="U1186" s="1">
        <f ca="1">IFERROR(__xludf.DUMMYFUNCTION("""COMPUTED_VALUE"""),2.5)</f>
        <v>2.5</v>
      </c>
    </row>
    <row r="1187" spans="1:21" ht="12.75" x14ac:dyDescent="0.2">
      <c r="A1187" s="3">
        <f ca="1">IFERROR(__xludf.DUMMYFUNCTION("""COMPUTED_VALUE"""),40148.5326388888)</f>
        <v>40148.532638888799</v>
      </c>
      <c r="B1187" s="1">
        <f ca="1">IFERROR(__xludf.DUMMYFUNCTION("""COMPUTED_VALUE"""),1.25)</f>
        <v>1.25</v>
      </c>
      <c r="E1187" s="1" t="str">
        <f ca="1">IFERROR(__xludf.DUMMYFUNCTION("""COMPUTED_VALUE"""),"FELTCRAFT DOLL MARIA")</f>
        <v>FELTCRAFT DOLL MARIA</v>
      </c>
      <c r="F1187" s="1">
        <f ca="1">IFERROR(__xludf.DUMMYFUNCTION("""COMPUTED_VALUE"""),2)</f>
        <v>2</v>
      </c>
      <c r="G1187" s="1">
        <f ca="1">IFERROR(__xludf.DUMMYFUNCTION("""COMPUTED_VALUE"""),2.95)</f>
        <v>2.95</v>
      </c>
      <c r="J1187" s="1" t="str">
        <f ca="1">IFERROR(__xludf.DUMMYFUNCTION("""COMPUTED_VALUE"""),"PINK ROSE FABRIC MIRROR")</f>
        <v>PINK ROSE FABRIC MIRROR</v>
      </c>
      <c r="K1187" s="1">
        <f ca="1">IFERROR(__xludf.DUMMYFUNCTION("""COMPUTED_VALUE"""),2)</f>
        <v>2</v>
      </c>
      <c r="L1187" s="1">
        <f ca="1">IFERROR(__xludf.DUMMYFUNCTION("""COMPUTED_VALUE"""),1.25)</f>
        <v>1.25</v>
      </c>
      <c r="T1187" s="1">
        <f ca="1">IFERROR(__xludf.DUMMYFUNCTION("""COMPUTED_VALUE"""),489556)</f>
        <v>489556</v>
      </c>
      <c r="U1187" s="1">
        <f ca="1">IFERROR(__xludf.DUMMYFUNCTION("""COMPUTED_VALUE"""),2.5)</f>
        <v>2.5</v>
      </c>
    </row>
    <row r="1188" spans="1:21" ht="12.75" x14ac:dyDescent="0.2">
      <c r="A1188" s="3">
        <f ca="1">IFERROR(__xludf.DUMMYFUNCTION("""COMPUTED_VALUE"""),40148.5326388888)</f>
        <v>40148.532638888799</v>
      </c>
      <c r="B1188" s="1">
        <f ca="1">IFERROR(__xludf.DUMMYFUNCTION("""COMPUTED_VALUE"""),0.85)</f>
        <v>0.85</v>
      </c>
      <c r="E1188" s="1" t="str">
        <f ca="1">IFERROR(__xludf.DUMMYFUNCTION("""COMPUTED_VALUE"""),"COSY HOUR CIGAR BOX MATCHES")</f>
        <v>COSY HOUR CIGAR BOX MATCHES</v>
      </c>
      <c r="F1188" s="1">
        <f ca="1">IFERROR(__xludf.DUMMYFUNCTION("""COMPUTED_VALUE"""),2)</f>
        <v>2</v>
      </c>
      <c r="G1188" s="1">
        <f ca="1">IFERROR(__xludf.DUMMYFUNCTION("""COMPUTED_VALUE"""),1.25)</f>
        <v>1.25</v>
      </c>
      <c r="J1188" s="1" t="str">
        <f ca="1">IFERROR(__xludf.DUMMYFUNCTION("""COMPUTED_VALUE"""),"12 PENCILS TALL TUBE RED SPOTTY")</f>
        <v>12 PENCILS TALL TUBE RED SPOTTY</v>
      </c>
      <c r="K1188" s="1">
        <f ca="1">IFERROR(__xludf.DUMMYFUNCTION("""COMPUTED_VALUE"""),2)</f>
        <v>2</v>
      </c>
      <c r="L1188" s="1">
        <f ca="1">IFERROR(__xludf.DUMMYFUNCTION("""COMPUTED_VALUE"""),0.85)</f>
        <v>0.85</v>
      </c>
      <c r="T1188" s="1">
        <f ca="1">IFERROR(__xludf.DUMMYFUNCTION("""COMPUTED_VALUE"""),489556)</f>
        <v>489556</v>
      </c>
      <c r="U1188" s="1">
        <f ca="1">IFERROR(__xludf.DUMMYFUNCTION("""COMPUTED_VALUE"""),1.7)</f>
        <v>1.7</v>
      </c>
    </row>
    <row r="1189" spans="1:21" ht="12.75" x14ac:dyDescent="0.2">
      <c r="A1189" s="3">
        <f ca="1">IFERROR(__xludf.DUMMYFUNCTION("""COMPUTED_VALUE"""),40148.5326388888)</f>
        <v>40148.532638888799</v>
      </c>
      <c r="B1189" s="1">
        <f ca="1">IFERROR(__xludf.DUMMYFUNCTION("""COMPUTED_VALUE"""),1.25)</f>
        <v>1.25</v>
      </c>
      <c r="E1189" s="1" t="str">
        <f ca="1">IFERROR(__xludf.DUMMYFUNCTION("""COMPUTED_VALUE"""),"BLOKEY SILVER TOOL SET")</f>
        <v>BLOKEY SILVER TOOL SET</v>
      </c>
      <c r="F1189" s="1">
        <f ca="1">IFERROR(__xludf.DUMMYFUNCTION("""COMPUTED_VALUE"""),1)</f>
        <v>1</v>
      </c>
      <c r="G1189" s="1">
        <f ca="1">IFERROR(__xludf.DUMMYFUNCTION("""COMPUTED_VALUE"""),4.95)</f>
        <v>4.95</v>
      </c>
      <c r="J1189" s="1" t="str">
        <f ca="1">IFERROR(__xludf.DUMMYFUNCTION("""COMPUTED_VALUE"""),"36 PENCILS TUBE WOODLAND")</f>
        <v>36 PENCILS TUBE WOODLAND</v>
      </c>
      <c r="K1189" s="1">
        <f ca="1">IFERROR(__xludf.DUMMYFUNCTION("""COMPUTED_VALUE"""),2)</f>
        <v>2</v>
      </c>
      <c r="L1189" s="1">
        <f ca="1">IFERROR(__xludf.DUMMYFUNCTION("""COMPUTED_VALUE"""),1.25)</f>
        <v>1.25</v>
      </c>
      <c r="T1189" s="1">
        <f ca="1">IFERROR(__xludf.DUMMYFUNCTION("""COMPUTED_VALUE"""),489556)</f>
        <v>489556</v>
      </c>
      <c r="U1189" s="1">
        <f ca="1">IFERROR(__xludf.DUMMYFUNCTION("""COMPUTED_VALUE"""),2.5)</f>
        <v>2.5</v>
      </c>
    </row>
    <row r="1190" spans="1:21" ht="12.75" x14ac:dyDescent="0.2">
      <c r="A1190" s="3">
        <f ca="1">IFERROR(__xludf.DUMMYFUNCTION("""COMPUTED_VALUE"""),40148.5326388888)</f>
        <v>40148.532638888799</v>
      </c>
      <c r="B1190" s="1">
        <f ca="1">IFERROR(__xludf.DUMMYFUNCTION("""COMPUTED_VALUE"""),1.25)</f>
        <v>1.25</v>
      </c>
      <c r="E1190" s="1" t="str">
        <f ca="1">IFERROR(__xludf.DUMMYFUNCTION("""COMPUTED_VALUE"""),"STRAWBERRY CERAMIC TRINKET BOX")</f>
        <v>STRAWBERRY CERAMIC TRINKET BOX</v>
      </c>
      <c r="F1190" s="1">
        <f ca="1">IFERROR(__xludf.DUMMYFUNCTION("""COMPUTED_VALUE"""),12)</f>
        <v>12</v>
      </c>
      <c r="G1190" s="1">
        <f ca="1">IFERROR(__xludf.DUMMYFUNCTION("""COMPUTED_VALUE"""),1.25)</f>
        <v>1.25</v>
      </c>
      <c r="J1190" s="1" t="str">
        <f ca="1">IFERROR(__xludf.DUMMYFUNCTION("""COMPUTED_VALUE"""),"36 PENCILS TUBE WOODLAND")</f>
        <v>36 PENCILS TUBE WOODLAND</v>
      </c>
      <c r="K1190" s="1">
        <f ca="1">IFERROR(__xludf.DUMMYFUNCTION("""COMPUTED_VALUE"""),2)</f>
        <v>2</v>
      </c>
      <c r="L1190" s="1">
        <f ca="1">IFERROR(__xludf.DUMMYFUNCTION("""COMPUTED_VALUE"""),1.25)</f>
        <v>1.25</v>
      </c>
      <c r="T1190" s="1">
        <f ca="1">IFERROR(__xludf.DUMMYFUNCTION("""COMPUTED_VALUE"""),489556)</f>
        <v>489556</v>
      </c>
      <c r="U1190" s="1">
        <f ca="1">IFERROR(__xludf.DUMMYFUNCTION("""COMPUTED_VALUE"""),2.5)</f>
        <v>2.5</v>
      </c>
    </row>
    <row r="1191" spans="1:21" ht="12.75" x14ac:dyDescent="0.2">
      <c r="A1191" s="3">
        <f ca="1">IFERROR(__xludf.DUMMYFUNCTION("""COMPUTED_VALUE"""),40148.5326388888)</f>
        <v>40148.532638888799</v>
      </c>
      <c r="B1191" s="1">
        <f ca="1">IFERROR(__xludf.DUMMYFUNCTION("""COMPUTED_VALUE"""),9.95)</f>
        <v>9.9499999999999993</v>
      </c>
      <c r="E1191" s="1" t="str">
        <f ca="1">IFERROR(__xludf.DUMMYFUNCTION("""COMPUTED_VALUE"""),"SWEETHEART CERAMIC TRINKET BOX")</f>
        <v>SWEETHEART CERAMIC TRINKET BOX</v>
      </c>
      <c r="F1191" s="1">
        <f ca="1">IFERROR(__xludf.DUMMYFUNCTION("""COMPUTED_VALUE"""),11)</f>
        <v>11</v>
      </c>
      <c r="G1191" s="1">
        <f ca="1">IFERROR(__xludf.DUMMYFUNCTION("""COMPUTED_VALUE"""),1.25)</f>
        <v>1.25</v>
      </c>
      <c r="J1191" s="1" t="str">
        <f ca="1">IFERROR(__xludf.DUMMYFUNCTION("""COMPUTED_VALUE"""),"VINTAGE CREAM 3 BASKET CAKE STAND")</f>
        <v>VINTAGE CREAM 3 BASKET CAKE STAND</v>
      </c>
      <c r="K1191" s="1">
        <f ca="1">IFERROR(__xludf.DUMMYFUNCTION("""COMPUTED_VALUE"""),2)</f>
        <v>2</v>
      </c>
      <c r="L1191" s="1">
        <f ca="1">IFERROR(__xludf.DUMMYFUNCTION("""COMPUTED_VALUE"""),9.95)</f>
        <v>9.9499999999999993</v>
      </c>
      <c r="T1191" s="1">
        <f ca="1">IFERROR(__xludf.DUMMYFUNCTION("""COMPUTED_VALUE"""),489556)</f>
        <v>489556</v>
      </c>
      <c r="U1191" s="1">
        <f ca="1">IFERROR(__xludf.DUMMYFUNCTION("""COMPUTED_VALUE"""),19.9)</f>
        <v>19.899999999999999</v>
      </c>
    </row>
    <row r="1192" spans="1:21" ht="12.75" x14ac:dyDescent="0.2">
      <c r="A1192" s="3">
        <f ca="1">IFERROR(__xludf.DUMMYFUNCTION("""COMPUTED_VALUE"""),40148.5326388888)</f>
        <v>40148.532638888799</v>
      </c>
      <c r="B1192" s="1">
        <f ca="1">IFERROR(__xludf.DUMMYFUNCTION("""COMPUTED_VALUE"""),3.95)</f>
        <v>3.95</v>
      </c>
      <c r="E1192" s="1" t="str">
        <f ca="1">IFERROR(__xludf.DUMMYFUNCTION("""COMPUTED_VALUE"""),"SMALL DOLLY MIX DESIGN ORANGE BOWL")</f>
        <v>SMALL DOLLY MIX DESIGN ORANGE BOWL</v>
      </c>
      <c r="F1192" s="1">
        <f ca="1">IFERROR(__xludf.DUMMYFUNCTION("""COMPUTED_VALUE"""),8)</f>
        <v>8</v>
      </c>
      <c r="G1192" s="1">
        <f ca="1">IFERROR(__xludf.DUMMYFUNCTION("""COMPUTED_VALUE"""),1.25)</f>
        <v>1.25</v>
      </c>
      <c r="J1192" s="1" t="str">
        <f ca="1">IFERROR(__xludf.DUMMYFUNCTION("""COMPUTED_VALUE"""),"CREAM HEART CARD HOLDER")</f>
        <v>CREAM HEART CARD HOLDER</v>
      </c>
      <c r="K1192" s="1">
        <f ca="1">IFERROR(__xludf.DUMMYFUNCTION("""COMPUTED_VALUE"""),2)</f>
        <v>2</v>
      </c>
      <c r="L1192" s="1">
        <f ca="1">IFERROR(__xludf.DUMMYFUNCTION("""COMPUTED_VALUE"""),3.95)</f>
        <v>3.95</v>
      </c>
      <c r="T1192" s="1">
        <f ca="1">IFERROR(__xludf.DUMMYFUNCTION("""COMPUTED_VALUE"""),489556)</f>
        <v>489556</v>
      </c>
      <c r="U1192" s="1">
        <f ca="1">IFERROR(__xludf.DUMMYFUNCTION("""COMPUTED_VALUE"""),7.9)</f>
        <v>7.9</v>
      </c>
    </row>
    <row r="1193" spans="1:21" ht="12.75" x14ac:dyDescent="0.2">
      <c r="A1193" s="3">
        <f ca="1">IFERROR(__xludf.DUMMYFUNCTION("""COMPUTED_VALUE"""),40148.5326388888)</f>
        <v>40148.532638888799</v>
      </c>
      <c r="B1193" s="1">
        <f ca="1">IFERROR(__xludf.DUMMYFUNCTION("""COMPUTED_VALUE"""),9.95)</f>
        <v>9.9499999999999993</v>
      </c>
      <c r="E1193" s="1" t="str">
        <f ca="1">IFERROR(__xludf.DUMMYFUNCTION("""COMPUTED_VALUE"""),"TEA TIME MUG IN GIFT BOX")</f>
        <v>TEA TIME MUG IN GIFT BOX</v>
      </c>
      <c r="F1193" s="1">
        <f ca="1">IFERROR(__xludf.DUMMYFUNCTION("""COMPUTED_VALUE"""),8)</f>
        <v>8</v>
      </c>
      <c r="G1193" s="1">
        <f ca="1">IFERROR(__xludf.DUMMYFUNCTION("""COMPUTED_VALUE"""),2.95)</f>
        <v>2.95</v>
      </c>
      <c r="J1193" s="1" t="str">
        <f ca="1">IFERROR(__xludf.DUMMYFUNCTION("""COMPUTED_VALUE"""),"RED SPOTTY ROUND CAKE TINS")</f>
        <v>RED SPOTTY ROUND CAKE TINS</v>
      </c>
      <c r="K1193" s="1">
        <f ca="1">IFERROR(__xludf.DUMMYFUNCTION("""COMPUTED_VALUE"""),2)</f>
        <v>2</v>
      </c>
      <c r="L1193" s="1">
        <f ca="1">IFERROR(__xludf.DUMMYFUNCTION("""COMPUTED_VALUE"""),9.95)</f>
        <v>9.9499999999999993</v>
      </c>
      <c r="T1193" s="1">
        <f ca="1">IFERROR(__xludf.DUMMYFUNCTION("""COMPUTED_VALUE"""),489556)</f>
        <v>489556</v>
      </c>
      <c r="U1193" s="1">
        <f ca="1">IFERROR(__xludf.DUMMYFUNCTION("""COMPUTED_VALUE"""),19.9)</f>
        <v>19.899999999999999</v>
      </c>
    </row>
    <row r="1194" spans="1:21" ht="12.75" x14ac:dyDescent="0.2">
      <c r="A1194" s="3">
        <f ca="1">IFERROR(__xludf.DUMMYFUNCTION("""COMPUTED_VALUE"""),40148.5326388888)</f>
        <v>40148.532638888799</v>
      </c>
      <c r="B1194" s="1">
        <f ca="1">IFERROR(__xludf.DUMMYFUNCTION("""COMPUTED_VALUE"""),1.25)</f>
        <v>1.25</v>
      </c>
      <c r="E1194" s="1" t="str">
        <f ca="1">IFERROR(__xludf.DUMMYFUNCTION("""COMPUTED_VALUE"""),"JELLY BABIES YELLOW SMALL BOWL")</f>
        <v>JELLY BABIES YELLOW SMALL BOWL</v>
      </c>
      <c r="F1194" s="1">
        <f ca="1">IFERROR(__xludf.DUMMYFUNCTION("""COMPUTED_VALUE"""),7)</f>
        <v>7</v>
      </c>
      <c r="G1194" s="1">
        <f ca="1">IFERROR(__xludf.DUMMYFUNCTION("""COMPUTED_VALUE"""),1.25)</f>
        <v>1.25</v>
      </c>
      <c r="J1194" s="1" t="str">
        <f ca="1">IFERROR(__xludf.DUMMYFUNCTION("""COMPUTED_VALUE"""),"KINGS CHOICE MUG")</f>
        <v>KINGS CHOICE MUG</v>
      </c>
      <c r="K1194" s="1">
        <f ca="1">IFERROR(__xludf.DUMMYFUNCTION("""COMPUTED_VALUE"""),2)</f>
        <v>2</v>
      </c>
      <c r="L1194" s="1">
        <f ca="1">IFERROR(__xludf.DUMMYFUNCTION("""COMPUTED_VALUE"""),1.25)</f>
        <v>1.25</v>
      </c>
      <c r="T1194" s="1">
        <f ca="1">IFERROR(__xludf.DUMMYFUNCTION("""COMPUTED_VALUE"""),489556)</f>
        <v>489556</v>
      </c>
      <c r="U1194" s="1">
        <f ca="1">IFERROR(__xludf.DUMMYFUNCTION("""COMPUTED_VALUE"""),2.5)</f>
        <v>2.5</v>
      </c>
    </row>
    <row r="1195" spans="1:21" ht="12.75" x14ac:dyDescent="0.2">
      <c r="A1195" s="3">
        <f ca="1">IFERROR(__xludf.DUMMYFUNCTION("""COMPUTED_VALUE"""),40148.5326388888)</f>
        <v>40148.532638888799</v>
      </c>
      <c r="B1195" s="1">
        <f ca="1">IFERROR(__xludf.DUMMYFUNCTION("""COMPUTED_VALUE"""),1.25)</f>
        <v>1.25</v>
      </c>
      <c r="E1195" s="1" t="str">
        <f ca="1">IFERROR(__xludf.DUMMYFUNCTION("""COMPUTED_VALUE"""),"RED SPOTTY BOWL")</f>
        <v>RED SPOTTY BOWL</v>
      </c>
      <c r="F1195" s="1">
        <f ca="1">IFERROR(__xludf.DUMMYFUNCTION("""COMPUTED_VALUE"""),6)</f>
        <v>6</v>
      </c>
      <c r="G1195" s="1">
        <f ca="1">IFERROR(__xludf.DUMMYFUNCTION("""COMPUTED_VALUE"""),1.25)</f>
        <v>1.25</v>
      </c>
      <c r="J1195" s="1" t="str">
        <f ca="1">IFERROR(__xludf.DUMMYFUNCTION("""COMPUTED_VALUE"""),"ROSE FOLKART HEART DECORATIONS")</f>
        <v>ROSE FOLKART HEART DECORATIONS</v>
      </c>
      <c r="K1195" s="1">
        <f ca="1">IFERROR(__xludf.DUMMYFUNCTION("""COMPUTED_VALUE"""),2)</f>
        <v>2</v>
      </c>
      <c r="L1195" s="1">
        <f ca="1">IFERROR(__xludf.DUMMYFUNCTION("""COMPUTED_VALUE"""),1.25)</f>
        <v>1.25</v>
      </c>
      <c r="T1195" s="1">
        <f ca="1">IFERROR(__xludf.DUMMYFUNCTION("""COMPUTED_VALUE"""),489556)</f>
        <v>489556</v>
      </c>
      <c r="U1195" s="1">
        <f ca="1">IFERROR(__xludf.DUMMYFUNCTION("""COMPUTED_VALUE"""),2.5)</f>
        <v>2.5</v>
      </c>
    </row>
    <row r="1196" spans="1:21" ht="12.75" x14ac:dyDescent="0.2">
      <c r="A1196" s="3">
        <f ca="1">IFERROR(__xludf.DUMMYFUNCTION("""COMPUTED_VALUE"""),40148.5326388888)</f>
        <v>40148.532638888799</v>
      </c>
      <c r="B1196" s="1">
        <f ca="1">IFERROR(__xludf.DUMMYFUNCTION("""COMPUTED_VALUE"""),2.1)</f>
        <v>2.1</v>
      </c>
      <c r="E1196" s="1" t="str">
        <f ca="1">IFERROR(__xludf.DUMMYFUNCTION("""COMPUTED_VALUE"""),"PIZZA SLICE DISH")</f>
        <v>PIZZA SLICE DISH</v>
      </c>
      <c r="F1196" s="1">
        <f ca="1">IFERROR(__xludf.DUMMYFUNCTION("""COMPUTED_VALUE"""),6)</f>
        <v>6</v>
      </c>
      <c r="G1196" s="1">
        <f ca="1">IFERROR(__xludf.DUMMYFUNCTION("""COMPUTED_VALUE"""),1.25)</f>
        <v>1.25</v>
      </c>
      <c r="J1196" s="1" t="str">
        <f ca="1">IFERROR(__xludf.DUMMYFUNCTION("""COMPUTED_VALUE"""),"CHRISTMAS CRAFT HEART DECORATIONS")</f>
        <v>CHRISTMAS CRAFT HEART DECORATIONS</v>
      </c>
      <c r="K1196" s="1">
        <f ca="1">IFERROR(__xludf.DUMMYFUNCTION("""COMPUTED_VALUE"""),2)</f>
        <v>2</v>
      </c>
      <c r="L1196" s="1">
        <f ca="1">IFERROR(__xludf.DUMMYFUNCTION("""COMPUTED_VALUE"""),2.1)</f>
        <v>2.1</v>
      </c>
      <c r="T1196" s="1">
        <f ca="1">IFERROR(__xludf.DUMMYFUNCTION("""COMPUTED_VALUE"""),489556)</f>
        <v>489556</v>
      </c>
      <c r="U1196" s="1">
        <f ca="1">IFERROR(__xludf.DUMMYFUNCTION("""COMPUTED_VALUE"""),4.2)</f>
        <v>4.2</v>
      </c>
    </row>
    <row r="1197" spans="1:21" ht="12.75" x14ac:dyDescent="0.2">
      <c r="A1197" s="3">
        <f ca="1">IFERROR(__xludf.DUMMYFUNCTION("""COMPUTED_VALUE"""),40148.5326388888)</f>
        <v>40148.532638888799</v>
      </c>
      <c r="B1197" s="1">
        <f ca="1">IFERROR(__xludf.DUMMYFUNCTION("""COMPUTED_VALUE"""),2.95)</f>
        <v>2.95</v>
      </c>
      <c r="E1197" s="1" t="str">
        <f ca="1">IFERROR(__xludf.DUMMYFUNCTION("""COMPUTED_VALUE"""),"CHRISTMAS PUDDING TRINKET POT")</f>
        <v>CHRISTMAS PUDDING TRINKET POT</v>
      </c>
      <c r="F1197" s="1">
        <f ca="1">IFERROR(__xludf.DUMMYFUNCTION("""COMPUTED_VALUE"""),6)</f>
        <v>6</v>
      </c>
      <c r="G1197" s="1">
        <f ca="1">IFERROR(__xludf.DUMMYFUNCTION("""COMPUTED_VALUE"""),1.45)</f>
        <v>1.45</v>
      </c>
      <c r="J1197" s="1" t="str">
        <f ca="1">IFERROR(__xludf.DUMMYFUNCTION("""COMPUTED_VALUE"""),"COSY SLIPPER SHOES LARGE RED")</f>
        <v>COSY SLIPPER SHOES LARGE RED</v>
      </c>
      <c r="K1197" s="1">
        <f ca="1">IFERROR(__xludf.DUMMYFUNCTION("""COMPUTED_VALUE"""),2)</f>
        <v>2</v>
      </c>
      <c r="L1197" s="1">
        <f ca="1">IFERROR(__xludf.DUMMYFUNCTION("""COMPUTED_VALUE"""),2.95)</f>
        <v>2.95</v>
      </c>
      <c r="T1197" s="1">
        <f ca="1">IFERROR(__xludf.DUMMYFUNCTION("""COMPUTED_VALUE"""),489556)</f>
        <v>489556</v>
      </c>
      <c r="U1197" s="1">
        <f ca="1">IFERROR(__xludf.DUMMYFUNCTION("""COMPUTED_VALUE"""),5.9)</f>
        <v>5.9</v>
      </c>
    </row>
    <row r="1198" spans="1:21" ht="12.75" x14ac:dyDescent="0.2">
      <c r="A1198" s="3">
        <f ca="1">IFERROR(__xludf.DUMMYFUNCTION("""COMPUTED_VALUE"""),40148.5326388888)</f>
        <v>40148.532638888799</v>
      </c>
      <c r="B1198" s="1">
        <f ca="1">IFERROR(__xludf.DUMMYFUNCTION("""COMPUTED_VALUE"""),1.65)</f>
        <v>1.65</v>
      </c>
      <c r="E1198" s="1" t="str">
        <f ca="1">IFERROR(__xludf.DUMMYFUNCTION("""COMPUTED_VALUE"""),"WOODEN PICTURE FRAME WHITE FINISH")</f>
        <v>WOODEN PICTURE FRAME WHITE FINISH</v>
      </c>
      <c r="F1198" s="1">
        <f ca="1">IFERROR(__xludf.DUMMYFUNCTION("""COMPUTED_VALUE"""),6)</f>
        <v>6</v>
      </c>
      <c r="G1198" s="1">
        <f ca="1">IFERROR(__xludf.DUMMYFUNCTION("""COMPUTED_VALUE"""),2.55)</f>
        <v>2.5499999999999998</v>
      </c>
      <c r="J1198" s="1" t="str">
        <f ca="1">IFERROR(__xludf.DUMMYFUNCTION("""COMPUTED_VALUE"""),"LARGE HEART MEASURING SPOONS")</f>
        <v>LARGE HEART MEASURING SPOONS</v>
      </c>
      <c r="K1198" s="1">
        <f ca="1">IFERROR(__xludf.DUMMYFUNCTION("""COMPUTED_VALUE"""),2)</f>
        <v>2</v>
      </c>
      <c r="L1198" s="1">
        <f ca="1">IFERROR(__xludf.DUMMYFUNCTION("""COMPUTED_VALUE"""),1.65)</f>
        <v>1.65</v>
      </c>
      <c r="T1198" s="1">
        <f ca="1">IFERROR(__xludf.DUMMYFUNCTION("""COMPUTED_VALUE"""),489556)</f>
        <v>489556</v>
      </c>
      <c r="U1198" s="1">
        <f ca="1">IFERROR(__xludf.DUMMYFUNCTION("""COMPUTED_VALUE"""),3.3)</f>
        <v>3.3</v>
      </c>
    </row>
    <row r="1199" spans="1:21" ht="12.75" x14ac:dyDescent="0.2">
      <c r="A1199" s="3">
        <f ca="1">IFERROR(__xludf.DUMMYFUNCTION("""COMPUTED_VALUE"""),40148.5326388888)</f>
        <v>40148.532638888799</v>
      </c>
      <c r="B1199" s="1">
        <f ca="1">IFERROR(__xludf.DUMMYFUNCTION("""COMPUTED_VALUE"""),2.95)</f>
        <v>2.95</v>
      </c>
      <c r="E1199" s="1" t="str">
        <f ca="1">IFERROR(__xludf.DUMMYFUNCTION("""COMPUTED_VALUE"""),"SMALL LICORICE DES PINK BOWL")</f>
        <v>SMALL LICORICE DES PINK BOWL</v>
      </c>
      <c r="F1199" s="1">
        <f ca="1">IFERROR(__xludf.DUMMYFUNCTION("""COMPUTED_VALUE"""),5)</f>
        <v>5</v>
      </c>
      <c r="G1199" s="1">
        <f ca="1">IFERROR(__xludf.DUMMYFUNCTION("""COMPUTED_VALUE"""),1.25)</f>
        <v>1.25</v>
      </c>
      <c r="J1199" s="1" t="str">
        <f ca="1">IFERROR(__xludf.DUMMYFUNCTION("""COMPUTED_VALUE"""),"COSY SLIPPER SHOES SMALL  RED")</f>
        <v>COSY SLIPPER SHOES SMALL  RED</v>
      </c>
      <c r="K1199" s="1">
        <f ca="1">IFERROR(__xludf.DUMMYFUNCTION("""COMPUTED_VALUE"""),2)</f>
        <v>2</v>
      </c>
      <c r="L1199" s="1">
        <f ca="1">IFERROR(__xludf.DUMMYFUNCTION("""COMPUTED_VALUE"""),2.95)</f>
        <v>2.95</v>
      </c>
      <c r="T1199" s="1">
        <f ca="1">IFERROR(__xludf.DUMMYFUNCTION("""COMPUTED_VALUE"""),489556)</f>
        <v>489556</v>
      </c>
      <c r="U1199" s="1">
        <f ca="1">IFERROR(__xludf.DUMMYFUNCTION("""COMPUTED_VALUE"""),5.9)</f>
        <v>5.9</v>
      </c>
    </row>
    <row r="1200" spans="1:21" ht="12.75" x14ac:dyDescent="0.2">
      <c r="A1200" s="3">
        <f ca="1">IFERROR(__xludf.DUMMYFUNCTION("""COMPUTED_VALUE"""),40148.5326388888)</f>
        <v>40148.532638888799</v>
      </c>
      <c r="B1200" s="1">
        <f ca="1">IFERROR(__xludf.DUMMYFUNCTION("""COMPUTED_VALUE"""),2.1)</f>
        <v>2.1</v>
      </c>
      <c r="E1200" s="1" t="str">
        <f ca="1">IFERROR(__xludf.DUMMYFUNCTION("""COMPUTED_VALUE"""),"SMALL CHOCOLATES PINK BOWL")</f>
        <v>SMALL CHOCOLATES PINK BOWL</v>
      </c>
      <c r="F1200" s="1">
        <f ca="1">IFERROR(__xludf.DUMMYFUNCTION("""COMPUTED_VALUE"""),5)</f>
        <v>5</v>
      </c>
      <c r="G1200" s="1">
        <f ca="1">IFERROR(__xludf.DUMMYFUNCTION("""COMPUTED_VALUE"""),1.25)</f>
        <v>1.25</v>
      </c>
      <c r="J1200" s="1" t="str">
        <f ca="1">IFERROR(__xludf.DUMMYFUNCTION("""COMPUTED_VALUE"""),"POCKET BAG PINK PAISELY BROWN SPOT")</f>
        <v>POCKET BAG PINK PAISELY BROWN SPOT</v>
      </c>
      <c r="K1200" s="1">
        <f ca="1">IFERROR(__xludf.DUMMYFUNCTION("""COMPUTED_VALUE"""),2)</f>
        <v>2</v>
      </c>
      <c r="L1200" s="1">
        <f ca="1">IFERROR(__xludf.DUMMYFUNCTION("""COMPUTED_VALUE"""),2.1)</f>
        <v>2.1</v>
      </c>
      <c r="T1200" s="1">
        <f ca="1">IFERROR(__xludf.DUMMYFUNCTION("""COMPUTED_VALUE"""),489556)</f>
        <v>489556</v>
      </c>
      <c r="U1200" s="1">
        <f ca="1">IFERROR(__xludf.DUMMYFUNCTION("""COMPUTED_VALUE"""),4.2)</f>
        <v>4.2</v>
      </c>
    </row>
    <row r="1201" spans="1:21" ht="12.75" x14ac:dyDescent="0.2">
      <c r="A1201" s="3">
        <f ca="1">IFERROR(__xludf.DUMMYFUNCTION("""COMPUTED_VALUE"""),40148.5326388888)</f>
        <v>40148.532638888799</v>
      </c>
      <c r="B1201" s="1">
        <f ca="1">IFERROR(__xludf.DUMMYFUNCTION("""COMPUTED_VALUE"""),4.25)</f>
        <v>4.25</v>
      </c>
      <c r="E1201" s="1" t="str">
        <f ca="1">IFERROR(__xludf.DUMMYFUNCTION("""COMPUTED_VALUE"""),"SET/6 PURPLE BUTTERFLY T-LIGHTS")</f>
        <v>SET/6 PURPLE BUTTERFLY T-LIGHTS</v>
      </c>
      <c r="F1201" s="1">
        <f ca="1">IFERROR(__xludf.DUMMYFUNCTION("""COMPUTED_VALUE"""),4)</f>
        <v>4</v>
      </c>
      <c r="G1201" s="1">
        <f ca="1">IFERROR(__xludf.DUMMYFUNCTION("""COMPUTED_VALUE"""),2.1)</f>
        <v>2.1</v>
      </c>
      <c r="J1201" s="1" t="str">
        <f ca="1">IFERROR(__xludf.DUMMYFUNCTION("""COMPUTED_VALUE"""),"BABY MOUSE RED GINGHAM DRESS")</f>
        <v>BABY MOUSE RED GINGHAM DRESS</v>
      </c>
      <c r="K1201" s="1">
        <f ca="1">IFERROR(__xludf.DUMMYFUNCTION("""COMPUTED_VALUE"""),2)</f>
        <v>2</v>
      </c>
      <c r="L1201" s="1">
        <f ca="1">IFERROR(__xludf.DUMMYFUNCTION("""COMPUTED_VALUE"""),4.25)</f>
        <v>4.25</v>
      </c>
      <c r="T1201" s="1">
        <f ca="1">IFERROR(__xludf.DUMMYFUNCTION("""COMPUTED_VALUE"""),489556)</f>
        <v>489556</v>
      </c>
      <c r="U1201" s="1">
        <f ca="1">IFERROR(__xludf.DUMMYFUNCTION("""COMPUTED_VALUE"""),8.5)</f>
        <v>8.5</v>
      </c>
    </row>
    <row r="1202" spans="1:21" ht="12.75" x14ac:dyDescent="0.2">
      <c r="A1202" s="3">
        <f ca="1">IFERROR(__xludf.DUMMYFUNCTION("""COMPUTED_VALUE"""),40148.5326388888)</f>
        <v>40148.532638888799</v>
      </c>
      <c r="B1202" s="1">
        <f ca="1">IFERROR(__xludf.DUMMYFUNCTION("""COMPUTED_VALUE"""),4.25)</f>
        <v>4.25</v>
      </c>
      <c r="E1202" s="1" t="str">
        <f ca="1">IFERROR(__xludf.DUMMYFUNCTION("""COMPUTED_VALUE"""),"BLUE SPOTTY BOWL")</f>
        <v>BLUE SPOTTY BOWL</v>
      </c>
      <c r="F1202" s="1">
        <f ca="1">IFERROR(__xludf.DUMMYFUNCTION("""COMPUTED_VALUE"""),4)</f>
        <v>4</v>
      </c>
      <c r="G1202" s="1">
        <f ca="1">IFERROR(__xludf.DUMMYFUNCTION("""COMPUTED_VALUE"""),1.25)</f>
        <v>1.25</v>
      </c>
      <c r="J1202" s="1" t="str">
        <f ca="1">IFERROR(__xludf.DUMMYFUNCTION("""COMPUTED_VALUE"""),"ROSE DU SUD CHILDS APRON")</f>
        <v>ROSE DU SUD CHILDS APRON</v>
      </c>
      <c r="K1202" s="1">
        <f ca="1">IFERROR(__xludf.DUMMYFUNCTION("""COMPUTED_VALUE"""),2)</f>
        <v>2</v>
      </c>
      <c r="L1202" s="1">
        <f ca="1">IFERROR(__xludf.DUMMYFUNCTION("""COMPUTED_VALUE"""),4.25)</f>
        <v>4.25</v>
      </c>
      <c r="T1202" s="1">
        <f ca="1">IFERROR(__xludf.DUMMYFUNCTION("""COMPUTED_VALUE"""),489556)</f>
        <v>489556</v>
      </c>
      <c r="U1202" s="1">
        <f ca="1">IFERROR(__xludf.DUMMYFUNCTION("""COMPUTED_VALUE"""),8.5)</f>
        <v>8.5</v>
      </c>
    </row>
    <row r="1203" spans="1:21" ht="12.75" x14ac:dyDescent="0.2">
      <c r="A1203" s="3">
        <f ca="1">IFERROR(__xludf.DUMMYFUNCTION("""COMPUTED_VALUE"""),40148.5326388888)</f>
        <v>40148.532638888799</v>
      </c>
      <c r="B1203" s="1">
        <f ca="1">IFERROR(__xludf.DUMMYFUNCTION("""COMPUTED_VALUE"""),2.95)</f>
        <v>2.95</v>
      </c>
      <c r="E1203" s="1" t="str">
        <f ca="1">IFERROR(__xludf.DUMMYFUNCTION("""COMPUTED_VALUE"""),"VINTAGE HEADS AND TAILS CARD GAME")</f>
        <v>VINTAGE HEADS AND TAILS CARD GAME</v>
      </c>
      <c r="F1203" s="1">
        <f ca="1">IFERROR(__xludf.DUMMYFUNCTION("""COMPUTED_VALUE"""),4)</f>
        <v>4</v>
      </c>
      <c r="G1203" s="1">
        <f ca="1">IFERROR(__xludf.DUMMYFUNCTION("""COMPUTED_VALUE"""),1.25)</f>
        <v>1.25</v>
      </c>
      <c r="J1203" s="1" t="str">
        <f ca="1">IFERROR(__xludf.DUMMYFUNCTION("""COMPUTED_VALUE"""),"SET OF MEADOW  FLOWER STICKERS")</f>
        <v>SET OF MEADOW  FLOWER STICKERS</v>
      </c>
      <c r="K1203" s="1">
        <f ca="1">IFERROR(__xludf.DUMMYFUNCTION("""COMPUTED_VALUE"""),2)</f>
        <v>2</v>
      </c>
      <c r="L1203" s="1">
        <f ca="1">IFERROR(__xludf.DUMMYFUNCTION("""COMPUTED_VALUE"""),2.95)</f>
        <v>2.95</v>
      </c>
      <c r="T1203" s="1">
        <f ca="1">IFERROR(__xludf.DUMMYFUNCTION("""COMPUTED_VALUE"""),489556)</f>
        <v>489556</v>
      </c>
      <c r="U1203" s="1">
        <f ca="1">IFERROR(__xludf.DUMMYFUNCTION("""COMPUTED_VALUE"""),5.9)</f>
        <v>5.9</v>
      </c>
    </row>
    <row r="1204" spans="1:21" ht="12.75" x14ac:dyDescent="0.2">
      <c r="A1204" s="3">
        <f ca="1">IFERROR(__xludf.DUMMYFUNCTION("""COMPUTED_VALUE"""),40148.5326388888)</f>
        <v>40148.532638888799</v>
      </c>
      <c r="B1204" s="1">
        <f ca="1">IFERROR(__xludf.DUMMYFUNCTION("""COMPUTED_VALUE"""),0.85)</f>
        <v>0.85</v>
      </c>
      <c r="E1204" s="1" t="str">
        <f ca="1">IFERROR(__xludf.DUMMYFUNCTION("""COMPUTED_VALUE"""),"PINK DOUGHNUT TRINKET POT")</f>
        <v>PINK DOUGHNUT TRINKET POT</v>
      </c>
      <c r="F1204" s="1">
        <f ca="1">IFERROR(__xludf.DUMMYFUNCTION("""COMPUTED_VALUE"""),4)</f>
        <v>4</v>
      </c>
      <c r="G1204" s="1">
        <f ca="1">IFERROR(__xludf.DUMMYFUNCTION("""COMPUTED_VALUE"""),1.65)</f>
        <v>1.65</v>
      </c>
      <c r="J1204" s="1" t="str">
        <f ca="1">IFERROR(__xludf.DUMMYFUNCTION("""COMPUTED_VALUE"""),"CINAMMON SET OF 9 T-LIGHTS")</f>
        <v>CINAMMON SET OF 9 T-LIGHTS</v>
      </c>
      <c r="K1204" s="1">
        <f ca="1">IFERROR(__xludf.DUMMYFUNCTION("""COMPUTED_VALUE"""),2)</f>
        <v>2</v>
      </c>
      <c r="L1204" s="1">
        <f ca="1">IFERROR(__xludf.DUMMYFUNCTION("""COMPUTED_VALUE"""),0.85)</f>
        <v>0.85</v>
      </c>
      <c r="T1204" s="1">
        <f ca="1">IFERROR(__xludf.DUMMYFUNCTION("""COMPUTED_VALUE"""),489556)</f>
        <v>489556</v>
      </c>
      <c r="U1204" s="1">
        <f ca="1">IFERROR(__xludf.DUMMYFUNCTION("""COMPUTED_VALUE"""),1.7)</f>
        <v>1.7</v>
      </c>
    </row>
    <row r="1205" spans="1:21" ht="12.75" x14ac:dyDescent="0.2">
      <c r="A1205" s="3">
        <f ca="1">IFERROR(__xludf.DUMMYFUNCTION("""COMPUTED_VALUE"""),40148.5326388888)</f>
        <v>40148.532638888799</v>
      </c>
      <c r="B1205" s="1">
        <f ca="1">IFERROR(__xludf.DUMMYFUNCTION("""COMPUTED_VALUE"""),1.95)</f>
        <v>1.95</v>
      </c>
      <c r="E1205" s="1" t="str">
        <f ca="1">IFERROR(__xludf.DUMMYFUNCTION("""COMPUTED_VALUE"""),"LUNCH BAG WOODLAND")</f>
        <v>LUNCH BAG WOODLAND</v>
      </c>
      <c r="F1205" s="1">
        <f ca="1">IFERROR(__xludf.DUMMYFUNCTION("""COMPUTED_VALUE"""),4)</f>
        <v>4</v>
      </c>
      <c r="G1205" s="1">
        <f ca="1">IFERROR(__xludf.DUMMYFUNCTION("""COMPUTED_VALUE"""),1.65)</f>
        <v>1.65</v>
      </c>
      <c r="J1205" s="1" t="str">
        <f ca="1">IFERROR(__xludf.DUMMYFUNCTION("""COMPUTED_VALUE"""),"POTTERING IN THE SHED METAL SIGN")</f>
        <v>POTTERING IN THE SHED METAL SIGN</v>
      </c>
      <c r="K1205" s="1">
        <f ca="1">IFERROR(__xludf.DUMMYFUNCTION("""COMPUTED_VALUE"""),2)</f>
        <v>2</v>
      </c>
      <c r="L1205" s="1">
        <f ca="1">IFERROR(__xludf.DUMMYFUNCTION("""COMPUTED_VALUE"""),1.95)</f>
        <v>1.95</v>
      </c>
      <c r="T1205" s="1">
        <f ca="1">IFERROR(__xludf.DUMMYFUNCTION("""COMPUTED_VALUE"""),489556)</f>
        <v>489556</v>
      </c>
      <c r="U1205" s="1">
        <f ca="1">IFERROR(__xludf.DUMMYFUNCTION("""COMPUTED_VALUE"""),3.9)</f>
        <v>3.9</v>
      </c>
    </row>
    <row r="1206" spans="1:21" ht="12.75" x14ac:dyDescent="0.2">
      <c r="A1206" s="3">
        <f ca="1">IFERROR(__xludf.DUMMYFUNCTION("""COMPUTED_VALUE"""),40148.5326388888)</f>
        <v>40148.532638888799</v>
      </c>
      <c r="B1206" s="1">
        <f ca="1">IFERROR(__xludf.DUMMYFUNCTION("""COMPUTED_VALUE"""),7.95)</f>
        <v>7.95</v>
      </c>
      <c r="E1206" s="1" t="str">
        <f ca="1">IFERROR(__xludf.DUMMYFUNCTION("""COMPUTED_VALUE"""),"36 PENCILS TUBE WOODLAND")</f>
        <v>36 PENCILS TUBE WOODLAND</v>
      </c>
      <c r="F1206" s="1">
        <f ca="1">IFERROR(__xludf.DUMMYFUNCTION("""COMPUTED_VALUE"""),3)</f>
        <v>3</v>
      </c>
      <c r="G1206" s="1">
        <f ca="1">IFERROR(__xludf.DUMMYFUNCTION("""COMPUTED_VALUE"""),1.25)</f>
        <v>1.25</v>
      </c>
      <c r="J1206" s="1" t="str">
        <f ca="1">IFERROR(__xludf.DUMMYFUNCTION("""COMPUTED_VALUE"""),"WOOD S/3 CABINET ANT WHITE FINISH")</f>
        <v>WOOD S/3 CABINET ANT WHITE FINISH</v>
      </c>
      <c r="K1206" s="1">
        <f ca="1">IFERROR(__xludf.DUMMYFUNCTION("""COMPUTED_VALUE"""),2)</f>
        <v>2</v>
      </c>
      <c r="L1206" s="1">
        <f ca="1">IFERROR(__xludf.DUMMYFUNCTION("""COMPUTED_VALUE"""),7.95)</f>
        <v>7.95</v>
      </c>
      <c r="T1206" s="1">
        <f ca="1">IFERROR(__xludf.DUMMYFUNCTION("""COMPUTED_VALUE"""),489556)</f>
        <v>489556</v>
      </c>
      <c r="U1206" s="1">
        <f ca="1">IFERROR(__xludf.DUMMYFUNCTION("""COMPUTED_VALUE"""),15.9)</f>
        <v>15.9</v>
      </c>
    </row>
    <row r="1207" spans="1:21" ht="12.75" x14ac:dyDescent="0.2">
      <c r="A1207" s="3">
        <f ca="1">IFERROR(__xludf.DUMMYFUNCTION("""COMPUTED_VALUE"""),40148.5326388888)</f>
        <v>40148.532638888799</v>
      </c>
      <c r="B1207" s="1">
        <f ca="1">IFERROR(__xludf.DUMMYFUNCTION("""COMPUTED_VALUE"""),6.75)</f>
        <v>6.75</v>
      </c>
      <c r="E1207" s="1" t="str">
        <f ca="1">IFERROR(__xludf.DUMMYFUNCTION("""COMPUTED_VALUE"""),"CERAMIC CAKE DESIGN SPOTTED MUG")</f>
        <v>CERAMIC CAKE DESIGN SPOTTED MUG</v>
      </c>
      <c r="F1207" s="1">
        <f ca="1">IFERROR(__xludf.DUMMYFUNCTION("""COMPUTED_VALUE"""),3)</f>
        <v>3</v>
      </c>
      <c r="G1207" s="1">
        <f ca="1">IFERROR(__xludf.DUMMYFUNCTION("""COMPUTED_VALUE"""),1.49)</f>
        <v>1.49</v>
      </c>
      <c r="J1207" s="1" t="str">
        <f ca="1">IFERROR(__xludf.DUMMYFUNCTION("""COMPUTED_VALUE"""),"RED SPOTTY COIR DOORMAT")</f>
        <v>RED SPOTTY COIR DOORMAT</v>
      </c>
      <c r="K1207" s="1">
        <f ca="1">IFERROR(__xludf.DUMMYFUNCTION("""COMPUTED_VALUE"""),2)</f>
        <v>2</v>
      </c>
      <c r="L1207" s="1">
        <f ca="1">IFERROR(__xludf.DUMMYFUNCTION("""COMPUTED_VALUE"""),6.75)</f>
        <v>6.75</v>
      </c>
      <c r="T1207" s="1">
        <f ca="1">IFERROR(__xludf.DUMMYFUNCTION("""COMPUTED_VALUE"""),489556)</f>
        <v>489556</v>
      </c>
      <c r="U1207" s="1">
        <f ca="1">IFERROR(__xludf.DUMMYFUNCTION("""COMPUTED_VALUE"""),13.5)</f>
        <v>13.5</v>
      </c>
    </row>
    <row r="1208" spans="1:21" ht="12.75" x14ac:dyDescent="0.2">
      <c r="A1208" s="3">
        <f ca="1">IFERROR(__xludf.DUMMYFUNCTION("""COMPUTED_VALUE"""),40148.5326388888)</f>
        <v>40148.532638888799</v>
      </c>
      <c r="B1208" s="1">
        <f ca="1">IFERROR(__xludf.DUMMYFUNCTION("""COMPUTED_VALUE"""),0.85)</f>
        <v>0.85</v>
      </c>
      <c r="E1208" s="1" t="str">
        <f ca="1">IFERROR(__xludf.DUMMYFUNCTION("""COMPUTED_VALUE"""),"FOOD CONTAINER SET 3 LOVE HEART")</f>
        <v>FOOD CONTAINER SET 3 LOVE HEART</v>
      </c>
      <c r="F1208" s="1">
        <f ca="1">IFERROR(__xludf.DUMMYFUNCTION("""COMPUTED_VALUE"""),3)</f>
        <v>3</v>
      </c>
      <c r="G1208" s="1">
        <f ca="1">IFERROR(__xludf.DUMMYFUNCTION("""COMPUTED_VALUE"""),1.95)</f>
        <v>1.95</v>
      </c>
      <c r="J1208" s="1" t="str">
        <f ca="1">IFERROR(__xludf.DUMMYFUNCTION("""COMPUTED_VALUE"""),"VINTAGE DESIGN GIFT TAGS")</f>
        <v>VINTAGE DESIGN GIFT TAGS</v>
      </c>
      <c r="K1208" s="1">
        <f ca="1">IFERROR(__xludf.DUMMYFUNCTION("""COMPUTED_VALUE"""),2)</f>
        <v>2</v>
      </c>
      <c r="L1208" s="1">
        <f ca="1">IFERROR(__xludf.DUMMYFUNCTION("""COMPUTED_VALUE"""),0.85)</f>
        <v>0.85</v>
      </c>
      <c r="T1208" s="1">
        <f ca="1">IFERROR(__xludf.DUMMYFUNCTION("""COMPUTED_VALUE"""),489556)</f>
        <v>489556</v>
      </c>
      <c r="U1208" s="1">
        <f ca="1">IFERROR(__xludf.DUMMYFUNCTION("""COMPUTED_VALUE"""),1.7)</f>
        <v>1.7</v>
      </c>
    </row>
    <row r="1209" spans="1:21" ht="12.75" x14ac:dyDescent="0.2">
      <c r="A1209" s="3">
        <f ca="1">IFERROR(__xludf.DUMMYFUNCTION("""COMPUTED_VALUE"""),40148.5326388888)</f>
        <v>40148.532638888799</v>
      </c>
      <c r="B1209" s="1">
        <f ca="1">IFERROR(__xludf.DUMMYFUNCTION("""COMPUTED_VALUE"""),2.95)</f>
        <v>2.95</v>
      </c>
      <c r="E1209" s="1" t="str">
        <f ca="1">IFERROR(__xludf.DUMMYFUNCTION("""COMPUTED_VALUE"""),"CERAMIC CAKE BOWL + HANGING CAKES")</f>
        <v>CERAMIC CAKE BOWL + HANGING CAKES</v>
      </c>
      <c r="F1209" s="1">
        <f ca="1">IFERROR(__xludf.DUMMYFUNCTION("""COMPUTED_VALUE"""),3)</f>
        <v>3</v>
      </c>
      <c r="G1209" s="1">
        <f ca="1">IFERROR(__xludf.DUMMYFUNCTION("""COMPUTED_VALUE"""),2.95)</f>
        <v>2.95</v>
      </c>
      <c r="J1209" s="1" t="str">
        <f ca="1">IFERROR(__xludf.DUMMYFUNCTION("""COMPUTED_VALUE"""),"FAWN BLUE HOT WATER BOTTLE")</f>
        <v>FAWN BLUE HOT WATER BOTTLE</v>
      </c>
      <c r="K1209" s="1">
        <f ca="1">IFERROR(__xludf.DUMMYFUNCTION("""COMPUTED_VALUE"""),2)</f>
        <v>2</v>
      </c>
      <c r="L1209" s="1">
        <f ca="1">IFERROR(__xludf.DUMMYFUNCTION("""COMPUTED_VALUE"""),2.95)</f>
        <v>2.95</v>
      </c>
      <c r="T1209" s="1">
        <f ca="1">IFERROR(__xludf.DUMMYFUNCTION("""COMPUTED_VALUE"""),489556)</f>
        <v>489556</v>
      </c>
      <c r="U1209" s="1">
        <f ca="1">IFERROR(__xludf.DUMMYFUNCTION("""COMPUTED_VALUE"""),5.9)</f>
        <v>5.9</v>
      </c>
    </row>
    <row r="1210" spans="1:21" ht="12.75" x14ac:dyDescent="0.2">
      <c r="A1210" s="3">
        <f ca="1">IFERROR(__xludf.DUMMYFUNCTION("""COMPUTED_VALUE"""),40148.5326388888)</f>
        <v>40148.532638888799</v>
      </c>
      <c r="B1210" s="1">
        <f ca="1">IFERROR(__xludf.DUMMYFUNCTION("""COMPUTED_VALUE"""),0.85)</f>
        <v>0.85</v>
      </c>
      <c r="E1210" s="1" t="str">
        <f ca="1">IFERROR(__xludf.DUMMYFUNCTION("""COMPUTED_VALUE"""),"LUNCH BAG RED SPOTTY")</f>
        <v>LUNCH BAG RED SPOTTY</v>
      </c>
      <c r="F1210" s="1">
        <f ca="1">IFERROR(__xludf.DUMMYFUNCTION("""COMPUTED_VALUE"""),3)</f>
        <v>3</v>
      </c>
      <c r="G1210" s="1">
        <f ca="1">IFERROR(__xludf.DUMMYFUNCTION("""COMPUTED_VALUE"""),1.65)</f>
        <v>1.65</v>
      </c>
      <c r="J1210" s="1" t="str">
        <f ca="1">IFERROR(__xludf.DUMMYFUNCTION("""COMPUTED_VALUE"""),"12 PENCILS TALL TUBE WOODLAND")</f>
        <v>12 PENCILS TALL TUBE WOODLAND</v>
      </c>
      <c r="K1210" s="1">
        <f ca="1">IFERROR(__xludf.DUMMYFUNCTION("""COMPUTED_VALUE"""),1)</f>
        <v>1</v>
      </c>
      <c r="L1210" s="1">
        <f ca="1">IFERROR(__xludf.DUMMYFUNCTION("""COMPUTED_VALUE"""),0.85)</f>
        <v>0.85</v>
      </c>
      <c r="T1210" s="1">
        <f ca="1">IFERROR(__xludf.DUMMYFUNCTION("""COMPUTED_VALUE"""),489556)</f>
        <v>489556</v>
      </c>
      <c r="U1210" s="1">
        <f ca="1">IFERROR(__xludf.DUMMYFUNCTION("""COMPUTED_VALUE"""),0.85)</f>
        <v>0.85</v>
      </c>
    </row>
    <row r="1211" spans="1:21" ht="12.75" x14ac:dyDescent="0.2">
      <c r="A1211" s="3">
        <f ca="1">IFERROR(__xludf.DUMMYFUNCTION("""COMPUTED_VALUE"""),40148.5326388888)</f>
        <v>40148.532638888799</v>
      </c>
      <c r="B1211" s="1">
        <f ca="1">IFERROR(__xludf.DUMMYFUNCTION("""COMPUTED_VALUE"""),1.25)</f>
        <v>1.25</v>
      </c>
      <c r="E1211" s="1" t="str">
        <f ca="1">IFERROR(__xludf.DUMMYFUNCTION("""COMPUTED_VALUE"""),"HOT WATER BOTTLE TEA AND SYMPATHY")</f>
        <v>HOT WATER BOTTLE TEA AND SYMPATHY</v>
      </c>
      <c r="F1211" s="1">
        <f ca="1">IFERROR(__xludf.DUMMYFUNCTION("""COMPUTED_VALUE"""),3)</f>
        <v>3</v>
      </c>
      <c r="G1211" s="1">
        <f ca="1">IFERROR(__xludf.DUMMYFUNCTION("""COMPUTED_VALUE"""),3.95)</f>
        <v>3.95</v>
      </c>
      <c r="J1211" s="1" t="str">
        <f ca="1">IFERROR(__xludf.DUMMYFUNCTION("""COMPUTED_VALUE"""),"COLOURING PENCILS BROWN TUBE")</f>
        <v>COLOURING PENCILS BROWN TUBE</v>
      </c>
      <c r="K1211" s="1">
        <f ca="1">IFERROR(__xludf.DUMMYFUNCTION("""COMPUTED_VALUE"""),1)</f>
        <v>1</v>
      </c>
      <c r="L1211" s="1">
        <f ca="1">IFERROR(__xludf.DUMMYFUNCTION("""COMPUTED_VALUE"""),1.25)</f>
        <v>1.25</v>
      </c>
      <c r="T1211" s="1">
        <f ca="1">IFERROR(__xludf.DUMMYFUNCTION("""COMPUTED_VALUE"""),489556)</f>
        <v>489556</v>
      </c>
      <c r="U1211" s="1">
        <f ca="1">IFERROR(__xludf.DUMMYFUNCTION("""COMPUTED_VALUE"""),1.25)</f>
        <v>1.25</v>
      </c>
    </row>
    <row r="1212" spans="1:21" ht="12.75" x14ac:dyDescent="0.2">
      <c r="A1212" s="3">
        <f ca="1">IFERROR(__xludf.DUMMYFUNCTION("""COMPUTED_VALUE"""),40148.5326388888)</f>
        <v>40148.532638888799</v>
      </c>
      <c r="B1212" s="1">
        <f ca="1">IFERROR(__xludf.DUMMYFUNCTION("""COMPUTED_VALUE"""),4.95)</f>
        <v>4.95</v>
      </c>
      <c r="E1212" s="1" t="str">
        <f ca="1">IFERROR(__xludf.DUMMYFUNCTION("""COMPUTED_VALUE"""),"JUMBO STORAGE BAG SUKI")</f>
        <v>JUMBO STORAGE BAG SUKI</v>
      </c>
      <c r="F1212" s="1">
        <f ca="1">IFERROR(__xludf.DUMMYFUNCTION("""COMPUTED_VALUE"""),2)</f>
        <v>2</v>
      </c>
      <c r="G1212" s="1">
        <f ca="1">IFERROR(__xludf.DUMMYFUNCTION("""COMPUTED_VALUE"""),1.95)</f>
        <v>1.95</v>
      </c>
      <c r="J1212" s="1" t="str">
        <f ca="1">IFERROR(__xludf.DUMMYFUNCTION("""COMPUTED_VALUE"""),"SET/3 POLKA DOT STACKING TINS")</f>
        <v>SET/3 POLKA DOT STACKING TINS</v>
      </c>
      <c r="K1212" s="1">
        <f ca="1">IFERROR(__xludf.DUMMYFUNCTION("""COMPUTED_VALUE"""),1)</f>
        <v>1</v>
      </c>
      <c r="L1212" s="1">
        <f ca="1">IFERROR(__xludf.DUMMYFUNCTION("""COMPUTED_VALUE"""),4.95)</f>
        <v>4.95</v>
      </c>
      <c r="T1212" s="1">
        <f ca="1">IFERROR(__xludf.DUMMYFUNCTION("""COMPUTED_VALUE"""),489556)</f>
        <v>489556</v>
      </c>
      <c r="U1212" s="1">
        <f ca="1">IFERROR(__xludf.DUMMYFUNCTION("""COMPUTED_VALUE"""),4.95)</f>
        <v>4.95</v>
      </c>
    </row>
    <row r="1213" spans="1:21" ht="12.75" x14ac:dyDescent="0.2">
      <c r="A1213" s="3">
        <f ca="1">IFERROR(__xludf.DUMMYFUNCTION("""COMPUTED_VALUE"""),40148.5326388888)</f>
        <v>40148.532638888799</v>
      </c>
      <c r="B1213" s="1">
        <f ca="1">IFERROR(__xludf.DUMMYFUNCTION("""COMPUTED_VALUE"""),1.25)</f>
        <v>1.25</v>
      </c>
      <c r="E1213" s="1" t="str">
        <f ca="1">IFERROR(__xludf.DUMMYFUNCTION("""COMPUTED_VALUE"""),"JUMBO  BAG BAROQUE BLACK WHITE")</f>
        <v>JUMBO  BAG BAROQUE BLACK WHITE</v>
      </c>
      <c r="F1213" s="1">
        <f ca="1">IFERROR(__xludf.DUMMYFUNCTION("""COMPUTED_VALUE"""),2)</f>
        <v>2</v>
      </c>
      <c r="G1213" s="1">
        <f ca="1">IFERROR(__xludf.DUMMYFUNCTION("""COMPUTED_VALUE"""),1.95)</f>
        <v>1.95</v>
      </c>
      <c r="J1213" s="1" t="str">
        <f ca="1">IFERROR(__xludf.DUMMYFUNCTION("""COMPUTED_VALUE"""),"PINK CREAM FELT CRAFT TRINKET BOX")</f>
        <v>PINK CREAM FELT CRAFT TRINKET BOX</v>
      </c>
      <c r="K1213" s="1">
        <f ca="1">IFERROR(__xludf.DUMMYFUNCTION("""COMPUTED_VALUE"""),1)</f>
        <v>1</v>
      </c>
      <c r="L1213" s="1">
        <f ca="1">IFERROR(__xludf.DUMMYFUNCTION("""COMPUTED_VALUE"""),1.25)</f>
        <v>1.25</v>
      </c>
      <c r="T1213" s="1">
        <f ca="1">IFERROR(__xludf.DUMMYFUNCTION("""COMPUTED_VALUE"""),489556)</f>
        <v>489556</v>
      </c>
      <c r="U1213" s="1">
        <f ca="1">IFERROR(__xludf.DUMMYFUNCTION("""COMPUTED_VALUE"""),1.25)</f>
        <v>1.25</v>
      </c>
    </row>
    <row r="1214" spans="1:21" ht="12.75" x14ac:dyDescent="0.2">
      <c r="A1214" s="3">
        <f ca="1">IFERROR(__xludf.DUMMYFUNCTION("""COMPUTED_VALUE"""),40148.5326388888)</f>
        <v>40148.532638888799</v>
      </c>
      <c r="B1214" s="1">
        <f ca="1">IFERROR(__xludf.DUMMYFUNCTION("""COMPUTED_VALUE"""),4.95)</f>
        <v>4.95</v>
      </c>
      <c r="E1214" s="1" t="str">
        <f ca="1">IFERROR(__xludf.DUMMYFUNCTION("""COMPUTED_VALUE"""),"JUMBO BAG PINK VINTAGE PAISLEY")</f>
        <v>JUMBO BAG PINK VINTAGE PAISLEY</v>
      </c>
      <c r="F1214" s="1">
        <f ca="1">IFERROR(__xludf.DUMMYFUNCTION("""COMPUTED_VALUE"""),2)</f>
        <v>2</v>
      </c>
      <c r="G1214" s="1">
        <f ca="1">IFERROR(__xludf.DUMMYFUNCTION("""COMPUTED_VALUE"""),1.95)</f>
        <v>1.95</v>
      </c>
      <c r="J1214" s="1" t="str">
        <f ca="1">IFERROR(__xludf.DUMMYFUNCTION("""COMPUTED_VALUE"""),"BAKING SET 9 PIECE RETROSPOT")</f>
        <v>BAKING SET 9 PIECE RETROSPOT</v>
      </c>
      <c r="K1214" s="1">
        <f ca="1">IFERROR(__xludf.DUMMYFUNCTION("""COMPUTED_VALUE"""),1)</f>
        <v>1</v>
      </c>
      <c r="L1214" s="1">
        <f ca="1">IFERROR(__xludf.DUMMYFUNCTION("""COMPUTED_VALUE"""),4.95)</f>
        <v>4.95</v>
      </c>
      <c r="T1214" s="1">
        <f ca="1">IFERROR(__xludf.DUMMYFUNCTION("""COMPUTED_VALUE"""),489556)</f>
        <v>489556</v>
      </c>
      <c r="U1214" s="1">
        <f ca="1">IFERROR(__xludf.DUMMYFUNCTION("""COMPUTED_VALUE"""),4.95)</f>
        <v>4.95</v>
      </c>
    </row>
    <row r="1215" spans="1:21" ht="12.75" x14ac:dyDescent="0.2">
      <c r="A1215" s="3">
        <f ca="1">IFERROR(__xludf.DUMMYFUNCTION("""COMPUTED_VALUE"""),40148.5326388888)</f>
        <v>40148.532638888799</v>
      </c>
      <c r="B1215" s="1">
        <f ca="1">IFERROR(__xludf.DUMMYFUNCTION("""COMPUTED_VALUE"""),3.75)</f>
        <v>3.75</v>
      </c>
      <c r="E1215" s="1" t="str">
        <f ca="1">IFERROR(__xludf.DUMMYFUNCTION("""COMPUTED_VALUE"""),"CERAMIC CAKE DESIGN SPOTTED PLATE")</f>
        <v>CERAMIC CAKE DESIGN SPOTTED PLATE</v>
      </c>
      <c r="F1215" s="1">
        <f ca="1">IFERROR(__xludf.DUMMYFUNCTION("""COMPUTED_VALUE"""),2)</f>
        <v>2</v>
      </c>
      <c r="G1215" s="1">
        <f ca="1">IFERROR(__xludf.DUMMYFUNCTION("""COMPUTED_VALUE"""),1.49)</f>
        <v>1.49</v>
      </c>
      <c r="J1215" s="1" t="str">
        <f ca="1">IFERROR(__xludf.DUMMYFUNCTION("""COMPUTED_VALUE"""),"PINK HEART DOTS HOT WATER BOTTLE")</f>
        <v>PINK HEART DOTS HOT WATER BOTTLE</v>
      </c>
      <c r="K1215" s="1">
        <f ca="1">IFERROR(__xludf.DUMMYFUNCTION("""COMPUTED_VALUE"""),1)</f>
        <v>1</v>
      </c>
      <c r="L1215" s="1">
        <f ca="1">IFERROR(__xludf.DUMMYFUNCTION("""COMPUTED_VALUE"""),3.75)</f>
        <v>3.75</v>
      </c>
      <c r="T1215" s="1">
        <f ca="1">IFERROR(__xludf.DUMMYFUNCTION("""COMPUTED_VALUE"""),489556)</f>
        <v>489556</v>
      </c>
      <c r="U1215" s="1">
        <f ca="1">IFERROR(__xludf.DUMMYFUNCTION("""COMPUTED_VALUE"""),3.75)</f>
        <v>3.75</v>
      </c>
    </row>
    <row r="1216" spans="1:21" ht="12.75" x14ac:dyDescent="0.2">
      <c r="A1216" s="3">
        <f ca="1">IFERROR(__xludf.DUMMYFUNCTION("""COMPUTED_VALUE"""),40148.5326388888)</f>
        <v>40148.532638888799</v>
      </c>
      <c r="B1216" s="1">
        <f ca="1">IFERROR(__xludf.DUMMYFUNCTION("""COMPUTED_VALUE"""),4.95)</f>
        <v>4.95</v>
      </c>
      <c r="E1216" s="1" t="str">
        <f ca="1">IFERROR(__xludf.DUMMYFUNCTION("""COMPUTED_VALUE"""),"MINI CAKE STAND  HANGING STRAWBERY")</f>
        <v>MINI CAKE STAND  HANGING STRAWBERY</v>
      </c>
      <c r="F1216" s="1">
        <f ca="1">IFERROR(__xludf.DUMMYFUNCTION("""COMPUTED_VALUE"""),2)</f>
        <v>2</v>
      </c>
      <c r="G1216" s="1">
        <f ca="1">IFERROR(__xludf.DUMMYFUNCTION("""COMPUTED_VALUE"""),1.65)</f>
        <v>1.65</v>
      </c>
      <c r="J1216" s="1" t="str">
        <f ca="1">IFERROR(__xludf.DUMMYFUNCTION("""COMPUTED_VALUE"""),"RED SPOT HEART HOT WATER BOTTLE")</f>
        <v>RED SPOT HEART HOT WATER BOTTLE</v>
      </c>
      <c r="K1216" s="1">
        <f ca="1">IFERROR(__xludf.DUMMYFUNCTION("""COMPUTED_VALUE"""),1)</f>
        <v>1</v>
      </c>
      <c r="L1216" s="1">
        <f ca="1">IFERROR(__xludf.DUMMYFUNCTION("""COMPUTED_VALUE"""),4.95)</f>
        <v>4.95</v>
      </c>
      <c r="T1216" s="1">
        <f ca="1">IFERROR(__xludf.DUMMYFUNCTION("""COMPUTED_VALUE"""),489556)</f>
        <v>489556</v>
      </c>
      <c r="U1216" s="1">
        <f ca="1">IFERROR(__xludf.DUMMYFUNCTION("""COMPUTED_VALUE"""),4.95)</f>
        <v>4.95</v>
      </c>
    </row>
    <row r="1217" spans="1:21" ht="12.75" x14ac:dyDescent="0.2">
      <c r="A1217" s="3">
        <f ca="1">IFERROR(__xludf.DUMMYFUNCTION("""COMPUTED_VALUE"""),40148.5326388888)</f>
        <v>40148.532638888799</v>
      </c>
      <c r="B1217" s="1">
        <f ca="1">IFERROR(__xludf.DUMMYFUNCTION("""COMPUTED_VALUE"""),5.95)</f>
        <v>5.95</v>
      </c>
      <c r="E1217" s="1" t="str">
        <f ca="1">IFERROR(__xludf.DUMMYFUNCTION("""COMPUTED_VALUE"""),"CERAMIC CAKE DESIGN SPOTTED MUG")</f>
        <v>CERAMIC CAKE DESIGN SPOTTED MUG</v>
      </c>
      <c r="F1217" s="1">
        <f ca="1">IFERROR(__xludf.DUMMYFUNCTION("""COMPUTED_VALUE"""),2)</f>
        <v>2</v>
      </c>
      <c r="G1217" s="1">
        <f ca="1">IFERROR(__xludf.DUMMYFUNCTION("""COMPUTED_VALUE"""),1.49)</f>
        <v>1.49</v>
      </c>
      <c r="J1217" s="1" t="str">
        <f ca="1">IFERROR(__xludf.DUMMYFUNCTION("""COMPUTED_VALUE"""),"UNION JACK HOT WATER BOTTLE")</f>
        <v>UNION JACK HOT WATER BOTTLE</v>
      </c>
      <c r="K1217" s="1">
        <f ca="1">IFERROR(__xludf.DUMMYFUNCTION("""COMPUTED_VALUE"""),1)</f>
        <v>1</v>
      </c>
      <c r="L1217" s="1">
        <f ca="1">IFERROR(__xludf.DUMMYFUNCTION("""COMPUTED_VALUE"""),5.95)</f>
        <v>5.95</v>
      </c>
      <c r="T1217" s="1">
        <f ca="1">IFERROR(__xludf.DUMMYFUNCTION("""COMPUTED_VALUE"""),489556)</f>
        <v>489556</v>
      </c>
      <c r="U1217" s="1">
        <f ca="1">IFERROR(__xludf.DUMMYFUNCTION("""COMPUTED_VALUE"""),5.95)</f>
        <v>5.95</v>
      </c>
    </row>
    <row r="1218" spans="1:21" ht="12.75" x14ac:dyDescent="0.2">
      <c r="A1218" s="3">
        <f ca="1">IFERROR(__xludf.DUMMYFUNCTION("""COMPUTED_VALUE"""),40148.5326388888)</f>
        <v>40148.532638888799</v>
      </c>
      <c r="B1218" s="1">
        <f ca="1">IFERROR(__xludf.DUMMYFUNCTION("""COMPUTED_VALUE"""),3.75)</f>
        <v>3.75</v>
      </c>
      <c r="E1218" s="1" t="str">
        <f ca="1">IFERROR(__xludf.DUMMYFUNCTION("""COMPUTED_VALUE"""),"CAT BOWL")</f>
        <v>CAT BOWL</v>
      </c>
      <c r="F1218" s="1">
        <f ca="1">IFERROR(__xludf.DUMMYFUNCTION("""COMPUTED_VALUE"""),2)</f>
        <v>2</v>
      </c>
      <c r="G1218" s="1">
        <f ca="1">IFERROR(__xludf.DUMMYFUNCTION("""COMPUTED_VALUE"""),2.55)</f>
        <v>2.5499999999999998</v>
      </c>
      <c r="J1218" s="1" t="str">
        <f ca="1">IFERROR(__xludf.DUMMYFUNCTION("""COMPUTED_VALUE"""),"WHITE SKULL HOT WATER BOTTLE")</f>
        <v>WHITE SKULL HOT WATER BOTTLE</v>
      </c>
      <c r="K1218" s="1">
        <f ca="1">IFERROR(__xludf.DUMMYFUNCTION("""COMPUTED_VALUE"""),1)</f>
        <v>1</v>
      </c>
      <c r="L1218" s="1">
        <f ca="1">IFERROR(__xludf.DUMMYFUNCTION("""COMPUTED_VALUE"""),3.75)</f>
        <v>3.75</v>
      </c>
      <c r="T1218" s="1">
        <f ca="1">IFERROR(__xludf.DUMMYFUNCTION("""COMPUTED_VALUE"""),489556)</f>
        <v>489556</v>
      </c>
      <c r="U1218" s="1">
        <f ca="1">IFERROR(__xludf.DUMMYFUNCTION("""COMPUTED_VALUE"""),3.75)</f>
        <v>3.75</v>
      </c>
    </row>
    <row r="1219" spans="1:21" ht="12.75" x14ac:dyDescent="0.2">
      <c r="A1219" s="3">
        <f ca="1">IFERROR(__xludf.DUMMYFUNCTION("""COMPUTED_VALUE"""),40148.5326388888)</f>
        <v>40148.532638888799</v>
      </c>
      <c r="B1219" s="1">
        <f ca="1">IFERROR(__xludf.DUMMYFUNCTION("""COMPUTED_VALUE"""),5.95)</f>
        <v>5.95</v>
      </c>
      <c r="E1219" s="1" t="str">
        <f ca="1">IFERROR(__xludf.DUMMYFUNCTION("""COMPUTED_VALUE"""),"CAMOFLAGE DESIGN TEDDY")</f>
        <v>CAMOFLAGE DESIGN TEDDY</v>
      </c>
      <c r="F1219" s="1">
        <f ca="1">IFERROR(__xludf.DUMMYFUNCTION("""COMPUTED_VALUE"""),2)</f>
        <v>2</v>
      </c>
      <c r="G1219" s="1">
        <f ca="1">IFERROR(__xludf.DUMMYFUNCTION("""COMPUTED_VALUE"""),2.55)</f>
        <v>2.5499999999999998</v>
      </c>
      <c r="J1219" s="1" t="str">
        <f ca="1">IFERROR(__xludf.DUMMYFUNCTION("""COMPUTED_VALUE"""),"VINTAGE UNION JACK DOORSTOP")</f>
        <v>VINTAGE UNION JACK DOORSTOP</v>
      </c>
      <c r="K1219" s="1">
        <f ca="1">IFERROR(__xludf.DUMMYFUNCTION("""COMPUTED_VALUE"""),1)</f>
        <v>1</v>
      </c>
      <c r="L1219" s="1">
        <f ca="1">IFERROR(__xludf.DUMMYFUNCTION("""COMPUTED_VALUE"""),5.95)</f>
        <v>5.95</v>
      </c>
      <c r="T1219" s="1">
        <f ca="1">IFERROR(__xludf.DUMMYFUNCTION("""COMPUTED_VALUE"""),489556)</f>
        <v>489556</v>
      </c>
      <c r="U1219" s="1">
        <f ca="1">IFERROR(__xludf.DUMMYFUNCTION("""COMPUTED_VALUE"""),5.95)</f>
        <v>5.95</v>
      </c>
    </row>
    <row r="1220" spans="1:21" ht="12.75" x14ac:dyDescent="0.2">
      <c r="A1220" s="3">
        <f ca="1">IFERROR(__xludf.DUMMYFUNCTION("""COMPUTED_VALUE"""),40148.5326388888)</f>
        <v>40148.532638888799</v>
      </c>
      <c r="B1220" s="1">
        <f ca="1">IFERROR(__xludf.DUMMYFUNCTION("""COMPUTED_VALUE"""),4.25)</f>
        <v>4.25</v>
      </c>
      <c r="E1220" s="1" t="str">
        <f ca="1">IFERROR(__xludf.DUMMYFUNCTION("""COMPUTED_VALUE"""),"KINGS CHOICE MUG")</f>
        <v>KINGS CHOICE MUG</v>
      </c>
      <c r="F1220" s="1">
        <f ca="1">IFERROR(__xludf.DUMMYFUNCTION("""COMPUTED_VALUE"""),2)</f>
        <v>2</v>
      </c>
      <c r="G1220" s="1">
        <f ca="1">IFERROR(__xludf.DUMMYFUNCTION("""COMPUTED_VALUE"""),1.25)</f>
        <v>1.25</v>
      </c>
      <c r="J1220" s="1" t="str">
        <f ca="1">IFERROR(__xludf.DUMMYFUNCTION("""COMPUTED_VALUE"""),"PINK CROCHET CAT WITH SCARF")</f>
        <v>PINK CROCHET CAT WITH SCARF</v>
      </c>
      <c r="K1220" s="1">
        <f ca="1">IFERROR(__xludf.DUMMYFUNCTION("""COMPUTED_VALUE"""),1)</f>
        <v>1</v>
      </c>
      <c r="L1220" s="1">
        <f ca="1">IFERROR(__xludf.DUMMYFUNCTION("""COMPUTED_VALUE"""),4.25)</f>
        <v>4.25</v>
      </c>
      <c r="T1220" s="1">
        <f ca="1">IFERROR(__xludf.DUMMYFUNCTION("""COMPUTED_VALUE"""),489556)</f>
        <v>489556</v>
      </c>
      <c r="U1220" s="1">
        <f ca="1">IFERROR(__xludf.DUMMYFUNCTION("""COMPUTED_VALUE"""),4.25)</f>
        <v>4.25</v>
      </c>
    </row>
    <row r="1221" spans="1:21" ht="12.75" x14ac:dyDescent="0.2">
      <c r="A1221" s="3">
        <f ca="1">IFERROR(__xludf.DUMMYFUNCTION("""COMPUTED_VALUE"""),40148.5326388888)</f>
        <v>40148.532638888799</v>
      </c>
      <c r="B1221" s="1">
        <f ca="1">IFERROR(__xludf.DUMMYFUNCTION("""COMPUTED_VALUE"""),8.5)</f>
        <v>8.5</v>
      </c>
      <c r="E1221" s="1" t="str">
        <f ca="1">IFERROR(__xludf.DUMMYFUNCTION("""COMPUTED_VALUE"""),"BLACK PIRATE TREASURE CHEST")</f>
        <v>BLACK PIRATE TREASURE CHEST</v>
      </c>
      <c r="F1221" s="1">
        <f ca="1">IFERROR(__xludf.DUMMYFUNCTION("""COMPUTED_VALUE"""),2)</f>
        <v>2</v>
      </c>
      <c r="G1221" s="1">
        <f ca="1">IFERROR(__xludf.DUMMYFUNCTION("""COMPUTED_VALUE"""),1.65)</f>
        <v>1.65</v>
      </c>
      <c r="J1221" s="1" t="str">
        <f ca="1">IFERROR(__xludf.DUMMYFUNCTION("""COMPUTED_VALUE"""),"VINTAGE UNION JACK BUNTING")</f>
        <v>VINTAGE UNION JACK BUNTING</v>
      </c>
      <c r="K1221" s="1">
        <f ca="1">IFERROR(__xludf.DUMMYFUNCTION("""COMPUTED_VALUE"""),1)</f>
        <v>1</v>
      </c>
      <c r="L1221" s="1">
        <f ca="1">IFERROR(__xludf.DUMMYFUNCTION("""COMPUTED_VALUE"""),8.5)</f>
        <v>8.5</v>
      </c>
      <c r="T1221" s="1">
        <f ca="1">IFERROR(__xludf.DUMMYFUNCTION("""COMPUTED_VALUE"""),489556)</f>
        <v>489556</v>
      </c>
      <c r="U1221" s="1">
        <f ca="1">IFERROR(__xludf.DUMMYFUNCTION("""COMPUTED_VALUE"""),8.5)</f>
        <v>8.5</v>
      </c>
    </row>
    <row r="1222" spans="1:21" ht="12.75" x14ac:dyDescent="0.2">
      <c r="A1222" s="3">
        <f ca="1">IFERROR(__xludf.DUMMYFUNCTION("""COMPUTED_VALUE"""),40148.5326388888)</f>
        <v>40148.532638888799</v>
      </c>
      <c r="B1222" s="1">
        <f ca="1">IFERROR(__xludf.DUMMYFUNCTION("""COMPUTED_VALUE"""),4.95)</f>
        <v>4.95</v>
      </c>
      <c r="E1222" s="1" t="str">
        <f ca="1">IFERROR(__xludf.DUMMYFUNCTION("""COMPUTED_VALUE"""),"GREEN CHRISTMAS TREE CARD HOLDER")</f>
        <v>GREEN CHRISTMAS TREE CARD HOLDER</v>
      </c>
      <c r="F1222" s="1">
        <f ca="1">IFERROR(__xludf.DUMMYFUNCTION("""COMPUTED_VALUE"""),2)</f>
        <v>2</v>
      </c>
      <c r="G1222" s="1">
        <f ca="1">IFERROR(__xludf.DUMMYFUNCTION("""COMPUTED_VALUE"""),4.25)</f>
        <v>4.25</v>
      </c>
      <c r="J1222" s="1" t="str">
        <f ca="1">IFERROR(__xludf.DUMMYFUNCTION("""COMPUTED_VALUE"""),"VINTAGE UNION JACK CUSHION COVER")</f>
        <v>VINTAGE UNION JACK CUSHION COVER</v>
      </c>
      <c r="K1222" s="1">
        <f ca="1">IFERROR(__xludf.DUMMYFUNCTION("""COMPUTED_VALUE"""),1)</f>
        <v>1</v>
      </c>
      <c r="L1222" s="1">
        <f ca="1">IFERROR(__xludf.DUMMYFUNCTION("""COMPUTED_VALUE"""),4.95)</f>
        <v>4.95</v>
      </c>
      <c r="T1222" s="1">
        <f ca="1">IFERROR(__xludf.DUMMYFUNCTION("""COMPUTED_VALUE"""),489556)</f>
        <v>489556</v>
      </c>
      <c r="U1222" s="1">
        <f ca="1">IFERROR(__xludf.DUMMYFUNCTION("""COMPUTED_VALUE"""),4.95)</f>
        <v>4.95</v>
      </c>
    </row>
    <row r="1223" spans="1:21" ht="12.75" x14ac:dyDescent="0.2">
      <c r="A1223" s="3">
        <f ca="1">IFERROR(__xludf.DUMMYFUNCTION("""COMPUTED_VALUE"""),40148.5326388888)</f>
        <v>40148.532638888799</v>
      </c>
      <c r="B1223" s="1">
        <f ca="1">IFERROR(__xludf.DUMMYFUNCTION("""COMPUTED_VALUE"""),0.85)</f>
        <v>0.85</v>
      </c>
      <c r="E1223" s="1" t="str">
        <f ca="1">IFERROR(__xludf.DUMMYFUNCTION("""COMPUTED_VALUE"""),"GREEN CHRISTMAS TREE STRING 20LIGHT")</f>
        <v>GREEN CHRISTMAS TREE STRING 20LIGHT</v>
      </c>
      <c r="F1223" s="1">
        <f ca="1">IFERROR(__xludf.DUMMYFUNCTION("""COMPUTED_VALUE"""),1)</f>
        <v>1</v>
      </c>
      <c r="G1223" s="1">
        <f ca="1">IFERROR(__xludf.DUMMYFUNCTION("""COMPUTED_VALUE"""),4.95)</f>
        <v>4.95</v>
      </c>
      <c r="J1223" s="1" t="str">
        <f ca="1">IFERROR(__xludf.DUMMYFUNCTION("""COMPUTED_VALUE"""),"LAVENDER SCENTED SET/9 T-LIGHTS")</f>
        <v>LAVENDER SCENTED SET/9 T-LIGHTS</v>
      </c>
      <c r="K1223" s="1">
        <f ca="1">IFERROR(__xludf.DUMMYFUNCTION("""COMPUTED_VALUE"""),1)</f>
        <v>1</v>
      </c>
      <c r="L1223" s="1">
        <f ca="1">IFERROR(__xludf.DUMMYFUNCTION("""COMPUTED_VALUE"""),0.85)</f>
        <v>0.85</v>
      </c>
      <c r="T1223" s="1">
        <f ca="1">IFERROR(__xludf.DUMMYFUNCTION("""COMPUTED_VALUE"""),489556)</f>
        <v>489556</v>
      </c>
      <c r="U1223" s="1">
        <f ca="1">IFERROR(__xludf.DUMMYFUNCTION("""COMPUTED_VALUE"""),0.85)</f>
        <v>0.85</v>
      </c>
    </row>
    <row r="1224" spans="1:21" ht="12.75" x14ac:dyDescent="0.2">
      <c r="A1224" s="3">
        <f ca="1">IFERROR(__xludf.DUMMYFUNCTION("""COMPUTED_VALUE"""),40148.5326388888)</f>
        <v>40148.532638888799</v>
      </c>
      <c r="B1224" s="1">
        <f ca="1">IFERROR(__xludf.DUMMYFUNCTION("""COMPUTED_VALUE"""),7.95)</f>
        <v>7.95</v>
      </c>
      <c r="E1224" s="1" t="str">
        <f ca="1">IFERROR(__xludf.DUMMYFUNCTION("""COMPUTED_VALUE"""),"ANTIQUE LILY FAIRY LIGHTS")</f>
        <v>ANTIQUE LILY FAIRY LIGHTS</v>
      </c>
      <c r="F1224" s="1">
        <f ca="1">IFERROR(__xludf.DUMMYFUNCTION("""COMPUTED_VALUE"""),1)</f>
        <v>1</v>
      </c>
      <c r="G1224" s="1">
        <f ca="1">IFERROR(__xludf.DUMMYFUNCTION("""COMPUTED_VALUE"""),4.95)</f>
        <v>4.95</v>
      </c>
      <c r="J1224" s="1" t="str">
        <f ca="1">IFERROR(__xludf.DUMMYFUNCTION("""COMPUTED_VALUE"""),"RED/WHITE DOT MINI CASES")</f>
        <v>RED/WHITE DOT MINI CASES</v>
      </c>
      <c r="K1224" s="1">
        <f ca="1">IFERROR(__xludf.DUMMYFUNCTION("""COMPUTED_VALUE"""),1)</f>
        <v>1</v>
      </c>
      <c r="L1224" s="1">
        <f ca="1">IFERROR(__xludf.DUMMYFUNCTION("""COMPUTED_VALUE"""),7.95)</f>
        <v>7.95</v>
      </c>
      <c r="T1224" s="1">
        <f ca="1">IFERROR(__xludf.DUMMYFUNCTION("""COMPUTED_VALUE"""),489556)</f>
        <v>489556</v>
      </c>
      <c r="U1224" s="1">
        <f ca="1">IFERROR(__xludf.DUMMYFUNCTION("""COMPUTED_VALUE"""),7.95)</f>
        <v>7.95</v>
      </c>
    </row>
    <row r="1225" spans="1:21" ht="12.75" x14ac:dyDescent="0.2">
      <c r="A1225" s="3">
        <f ca="1">IFERROR(__xludf.DUMMYFUNCTION("""COMPUTED_VALUE"""),40148.5326388888)</f>
        <v>40148.532638888799</v>
      </c>
      <c r="B1225" s="1">
        <f ca="1">IFERROR(__xludf.DUMMYFUNCTION("""COMPUTED_VALUE"""),2.95)</f>
        <v>2.95</v>
      </c>
      <c r="E1225" s="1" t="str">
        <f ca="1">IFERROR(__xludf.DUMMYFUNCTION("""COMPUTED_VALUE"""),"CERAMIC BOWL WITH LOVE HEART DESIGN")</f>
        <v>CERAMIC BOWL WITH LOVE HEART DESIGN</v>
      </c>
      <c r="F1225" s="1">
        <f ca="1">IFERROR(__xludf.DUMMYFUNCTION("""COMPUTED_VALUE"""),1)</f>
        <v>1</v>
      </c>
      <c r="G1225" s="1">
        <f ca="1">IFERROR(__xludf.DUMMYFUNCTION("""COMPUTED_VALUE"""),2.95)</f>
        <v>2.95</v>
      </c>
      <c r="J1225" s="1" t="str">
        <f ca="1">IFERROR(__xludf.DUMMYFUNCTION("""COMPUTED_VALUE"""),"RED SPOTTY PURSE")</f>
        <v>RED SPOTTY PURSE</v>
      </c>
      <c r="K1225" s="1">
        <f ca="1">IFERROR(__xludf.DUMMYFUNCTION("""COMPUTED_VALUE"""),1)</f>
        <v>1</v>
      </c>
      <c r="L1225" s="1">
        <f ca="1">IFERROR(__xludf.DUMMYFUNCTION("""COMPUTED_VALUE"""),2.95)</f>
        <v>2.95</v>
      </c>
      <c r="T1225" s="1">
        <f ca="1">IFERROR(__xludf.DUMMYFUNCTION("""COMPUTED_VALUE"""),489556)</f>
        <v>489556</v>
      </c>
      <c r="U1225" s="1">
        <f ca="1">IFERROR(__xludf.DUMMYFUNCTION("""COMPUTED_VALUE"""),2.95)</f>
        <v>2.95</v>
      </c>
    </row>
    <row r="1226" spans="1:21" ht="12.75" x14ac:dyDescent="0.2">
      <c r="A1226" s="3">
        <f ca="1">IFERROR(__xludf.DUMMYFUNCTION("""COMPUTED_VALUE"""),40148.5326388888)</f>
        <v>40148.532638888799</v>
      </c>
      <c r="B1226" s="1">
        <f ca="1">IFERROR(__xludf.DUMMYFUNCTION("""COMPUTED_VALUE"""),12.75)</f>
        <v>12.75</v>
      </c>
      <c r="E1226" s="1" t="str">
        <f ca="1">IFERROR(__xludf.DUMMYFUNCTION("""COMPUTED_VALUE"""),"MINI CAKE STAND  HANGING STRAWBERY")</f>
        <v>MINI CAKE STAND  HANGING STRAWBERY</v>
      </c>
      <c r="F1226" s="1">
        <f ca="1">IFERROR(__xludf.DUMMYFUNCTION("""COMPUTED_VALUE"""),1)</f>
        <v>1</v>
      </c>
      <c r="G1226" s="1">
        <f ca="1">IFERROR(__xludf.DUMMYFUNCTION("""COMPUTED_VALUE"""),1.65)</f>
        <v>1.65</v>
      </c>
      <c r="J1226" s="1" t="str">
        <f ca="1">IFERROR(__xludf.DUMMYFUNCTION("""COMPUTED_VALUE"""),"WHITE SWEETHEARTS CABINET 4 DRAWERS")</f>
        <v>WHITE SWEETHEARTS CABINET 4 DRAWERS</v>
      </c>
      <c r="K1226" s="1">
        <f ca="1">IFERROR(__xludf.DUMMYFUNCTION("""COMPUTED_VALUE"""),1)</f>
        <v>1</v>
      </c>
      <c r="L1226" s="1">
        <f ca="1">IFERROR(__xludf.DUMMYFUNCTION("""COMPUTED_VALUE"""),12.75)</f>
        <v>12.75</v>
      </c>
      <c r="T1226" s="1">
        <f ca="1">IFERROR(__xludf.DUMMYFUNCTION("""COMPUTED_VALUE"""),489556)</f>
        <v>489556</v>
      </c>
      <c r="U1226" s="1">
        <f ca="1">IFERROR(__xludf.DUMMYFUNCTION("""COMPUTED_VALUE"""),12.75)</f>
        <v>12.75</v>
      </c>
    </row>
    <row r="1227" spans="1:21" ht="12.75" x14ac:dyDescent="0.2">
      <c r="A1227" s="3">
        <f ca="1">IFERROR(__xludf.DUMMYFUNCTION("""COMPUTED_VALUE"""),40148.5326388888)</f>
        <v>40148.532638888799</v>
      </c>
      <c r="B1227" s="1">
        <f ca="1">IFERROR(__xludf.DUMMYFUNCTION("""COMPUTED_VALUE"""),6.75)</f>
        <v>6.75</v>
      </c>
      <c r="E1227" s="1" t="str">
        <f ca="1">IFERROR(__xludf.DUMMYFUNCTION("""COMPUTED_VALUE"""),"CERAMIC CAKE DESIGN SPOTTED MUG")</f>
        <v>CERAMIC CAKE DESIGN SPOTTED MUG</v>
      </c>
      <c r="F1227" s="1">
        <f ca="1">IFERROR(__xludf.DUMMYFUNCTION("""COMPUTED_VALUE"""),1)</f>
        <v>1</v>
      </c>
      <c r="G1227" s="1">
        <f ca="1">IFERROR(__xludf.DUMMYFUNCTION("""COMPUTED_VALUE"""),1.49)</f>
        <v>1.49</v>
      </c>
      <c r="J1227" s="1" t="str">
        <f ca="1">IFERROR(__xludf.DUMMYFUNCTION("""COMPUTED_VALUE"""),"DOOR MAT NEW ENGLAND")</f>
        <v>DOOR MAT NEW ENGLAND</v>
      </c>
      <c r="K1227" s="1">
        <f ca="1">IFERROR(__xludf.DUMMYFUNCTION("""COMPUTED_VALUE"""),1)</f>
        <v>1</v>
      </c>
      <c r="L1227" s="1">
        <f ca="1">IFERROR(__xludf.DUMMYFUNCTION("""COMPUTED_VALUE"""),6.75)</f>
        <v>6.75</v>
      </c>
      <c r="T1227" s="1">
        <f ca="1">IFERROR(__xludf.DUMMYFUNCTION("""COMPUTED_VALUE"""),489556)</f>
        <v>489556</v>
      </c>
      <c r="U1227" s="1">
        <f ca="1">IFERROR(__xludf.DUMMYFUNCTION("""COMPUTED_VALUE"""),6.75)</f>
        <v>6.75</v>
      </c>
    </row>
    <row r="1228" spans="1:21" ht="12.75" x14ac:dyDescent="0.2">
      <c r="A1228" s="3">
        <f ca="1">IFERROR(__xludf.DUMMYFUNCTION("""COMPUTED_VALUE"""),40148.5361111111)</f>
        <v>40148.536111111098</v>
      </c>
      <c r="B1228" s="1">
        <f ca="1">IFERROR(__xludf.DUMMYFUNCTION("""COMPUTED_VALUE"""),0.72)</f>
        <v>0.72</v>
      </c>
      <c r="E1228" s="1" t="str">
        <f ca="1">IFERROR(__xludf.DUMMYFUNCTION("""COMPUTED_VALUE"""),"BLUE CIRCLES DESIGN MONKEY DOLL")</f>
        <v>BLUE CIRCLES DESIGN MONKEY DOLL</v>
      </c>
      <c r="F1228" s="1">
        <f ca="1">IFERROR(__xludf.DUMMYFUNCTION("""COMPUTED_VALUE"""),1)</f>
        <v>1</v>
      </c>
      <c r="G1228" s="1">
        <f ca="1">IFERROR(__xludf.DUMMYFUNCTION("""COMPUTED_VALUE"""),2.55)</f>
        <v>2.5499999999999998</v>
      </c>
      <c r="J1228" s="1" t="str">
        <f ca="1">IFERROR(__xludf.DUMMYFUNCTION("""COMPUTED_VALUE"""),"RED BIRD HOUSE TREE DECORATION")</f>
        <v>RED BIRD HOUSE TREE DECORATION</v>
      </c>
      <c r="K1228" s="1">
        <f ca="1">IFERROR(__xludf.DUMMYFUNCTION("""COMPUTED_VALUE"""),192)</f>
        <v>192</v>
      </c>
      <c r="L1228" s="1">
        <f ca="1">IFERROR(__xludf.DUMMYFUNCTION("""COMPUTED_VALUE"""),0.72)</f>
        <v>0.72</v>
      </c>
      <c r="T1228" s="1">
        <f ca="1">IFERROR(__xludf.DUMMYFUNCTION("""COMPUTED_VALUE"""),489557)</f>
        <v>489557</v>
      </c>
      <c r="U1228" s="1">
        <f ca="1">IFERROR(__xludf.DUMMYFUNCTION("""COMPUTED_VALUE"""),138.24)</f>
        <v>138.24</v>
      </c>
    </row>
    <row r="1229" spans="1:21" ht="12.75" x14ac:dyDescent="0.2">
      <c r="A1229" s="3">
        <f ca="1">IFERROR(__xludf.DUMMYFUNCTION("""COMPUTED_VALUE"""),40148.5361111111)</f>
        <v>40148.536111111098</v>
      </c>
      <c r="B1229" s="1">
        <f ca="1">IFERROR(__xludf.DUMMYFUNCTION("""COMPUTED_VALUE"""),0.42)</f>
        <v>0.42</v>
      </c>
      <c r="E1229" s="1" t="str">
        <f ca="1">IFERROR(__xludf.DUMMYFUNCTION("""COMPUTED_VALUE"""),"STRIPES DESIGN MONKEY DOLL")</f>
        <v>STRIPES DESIGN MONKEY DOLL</v>
      </c>
      <c r="F1229" s="1">
        <f ca="1">IFERROR(__xludf.DUMMYFUNCTION("""COMPUTED_VALUE"""),1)</f>
        <v>1</v>
      </c>
      <c r="G1229" s="1">
        <f ca="1">IFERROR(__xludf.DUMMYFUNCTION("""COMPUTED_VALUE"""),2.55)</f>
        <v>2.5499999999999998</v>
      </c>
      <c r="J1229" s="1" t="str">
        <f ca="1">IFERROR(__xludf.DUMMYFUNCTION("""COMPUTED_VALUE"""),"WRAP WINTER FOREST")</f>
        <v>WRAP WINTER FOREST</v>
      </c>
      <c r="K1229" s="1">
        <f ca="1">IFERROR(__xludf.DUMMYFUNCTION("""COMPUTED_VALUE"""),25)</f>
        <v>25</v>
      </c>
      <c r="L1229" s="1">
        <f ca="1">IFERROR(__xludf.DUMMYFUNCTION("""COMPUTED_VALUE"""),0.42)</f>
        <v>0.42</v>
      </c>
      <c r="T1229" s="1">
        <f ca="1">IFERROR(__xludf.DUMMYFUNCTION("""COMPUTED_VALUE"""),489557)</f>
        <v>489557</v>
      </c>
      <c r="U1229" s="1">
        <f ca="1">IFERROR(__xludf.DUMMYFUNCTION("""COMPUTED_VALUE"""),10.5)</f>
        <v>10.5</v>
      </c>
    </row>
    <row r="1230" spans="1:21" ht="12.75" x14ac:dyDescent="0.2">
      <c r="A1230" s="3">
        <f ca="1">IFERROR(__xludf.DUMMYFUNCTION("""COMPUTED_VALUE"""),40148.5361111111)</f>
        <v>40148.536111111098</v>
      </c>
      <c r="B1230" s="1">
        <f ca="1">IFERROR(__xludf.DUMMYFUNCTION("""COMPUTED_VALUE"""),0.42)</f>
        <v>0.42</v>
      </c>
      <c r="E1230" s="1" t="str">
        <f ca="1">IFERROR(__xludf.DUMMYFUNCTION("""COMPUTED_VALUE"""),"CERAMIC BOWL WITH LOVE HEART DESIGN")</f>
        <v>CERAMIC BOWL WITH LOVE HEART DESIGN</v>
      </c>
      <c r="F1230" s="1">
        <f ca="1">IFERROR(__xludf.DUMMYFUNCTION("""COMPUTED_VALUE"""),1)</f>
        <v>1</v>
      </c>
      <c r="G1230" s="1">
        <f ca="1">IFERROR(__xludf.DUMMYFUNCTION("""COMPUTED_VALUE"""),2.95)</f>
        <v>2.95</v>
      </c>
      <c r="J1230" s="1" t="str">
        <f ca="1">IFERROR(__xludf.DUMMYFUNCTION("""COMPUTED_VALUE"""),"WRAP BLUE REINDEER")</f>
        <v>WRAP BLUE REINDEER</v>
      </c>
      <c r="K1230" s="1">
        <f ca="1">IFERROR(__xludf.DUMMYFUNCTION("""COMPUTED_VALUE"""),25)</f>
        <v>25</v>
      </c>
      <c r="L1230" s="1">
        <f ca="1">IFERROR(__xludf.DUMMYFUNCTION("""COMPUTED_VALUE"""),0.42)</f>
        <v>0.42</v>
      </c>
      <c r="T1230" s="1">
        <f ca="1">IFERROR(__xludf.DUMMYFUNCTION("""COMPUTED_VALUE"""),489557)</f>
        <v>489557</v>
      </c>
      <c r="U1230" s="1">
        <f ca="1">IFERROR(__xludf.DUMMYFUNCTION("""COMPUTED_VALUE"""),10.5)</f>
        <v>10.5</v>
      </c>
    </row>
    <row r="1231" spans="1:21" ht="12.75" x14ac:dyDescent="0.2">
      <c r="A1231" s="3">
        <f ca="1">IFERROR(__xludf.DUMMYFUNCTION("""COMPUTED_VALUE"""),40148.5361111111)</f>
        <v>40148.536111111098</v>
      </c>
      <c r="B1231" s="1">
        <f ca="1">IFERROR(__xludf.DUMMYFUNCTION("""COMPUTED_VALUE"""),1.65)</f>
        <v>1.65</v>
      </c>
      <c r="E1231" s="1" t="str">
        <f ca="1">IFERROR(__xludf.DUMMYFUNCTION("""COMPUTED_VALUE"""),"ART LIGHTS,FUNK MONKEY")</f>
        <v>ART LIGHTS,FUNK MONKEY</v>
      </c>
      <c r="F1231" s="1">
        <f ca="1">IFERROR(__xludf.DUMMYFUNCTION("""COMPUTED_VALUE"""),1)</f>
        <v>1</v>
      </c>
      <c r="G1231" s="1">
        <f ca="1">IFERROR(__xludf.DUMMYFUNCTION("""COMPUTED_VALUE"""),2.95)</f>
        <v>2.95</v>
      </c>
      <c r="J1231" s="1" t="str">
        <f ca="1">IFERROR(__xludf.DUMMYFUNCTION("""COMPUTED_VALUE"""),"RED TOADSTOOL LED NIGHT LIGHT")</f>
        <v>RED TOADSTOOL LED NIGHT LIGHT</v>
      </c>
      <c r="K1231" s="1">
        <f ca="1">IFERROR(__xludf.DUMMYFUNCTION("""COMPUTED_VALUE"""),24)</f>
        <v>24</v>
      </c>
      <c r="L1231" s="1">
        <f ca="1">IFERROR(__xludf.DUMMYFUNCTION("""COMPUTED_VALUE"""),1.65)</f>
        <v>1.65</v>
      </c>
      <c r="T1231" s="1">
        <f ca="1">IFERROR(__xludf.DUMMYFUNCTION("""COMPUTED_VALUE"""),489557)</f>
        <v>489557</v>
      </c>
      <c r="U1231" s="1">
        <f ca="1">IFERROR(__xludf.DUMMYFUNCTION("""COMPUTED_VALUE"""),39.5999999999999)</f>
        <v>39.599999999999902</v>
      </c>
    </row>
    <row r="1232" spans="1:21" ht="12.75" x14ac:dyDescent="0.2">
      <c r="A1232" s="3">
        <f ca="1">IFERROR(__xludf.DUMMYFUNCTION("""COMPUTED_VALUE"""),40148.5361111111)</f>
        <v>40148.536111111098</v>
      </c>
      <c r="B1232" s="1">
        <f ca="1">IFERROR(__xludf.DUMMYFUNCTION("""COMPUTED_VALUE"""),0.55)</f>
        <v>0.55000000000000004</v>
      </c>
      <c r="E1232" s="1" t="str">
        <f ca="1">IFERROR(__xludf.DUMMYFUNCTION("""COMPUTED_VALUE"""),"CERAMIC CAKE BOWL + HANGING CAKES")</f>
        <v>CERAMIC CAKE BOWL + HANGING CAKES</v>
      </c>
      <c r="F1232" s="1">
        <f ca="1">IFERROR(__xludf.DUMMYFUNCTION("""COMPUTED_VALUE"""),1)</f>
        <v>1</v>
      </c>
      <c r="G1232" s="1">
        <f ca="1">IFERROR(__xludf.DUMMYFUNCTION("""COMPUTED_VALUE"""),2.95)</f>
        <v>2.95</v>
      </c>
      <c r="J1232" s="1" t="str">
        <f ca="1">IFERROR(__xludf.DUMMYFUNCTION("""COMPUTED_VALUE"""),"PACK OF 72 RETRO SPOT CAKE CASES")</f>
        <v>PACK OF 72 RETRO SPOT CAKE CASES</v>
      </c>
      <c r="K1232" s="1">
        <f ca="1">IFERROR(__xludf.DUMMYFUNCTION("""COMPUTED_VALUE"""),24)</f>
        <v>24</v>
      </c>
      <c r="L1232" s="1">
        <f ca="1">IFERROR(__xludf.DUMMYFUNCTION("""COMPUTED_VALUE"""),0.55)</f>
        <v>0.55000000000000004</v>
      </c>
      <c r="T1232" s="1">
        <f ca="1">IFERROR(__xludf.DUMMYFUNCTION("""COMPUTED_VALUE"""),489557)</f>
        <v>489557</v>
      </c>
      <c r="U1232" s="1">
        <f ca="1">IFERROR(__xludf.DUMMYFUNCTION("""COMPUTED_VALUE"""),13.2)</f>
        <v>13.2</v>
      </c>
    </row>
    <row r="1233" spans="1:21" ht="12.75" x14ac:dyDescent="0.2">
      <c r="A1233" s="3">
        <f ca="1">IFERROR(__xludf.DUMMYFUNCTION("""COMPUTED_VALUE"""),40148.5361111111)</f>
        <v>40148.536111111098</v>
      </c>
      <c r="B1233" s="1">
        <f ca="1">IFERROR(__xludf.DUMMYFUNCTION("""COMPUTED_VALUE"""),1.95)</f>
        <v>1.95</v>
      </c>
      <c r="E1233" s="1" t="str">
        <f ca="1">IFERROR(__xludf.DUMMYFUNCTION("""COMPUTED_VALUE"""),"SET 3 RED SPOT TIN TEA,COFFEE,SUGAR")</f>
        <v>SET 3 RED SPOT TIN TEA,COFFEE,SUGAR</v>
      </c>
      <c r="F1233" s="1">
        <f ca="1">IFERROR(__xludf.DUMMYFUNCTION("""COMPUTED_VALUE"""),1)</f>
        <v>1</v>
      </c>
      <c r="G1233" s="1">
        <f ca="1">IFERROR(__xludf.DUMMYFUNCTION("""COMPUTED_VALUE"""),4.95)</f>
        <v>4.95</v>
      </c>
      <c r="J1233" s="1" t="str">
        <f ca="1">IFERROR(__xludf.DUMMYFUNCTION("""COMPUTED_VALUE"""),"JUMBO BAG RED WHITE SPOTTY")</f>
        <v>JUMBO BAG RED WHITE SPOTTY</v>
      </c>
      <c r="K1233" s="1">
        <f ca="1">IFERROR(__xludf.DUMMYFUNCTION("""COMPUTED_VALUE"""),20)</f>
        <v>20</v>
      </c>
      <c r="L1233" s="1">
        <f ca="1">IFERROR(__xludf.DUMMYFUNCTION("""COMPUTED_VALUE"""),1.95)</f>
        <v>1.95</v>
      </c>
      <c r="T1233" s="1">
        <f ca="1">IFERROR(__xludf.DUMMYFUNCTION("""COMPUTED_VALUE"""),489557)</f>
        <v>489557</v>
      </c>
      <c r="U1233" s="1">
        <f ca="1">IFERROR(__xludf.DUMMYFUNCTION("""COMPUTED_VALUE"""),39)</f>
        <v>39</v>
      </c>
    </row>
    <row r="1234" spans="1:21" ht="12.75" x14ac:dyDescent="0.2">
      <c r="A1234" s="3">
        <f ca="1">IFERROR(__xludf.DUMMYFUNCTION("""COMPUTED_VALUE"""),40148.5361111111)</f>
        <v>40148.536111111098</v>
      </c>
      <c r="B1234" s="1">
        <f ca="1">IFERROR(__xludf.DUMMYFUNCTION("""COMPUTED_VALUE"""),0.85)</f>
        <v>0.85</v>
      </c>
      <c r="E1234" s="1" t="str">
        <f ca="1">IFERROR(__xludf.DUMMYFUNCTION("""COMPUTED_VALUE"""),"COFFEE MUG CAT + BIRD DESIGN")</f>
        <v>COFFEE MUG CAT + BIRD DESIGN</v>
      </c>
      <c r="F1234" s="1">
        <f ca="1">IFERROR(__xludf.DUMMYFUNCTION("""COMPUTED_VALUE"""),-2)</f>
        <v>-2</v>
      </c>
      <c r="G1234" s="1">
        <f ca="1">IFERROR(__xludf.DUMMYFUNCTION("""COMPUTED_VALUE"""),2.55)</f>
        <v>2.5499999999999998</v>
      </c>
      <c r="J1234" s="1" t="str">
        <f ca="1">IFERROR(__xludf.DUMMYFUNCTION("""COMPUTED_VALUE"""),"RED SPOTTY CUP")</f>
        <v>RED SPOTTY CUP</v>
      </c>
      <c r="K1234" s="1">
        <f ca="1">IFERROR(__xludf.DUMMYFUNCTION("""COMPUTED_VALUE"""),16)</f>
        <v>16</v>
      </c>
      <c r="L1234" s="1">
        <f ca="1">IFERROR(__xludf.DUMMYFUNCTION("""COMPUTED_VALUE"""),0.85)</f>
        <v>0.85</v>
      </c>
      <c r="T1234" s="1">
        <f ca="1">IFERROR(__xludf.DUMMYFUNCTION("""COMPUTED_VALUE"""),489557)</f>
        <v>489557</v>
      </c>
      <c r="U1234" s="1">
        <f ca="1">IFERROR(__xludf.DUMMYFUNCTION("""COMPUTED_VALUE"""),13.6)</f>
        <v>13.6</v>
      </c>
    </row>
    <row r="1235" spans="1:21" ht="12.75" x14ac:dyDescent="0.2">
      <c r="A1235" s="3">
        <f ca="1">IFERROR(__xludf.DUMMYFUNCTION("""COMPUTED_VALUE"""),40148.5361111111)</f>
        <v>40148.536111111098</v>
      </c>
      <c r="B1235" s="1">
        <f ca="1">IFERROR(__xludf.DUMMYFUNCTION("""COMPUTED_VALUE"""),1.25)</f>
        <v>1.25</v>
      </c>
      <c r="E1235" s="1" t="str">
        <f ca="1">IFERROR(__xludf.DUMMYFUNCTION("""COMPUTED_VALUE"""),"PACK OF 72 RETRO SPOT CAKE CASES")</f>
        <v>PACK OF 72 RETRO SPOT CAKE CASES</v>
      </c>
      <c r="F1235" s="1">
        <f ca="1">IFERROR(__xludf.DUMMYFUNCTION("""COMPUTED_VALUE"""),18)</f>
        <v>18</v>
      </c>
      <c r="G1235" s="1">
        <f ca="1">IFERROR(__xludf.DUMMYFUNCTION("""COMPUTED_VALUE"""),1.3)</f>
        <v>1.3</v>
      </c>
      <c r="J1235" s="1" t="str">
        <f ca="1">IFERROR(__xludf.DUMMYFUNCTION("""COMPUTED_VALUE"""),"BASKET OF TOADSTOOLS")</f>
        <v>BASKET OF TOADSTOOLS</v>
      </c>
      <c r="K1235" s="1">
        <f ca="1">IFERROR(__xludf.DUMMYFUNCTION("""COMPUTED_VALUE"""),12)</f>
        <v>12</v>
      </c>
      <c r="L1235" s="1">
        <f ca="1">IFERROR(__xludf.DUMMYFUNCTION("""COMPUTED_VALUE"""),1.25)</f>
        <v>1.25</v>
      </c>
      <c r="T1235" s="1">
        <f ca="1">IFERROR(__xludf.DUMMYFUNCTION("""COMPUTED_VALUE"""),489557)</f>
        <v>489557</v>
      </c>
      <c r="U1235" s="1">
        <f ca="1">IFERROR(__xludf.DUMMYFUNCTION("""COMPUTED_VALUE"""),15)</f>
        <v>15</v>
      </c>
    </row>
    <row r="1236" spans="1:21" ht="12.75" x14ac:dyDescent="0.2">
      <c r="A1236" s="3">
        <f ca="1">IFERROR(__xludf.DUMMYFUNCTION("""COMPUTED_VALUE"""),40148.5361111111)</f>
        <v>40148.536111111098</v>
      </c>
      <c r="B1236" s="1">
        <f ca="1">IFERROR(__xludf.DUMMYFUNCTION("""COMPUTED_VALUE"""),2.55)</f>
        <v>2.5499999999999998</v>
      </c>
      <c r="E1236" s="1" t="str">
        <f ca="1">IFERROR(__xludf.DUMMYFUNCTION("""COMPUTED_VALUE"""),"CHRISTMAS TOILET ROLL")</f>
        <v>CHRISTMAS TOILET ROLL</v>
      </c>
      <c r="F1236" s="1">
        <f ca="1">IFERROR(__xludf.DUMMYFUNCTION("""COMPUTED_VALUE"""),14)</f>
        <v>14</v>
      </c>
      <c r="G1236" s="1">
        <f ca="1">IFERROR(__xludf.DUMMYFUNCTION("""COMPUTED_VALUE"""),2.57)</f>
        <v>2.57</v>
      </c>
      <c r="J1236" s="1" t="str">
        <f ca="1">IFERROR(__xludf.DUMMYFUNCTION("""COMPUTED_VALUE"""),"LUNCHBOX WITH CUTLERY RETROSPOT")</f>
        <v>LUNCHBOX WITH CUTLERY RETROSPOT</v>
      </c>
      <c r="K1236" s="1">
        <f ca="1">IFERROR(__xludf.DUMMYFUNCTION("""COMPUTED_VALUE"""),12)</f>
        <v>12</v>
      </c>
      <c r="L1236" s="1">
        <f ca="1">IFERROR(__xludf.DUMMYFUNCTION("""COMPUTED_VALUE"""),2.55)</f>
        <v>2.5499999999999998</v>
      </c>
      <c r="T1236" s="1">
        <f ca="1">IFERROR(__xludf.DUMMYFUNCTION("""COMPUTED_VALUE"""),489557)</f>
        <v>489557</v>
      </c>
      <c r="U1236" s="1">
        <f ca="1">IFERROR(__xludf.DUMMYFUNCTION("""COMPUTED_VALUE"""),30.5999999999999)</f>
        <v>30.599999999999898</v>
      </c>
    </row>
    <row r="1237" spans="1:21" ht="12.75" x14ac:dyDescent="0.2">
      <c r="A1237" s="3">
        <f ca="1">IFERROR(__xludf.DUMMYFUNCTION("""COMPUTED_VALUE"""),40148.5361111111)</f>
        <v>40148.536111111098</v>
      </c>
      <c r="B1237" s="1">
        <f ca="1">IFERROR(__xludf.DUMMYFUNCTION("""COMPUTED_VALUE"""),1.45)</f>
        <v>1.45</v>
      </c>
      <c r="E1237" s="1" t="str">
        <f ca="1">IFERROR(__xludf.DUMMYFUNCTION("""COMPUTED_VALUE"""),"SWEETHEART CERAMIC TRINKET BOX")</f>
        <v>SWEETHEART CERAMIC TRINKET BOX</v>
      </c>
      <c r="F1237" s="1">
        <f ca="1">IFERROR(__xludf.DUMMYFUNCTION("""COMPUTED_VALUE"""),13)</f>
        <v>13</v>
      </c>
      <c r="G1237" s="1">
        <f ca="1">IFERROR(__xludf.DUMMYFUNCTION("""COMPUTED_VALUE"""),2.57)</f>
        <v>2.57</v>
      </c>
      <c r="J1237" s="1" t="str">
        <f ca="1">IFERROR(__xludf.DUMMYFUNCTION("""COMPUTED_VALUE"""),"SET OF 72 RETRO SPOT PAPER  DOILIES")</f>
        <v>SET OF 72 RETRO SPOT PAPER  DOILIES</v>
      </c>
      <c r="K1237" s="1">
        <f ca="1">IFERROR(__xludf.DUMMYFUNCTION("""COMPUTED_VALUE"""),12)</f>
        <v>12</v>
      </c>
      <c r="L1237" s="1">
        <f ca="1">IFERROR(__xludf.DUMMYFUNCTION("""COMPUTED_VALUE"""),1.45)</f>
        <v>1.45</v>
      </c>
      <c r="T1237" s="1">
        <f ca="1">IFERROR(__xludf.DUMMYFUNCTION("""COMPUTED_VALUE"""),489557)</f>
        <v>489557</v>
      </c>
      <c r="U1237" s="1">
        <f ca="1">IFERROR(__xludf.DUMMYFUNCTION("""COMPUTED_VALUE"""),17.4)</f>
        <v>17.399999999999999</v>
      </c>
    </row>
    <row r="1238" spans="1:21" ht="12.75" x14ac:dyDescent="0.2">
      <c r="A1238" s="3">
        <f ca="1">IFERROR(__xludf.DUMMYFUNCTION("""COMPUTED_VALUE"""),40148.5361111111)</f>
        <v>40148.536111111098</v>
      </c>
      <c r="B1238" s="1">
        <f ca="1">IFERROR(__xludf.DUMMYFUNCTION("""COMPUTED_VALUE"""),2.55)</f>
        <v>2.5499999999999998</v>
      </c>
      <c r="E1238" s="1" t="str">
        <f ca="1">IFERROR(__xludf.DUMMYFUNCTION("""COMPUTED_VALUE"""),"STRAWBERRY CERAMIC TRINKET BOX")</f>
        <v>STRAWBERRY CERAMIC TRINKET BOX</v>
      </c>
      <c r="F1238" s="1">
        <f ca="1">IFERROR(__xludf.DUMMYFUNCTION("""COMPUTED_VALUE"""),12)</f>
        <v>12</v>
      </c>
      <c r="G1238" s="1">
        <f ca="1">IFERROR(__xludf.DUMMYFUNCTION("""COMPUTED_VALUE"""),2.57)</f>
        <v>2.57</v>
      </c>
      <c r="J1238" s="1" t="str">
        <f ca="1">IFERROR(__xludf.DUMMYFUNCTION("""COMPUTED_VALUE"""),"RED SPOTTY SHOPPING BAG")</f>
        <v>RED SPOTTY SHOPPING BAG</v>
      </c>
      <c r="K1238" s="1">
        <f ca="1">IFERROR(__xludf.DUMMYFUNCTION("""COMPUTED_VALUE"""),12)</f>
        <v>12</v>
      </c>
      <c r="L1238" s="1">
        <f ca="1">IFERROR(__xludf.DUMMYFUNCTION("""COMPUTED_VALUE"""),2.55)</f>
        <v>2.5499999999999998</v>
      </c>
      <c r="T1238" s="1">
        <f ca="1">IFERROR(__xludf.DUMMYFUNCTION("""COMPUTED_VALUE"""),489557)</f>
        <v>489557</v>
      </c>
      <c r="U1238" s="1">
        <f ca="1">IFERROR(__xludf.DUMMYFUNCTION("""COMPUTED_VALUE"""),30.5999999999999)</f>
        <v>30.599999999999898</v>
      </c>
    </row>
    <row r="1239" spans="1:21" ht="12.75" x14ac:dyDescent="0.2">
      <c r="A1239" s="3">
        <f ca="1">IFERROR(__xludf.DUMMYFUNCTION("""COMPUTED_VALUE"""),40148.5361111111)</f>
        <v>40148.536111111098</v>
      </c>
      <c r="B1239" s="1">
        <f ca="1">IFERROR(__xludf.DUMMYFUNCTION("""COMPUTED_VALUE"""),0.85)</f>
        <v>0.85</v>
      </c>
      <c r="E1239" s="1" t="str">
        <f ca="1">IFERROR(__xludf.DUMMYFUNCTION("""COMPUTED_VALUE"""),"RED SPOTTY EGG CUP")</f>
        <v>RED SPOTTY EGG CUP</v>
      </c>
      <c r="F1239" s="1">
        <f ca="1">IFERROR(__xludf.DUMMYFUNCTION("""COMPUTED_VALUE"""),7)</f>
        <v>7</v>
      </c>
      <c r="G1239" s="1">
        <f ca="1">IFERROR(__xludf.DUMMYFUNCTION("""COMPUTED_VALUE"""),3.43)</f>
        <v>3.43</v>
      </c>
      <c r="J1239" s="1" t="str">
        <f ca="1">IFERROR(__xludf.DUMMYFUNCTION("""COMPUTED_VALUE"""),"WOODLAND CHARLOTTE BAG")</f>
        <v>WOODLAND CHARLOTTE BAG</v>
      </c>
      <c r="K1239" s="1">
        <f ca="1">IFERROR(__xludf.DUMMYFUNCTION("""COMPUTED_VALUE"""),10)</f>
        <v>10</v>
      </c>
      <c r="L1239" s="1">
        <f ca="1">IFERROR(__xludf.DUMMYFUNCTION("""COMPUTED_VALUE"""),0.85)</f>
        <v>0.85</v>
      </c>
      <c r="T1239" s="1">
        <f ca="1">IFERROR(__xludf.DUMMYFUNCTION("""COMPUTED_VALUE"""),489557)</f>
        <v>489557</v>
      </c>
      <c r="U1239" s="1">
        <f ca="1">IFERROR(__xludf.DUMMYFUNCTION("""COMPUTED_VALUE"""),8.5)</f>
        <v>8.5</v>
      </c>
    </row>
    <row r="1240" spans="1:21" ht="12.75" x14ac:dyDescent="0.2">
      <c r="A1240" s="3">
        <f ca="1">IFERROR(__xludf.DUMMYFUNCTION("""COMPUTED_VALUE"""),40148.5361111111)</f>
        <v>40148.536111111098</v>
      </c>
      <c r="B1240" s="1">
        <f ca="1">IFERROR(__xludf.DUMMYFUNCTION("""COMPUTED_VALUE"""),1.95)</f>
        <v>1.95</v>
      </c>
      <c r="E1240" s="1" t="str">
        <f ca="1">IFERROR(__xludf.DUMMYFUNCTION("""COMPUTED_VALUE"""),"JUMBO BAG WOODLAND ANIMALS")</f>
        <v>JUMBO BAG WOODLAND ANIMALS</v>
      </c>
      <c r="F1240" s="1">
        <f ca="1">IFERROR(__xludf.DUMMYFUNCTION("""COMPUTED_VALUE"""),6)</f>
        <v>6</v>
      </c>
      <c r="G1240" s="1">
        <f ca="1">IFERROR(__xludf.DUMMYFUNCTION("""COMPUTED_VALUE"""),4.3)</f>
        <v>4.3</v>
      </c>
      <c r="J1240" s="1" t="str">
        <f ca="1">IFERROR(__xludf.DUMMYFUNCTION("""COMPUTED_VALUE"""),"JUMBO BAG WOODLAND ANIMALS")</f>
        <v>JUMBO BAG WOODLAND ANIMALS</v>
      </c>
      <c r="K1240" s="1">
        <f ca="1">IFERROR(__xludf.DUMMYFUNCTION("""COMPUTED_VALUE"""),10)</f>
        <v>10</v>
      </c>
      <c r="L1240" s="1">
        <f ca="1">IFERROR(__xludf.DUMMYFUNCTION("""COMPUTED_VALUE"""),1.95)</f>
        <v>1.95</v>
      </c>
      <c r="T1240" s="1">
        <f ca="1">IFERROR(__xludf.DUMMYFUNCTION("""COMPUTED_VALUE"""),489557)</f>
        <v>489557</v>
      </c>
      <c r="U1240" s="1">
        <f ca="1">IFERROR(__xludf.DUMMYFUNCTION("""COMPUTED_VALUE"""),19.5)</f>
        <v>19.5</v>
      </c>
    </row>
    <row r="1241" spans="1:21" ht="12.75" x14ac:dyDescent="0.2">
      <c r="A1241" s="3">
        <f ca="1">IFERROR(__xludf.DUMMYFUNCTION("""COMPUTED_VALUE"""),40148.5361111111)</f>
        <v>40148.536111111098</v>
      </c>
      <c r="B1241" s="1">
        <f ca="1">IFERROR(__xludf.DUMMYFUNCTION("""COMPUTED_VALUE"""),1.95)</f>
        <v>1.95</v>
      </c>
      <c r="E1241" s="1" t="str">
        <f ca="1">IFERROR(__xludf.DUMMYFUNCTION("""COMPUTED_VALUE"""),"RED SPOTTY PLATE")</f>
        <v>RED SPOTTY PLATE</v>
      </c>
      <c r="F1241" s="1">
        <f ca="1">IFERROR(__xludf.DUMMYFUNCTION("""COMPUTED_VALUE"""),6)</f>
        <v>6</v>
      </c>
      <c r="G1241" s="1">
        <f ca="1">IFERROR(__xludf.DUMMYFUNCTION("""COMPUTED_VALUE"""),3.43)</f>
        <v>3.43</v>
      </c>
      <c r="J1241" s="1" t="str">
        <f ca="1">IFERROR(__xludf.DUMMYFUNCTION("""COMPUTED_VALUE"""),"JUMBO BAG TOYS")</f>
        <v>JUMBO BAG TOYS</v>
      </c>
      <c r="K1241" s="1">
        <f ca="1">IFERROR(__xludf.DUMMYFUNCTION("""COMPUTED_VALUE"""),10)</f>
        <v>10</v>
      </c>
      <c r="L1241" s="1">
        <f ca="1">IFERROR(__xludf.DUMMYFUNCTION("""COMPUTED_VALUE"""),1.95)</f>
        <v>1.95</v>
      </c>
      <c r="T1241" s="1">
        <f ca="1">IFERROR(__xludf.DUMMYFUNCTION("""COMPUTED_VALUE"""),489557)</f>
        <v>489557</v>
      </c>
      <c r="U1241" s="1">
        <f ca="1">IFERROR(__xludf.DUMMYFUNCTION("""COMPUTED_VALUE"""),19.5)</f>
        <v>19.5</v>
      </c>
    </row>
    <row r="1242" spans="1:21" ht="12.75" x14ac:dyDescent="0.2">
      <c r="A1242" s="3">
        <f ca="1">IFERROR(__xludf.DUMMYFUNCTION("""COMPUTED_VALUE"""),40148.5361111111)</f>
        <v>40148.536111111098</v>
      </c>
      <c r="B1242" s="1">
        <f ca="1">IFERROR(__xludf.DUMMYFUNCTION("""COMPUTED_VALUE"""),5.95)</f>
        <v>5.95</v>
      </c>
      <c r="E1242" s="1" t="str">
        <f ca="1">IFERROR(__xludf.DUMMYFUNCTION("""COMPUTED_VALUE"""),"DINOSAURS  WRITING SET")</f>
        <v>DINOSAURS  WRITING SET</v>
      </c>
      <c r="F1242" s="1">
        <f ca="1">IFERROR(__xludf.DUMMYFUNCTION("""COMPUTED_VALUE"""),6)</f>
        <v>6</v>
      </c>
      <c r="G1242" s="1">
        <f ca="1">IFERROR(__xludf.DUMMYFUNCTION("""COMPUTED_VALUE"""),3.43)</f>
        <v>3.43</v>
      </c>
      <c r="J1242" s="1" t="str">
        <f ca="1">IFERROR(__xludf.DUMMYFUNCTION("""COMPUTED_VALUE"""),"SET OF 3 CASES WOODLAND DESIGN")</f>
        <v>SET OF 3 CASES WOODLAND DESIGN</v>
      </c>
      <c r="K1242" s="1">
        <f ca="1">IFERROR(__xludf.DUMMYFUNCTION("""COMPUTED_VALUE"""),8)</f>
        <v>8</v>
      </c>
      <c r="L1242" s="1">
        <f ca="1">IFERROR(__xludf.DUMMYFUNCTION("""COMPUTED_VALUE"""),5.95)</f>
        <v>5.95</v>
      </c>
      <c r="T1242" s="1">
        <f ca="1">IFERROR(__xludf.DUMMYFUNCTION("""COMPUTED_VALUE"""),489557)</f>
        <v>489557</v>
      </c>
      <c r="U1242" s="1">
        <f ca="1">IFERROR(__xludf.DUMMYFUNCTION("""COMPUTED_VALUE"""),47.6)</f>
        <v>47.6</v>
      </c>
    </row>
    <row r="1243" spans="1:21" ht="12.75" x14ac:dyDescent="0.2">
      <c r="A1243" s="3">
        <f ca="1">IFERROR(__xludf.DUMMYFUNCTION("""COMPUTED_VALUE"""),40148.5361111111)</f>
        <v>40148.536111111098</v>
      </c>
      <c r="B1243" s="1">
        <f ca="1">IFERROR(__xludf.DUMMYFUNCTION("""COMPUTED_VALUE"""),2.55)</f>
        <v>2.5499999999999998</v>
      </c>
      <c r="E1243" s="1" t="str">
        <f ca="1">IFERROR(__xludf.DUMMYFUNCTION("""COMPUTED_VALUE"""),"36 PENCILS TUBE WOODLAND")</f>
        <v>36 PENCILS TUBE WOODLAND</v>
      </c>
      <c r="F1243" s="1">
        <f ca="1">IFERROR(__xludf.DUMMYFUNCTION("""COMPUTED_VALUE"""),5)</f>
        <v>5</v>
      </c>
      <c r="G1243" s="1">
        <f ca="1">IFERROR(__xludf.DUMMYFUNCTION("""COMPUTED_VALUE"""),2.57)</f>
        <v>2.57</v>
      </c>
      <c r="J1243" s="1" t="str">
        <f ca="1">IFERROR(__xludf.DUMMYFUNCTION("""COMPUTED_VALUE"""),"LUNCHBOX WITH CUTLERY FAIRY CAKES")</f>
        <v>LUNCHBOX WITH CUTLERY FAIRY CAKES</v>
      </c>
      <c r="K1243" s="1">
        <f ca="1">IFERROR(__xludf.DUMMYFUNCTION("""COMPUTED_VALUE"""),6)</f>
        <v>6</v>
      </c>
      <c r="L1243" s="1">
        <f ca="1">IFERROR(__xludf.DUMMYFUNCTION("""COMPUTED_VALUE"""),2.55)</f>
        <v>2.5499999999999998</v>
      </c>
      <c r="T1243" s="1">
        <f ca="1">IFERROR(__xludf.DUMMYFUNCTION("""COMPUTED_VALUE"""),489557)</f>
        <v>489557</v>
      </c>
      <c r="U1243" s="1">
        <f ca="1">IFERROR(__xludf.DUMMYFUNCTION("""COMPUTED_VALUE"""),15.2999999999999)</f>
        <v>15.299999999999899</v>
      </c>
    </row>
    <row r="1244" spans="1:21" ht="12.75" x14ac:dyDescent="0.2">
      <c r="A1244" s="3">
        <f ca="1">IFERROR(__xludf.DUMMYFUNCTION("""COMPUTED_VALUE"""),40148.5361111111)</f>
        <v>40148.536111111098</v>
      </c>
      <c r="B1244" s="1">
        <f ca="1">IFERROR(__xludf.DUMMYFUNCTION("""COMPUTED_VALUE"""),2.95)</f>
        <v>2.95</v>
      </c>
      <c r="E1244" s="1" t="str">
        <f ca="1">IFERROR(__xludf.DUMMYFUNCTION("""COMPUTED_VALUE"""),"VINTAGE BILLBOARD DRINK ME MUG")</f>
        <v>VINTAGE BILLBOARD DRINK ME MUG</v>
      </c>
      <c r="F1244" s="1">
        <f ca="1">IFERROR(__xludf.DUMMYFUNCTION("""COMPUTED_VALUE"""),4)</f>
        <v>4</v>
      </c>
      <c r="G1244" s="1">
        <f ca="1">IFERROR(__xludf.DUMMYFUNCTION("""COMPUTED_VALUE"""),2.57)</f>
        <v>2.57</v>
      </c>
      <c r="J1244" s="1" t="str">
        <f ca="1">IFERROR(__xludf.DUMMYFUNCTION("""COMPUTED_VALUE"""),"WOODLAND STORAGE BOX LARGE")</f>
        <v>WOODLAND STORAGE BOX LARGE</v>
      </c>
      <c r="K1244" s="1">
        <f ca="1">IFERROR(__xludf.DUMMYFUNCTION("""COMPUTED_VALUE"""),6)</f>
        <v>6</v>
      </c>
      <c r="L1244" s="1">
        <f ca="1">IFERROR(__xludf.DUMMYFUNCTION("""COMPUTED_VALUE"""),2.95)</f>
        <v>2.95</v>
      </c>
      <c r="T1244" s="1">
        <f ca="1">IFERROR(__xludf.DUMMYFUNCTION("""COMPUTED_VALUE"""),489557)</f>
        <v>489557</v>
      </c>
      <c r="U1244" s="1">
        <f ca="1">IFERROR(__xludf.DUMMYFUNCTION("""COMPUTED_VALUE"""),17.7)</f>
        <v>17.7</v>
      </c>
    </row>
    <row r="1245" spans="1:21" ht="12.75" x14ac:dyDescent="0.2">
      <c r="A1245" s="3">
        <f ca="1">IFERROR(__xludf.DUMMYFUNCTION("""COMPUTED_VALUE"""),40148.5361111111)</f>
        <v>40148.536111111098</v>
      </c>
      <c r="B1245" s="1">
        <f ca="1">IFERROR(__xludf.DUMMYFUNCTION("""COMPUTED_VALUE"""),2.1)</f>
        <v>2.1</v>
      </c>
      <c r="E1245" s="1" t="str">
        <f ca="1">IFERROR(__xludf.DUMMYFUNCTION("""COMPUTED_VALUE"""),"SMALL GLASS HEART TRINKET POT")</f>
        <v>SMALL GLASS HEART TRINKET POT</v>
      </c>
      <c r="F1245" s="1">
        <f ca="1">IFERROR(__xludf.DUMMYFUNCTION("""COMPUTED_VALUE"""),4)</f>
        <v>4</v>
      </c>
      <c r="G1245" s="1">
        <f ca="1">IFERROR(__xludf.DUMMYFUNCTION("""COMPUTED_VALUE"""),4.3)</f>
        <v>4.3</v>
      </c>
      <c r="J1245" s="1" t="str">
        <f ca="1">IFERROR(__xludf.DUMMYFUNCTION("""COMPUTED_VALUE"""),"WOODLAND STORAGE BOX SMALL")</f>
        <v>WOODLAND STORAGE BOX SMALL</v>
      </c>
      <c r="K1245" s="1">
        <f ca="1">IFERROR(__xludf.DUMMYFUNCTION("""COMPUTED_VALUE"""),6)</f>
        <v>6</v>
      </c>
      <c r="L1245" s="1">
        <f ca="1">IFERROR(__xludf.DUMMYFUNCTION("""COMPUTED_VALUE"""),2.1)</f>
        <v>2.1</v>
      </c>
      <c r="T1245" s="1">
        <f ca="1">IFERROR(__xludf.DUMMYFUNCTION("""COMPUTED_VALUE"""),489557)</f>
        <v>489557</v>
      </c>
      <c r="U1245" s="1">
        <f ca="1">IFERROR(__xludf.DUMMYFUNCTION("""COMPUTED_VALUE"""),12.6)</f>
        <v>12.6</v>
      </c>
    </row>
    <row r="1246" spans="1:21" ht="12.75" x14ac:dyDescent="0.2">
      <c r="A1246" s="3">
        <f ca="1">IFERROR(__xludf.DUMMYFUNCTION("""COMPUTED_VALUE"""),40148.5361111111)</f>
        <v>40148.536111111098</v>
      </c>
      <c r="B1246" s="1">
        <f ca="1">IFERROR(__xludf.DUMMYFUNCTION("""COMPUTED_VALUE"""),3.25)</f>
        <v>3.25</v>
      </c>
      <c r="E1246" s="1" t="str">
        <f ca="1">IFERROR(__xludf.DUMMYFUNCTION("""COMPUTED_VALUE"""),"TOAST ITS - DINOSAUR")</f>
        <v>TOAST ITS - DINOSAUR</v>
      </c>
      <c r="F1246" s="1">
        <f ca="1">IFERROR(__xludf.DUMMYFUNCTION("""COMPUTED_VALUE"""),4)</f>
        <v>4</v>
      </c>
      <c r="G1246" s="1">
        <f ca="1">IFERROR(__xludf.DUMMYFUNCTION("""COMPUTED_VALUE"""),2.57)</f>
        <v>2.57</v>
      </c>
      <c r="J1246" s="1" t="str">
        <f ca="1">IFERROR(__xludf.DUMMYFUNCTION("""COMPUTED_VALUE"""),"RED SPOTTY CHILDS UMBRELLA")</f>
        <v>RED SPOTTY CHILDS UMBRELLA</v>
      </c>
      <c r="K1246" s="1">
        <f ca="1">IFERROR(__xludf.DUMMYFUNCTION("""COMPUTED_VALUE"""),6)</f>
        <v>6</v>
      </c>
      <c r="L1246" s="1">
        <f ca="1">IFERROR(__xludf.DUMMYFUNCTION("""COMPUTED_VALUE"""),3.25)</f>
        <v>3.25</v>
      </c>
      <c r="T1246" s="1">
        <f ca="1">IFERROR(__xludf.DUMMYFUNCTION("""COMPUTED_VALUE"""),489557)</f>
        <v>489557</v>
      </c>
      <c r="U1246" s="1">
        <f ca="1">IFERROR(__xludf.DUMMYFUNCTION("""COMPUTED_VALUE"""),19.5)</f>
        <v>19.5</v>
      </c>
    </row>
    <row r="1247" spans="1:21" ht="12.75" x14ac:dyDescent="0.2">
      <c r="A1247" s="3">
        <f ca="1">IFERROR(__xludf.DUMMYFUNCTION("""COMPUTED_VALUE"""),40148.5361111111)</f>
        <v>40148.536111111098</v>
      </c>
      <c r="B1247" s="1">
        <f ca="1">IFERROR(__xludf.DUMMYFUNCTION("""COMPUTED_VALUE"""),18)</f>
        <v>18</v>
      </c>
      <c r="E1247" s="1" t="str">
        <f ca="1">IFERROR(__xludf.DUMMYFUNCTION("""COMPUTED_VALUE"""),"RED SPOTTY CHARLOTTE BAG")</f>
        <v>RED SPOTTY CHARLOTTE BAG</v>
      </c>
      <c r="F1247" s="1">
        <f ca="1">IFERROR(__xludf.DUMMYFUNCTION("""COMPUTED_VALUE"""),3)</f>
        <v>3</v>
      </c>
      <c r="G1247" s="1">
        <f ca="1">IFERROR(__xludf.DUMMYFUNCTION("""COMPUTED_VALUE"""),1.7)</f>
        <v>1.7</v>
      </c>
      <c r="J1247" s="1" t="str">
        <f ca="1">IFERROR(__xludf.DUMMYFUNCTION("""COMPUTED_VALUE"""),"POSTAGE")</f>
        <v>POSTAGE</v>
      </c>
      <c r="K1247" s="1">
        <f ca="1">IFERROR(__xludf.DUMMYFUNCTION("""COMPUTED_VALUE"""),4)</f>
        <v>4</v>
      </c>
      <c r="L1247" s="1">
        <f ca="1">IFERROR(__xludf.DUMMYFUNCTION("""COMPUTED_VALUE"""),18)</f>
        <v>18</v>
      </c>
      <c r="T1247" s="1">
        <f ca="1">IFERROR(__xludf.DUMMYFUNCTION("""COMPUTED_VALUE"""),489557)</f>
        <v>489557</v>
      </c>
      <c r="U1247" s="1">
        <f ca="1">IFERROR(__xludf.DUMMYFUNCTION("""COMPUTED_VALUE"""),72)</f>
        <v>72</v>
      </c>
    </row>
    <row r="1248" spans="1:21" ht="12.75" x14ac:dyDescent="0.2">
      <c r="A1248" s="3">
        <f ca="1">IFERROR(__xludf.DUMMYFUNCTION("""COMPUTED_VALUE"""),40148.5361111111)</f>
        <v>40148.536111111098</v>
      </c>
      <c r="B1248" s="1">
        <f ca="1">IFERROR(__xludf.DUMMYFUNCTION("""COMPUTED_VALUE"""),6.75)</f>
        <v>6.75</v>
      </c>
      <c r="E1248" s="1" t="str">
        <f ca="1">IFERROR(__xludf.DUMMYFUNCTION("""COMPUTED_VALUE"""),"RETRO BLUE SPOTTY WASHING UP GLOVES")</f>
        <v>RETRO BLUE SPOTTY WASHING UP GLOVES</v>
      </c>
      <c r="F1248" s="1">
        <f ca="1">IFERROR(__xludf.DUMMYFUNCTION("""COMPUTED_VALUE"""),3)</f>
        <v>3</v>
      </c>
      <c r="G1248" s="1">
        <f ca="1">IFERROR(__xludf.DUMMYFUNCTION("""COMPUTED_VALUE"""),4.3)</f>
        <v>4.3</v>
      </c>
      <c r="J1248" s="1" t="str">
        <f ca="1">IFERROR(__xludf.DUMMYFUNCTION("""COMPUTED_VALUE"""),"RED SPOTTY COIR DOORMAT")</f>
        <v>RED SPOTTY COIR DOORMAT</v>
      </c>
      <c r="K1248" s="1">
        <f ca="1">IFERROR(__xludf.DUMMYFUNCTION("""COMPUTED_VALUE"""),2)</f>
        <v>2</v>
      </c>
      <c r="L1248" s="1">
        <f ca="1">IFERROR(__xludf.DUMMYFUNCTION("""COMPUTED_VALUE"""),6.75)</f>
        <v>6.75</v>
      </c>
      <c r="T1248" s="1">
        <f ca="1">IFERROR(__xludf.DUMMYFUNCTION("""COMPUTED_VALUE"""),489557)</f>
        <v>489557</v>
      </c>
      <c r="U1248" s="1">
        <f ca="1">IFERROR(__xludf.DUMMYFUNCTION("""COMPUTED_VALUE"""),13.5)</f>
        <v>13.5</v>
      </c>
    </row>
    <row r="1249" spans="1:21" ht="12.75" x14ac:dyDescent="0.2">
      <c r="A1249" s="3">
        <f ca="1">IFERROR(__xludf.DUMMYFUNCTION("""COMPUTED_VALUE"""),40148.5375)</f>
        <v>40148.537499999999</v>
      </c>
      <c r="B1249" s="1">
        <f ca="1">IFERROR(__xludf.DUMMYFUNCTION("""COMPUTED_VALUE"""),1.06)</f>
        <v>1.06</v>
      </c>
      <c r="E1249" s="1" t="str">
        <f ca="1">IFERROR(__xludf.DUMMYFUNCTION("""COMPUTED_VALUE"""),"CLEAR MILKSHAKE GLASS")</f>
        <v>CLEAR MILKSHAKE GLASS</v>
      </c>
      <c r="F1249" s="1">
        <f ca="1">IFERROR(__xludf.DUMMYFUNCTION("""COMPUTED_VALUE"""),3)</f>
        <v>3</v>
      </c>
      <c r="G1249" s="1">
        <f ca="1">IFERROR(__xludf.DUMMYFUNCTION("""COMPUTED_VALUE"""),4.3)</f>
        <v>4.3</v>
      </c>
      <c r="J1249" s="1" t="str">
        <f ca="1">IFERROR(__xludf.DUMMYFUNCTION("""COMPUTED_VALUE"""),"ANTIQUE SILVER TEA GLASS ETCHED")</f>
        <v>ANTIQUE SILVER TEA GLASS ETCHED</v>
      </c>
      <c r="K1249" s="1">
        <f ca="1">IFERROR(__xludf.DUMMYFUNCTION("""COMPUTED_VALUE"""),72)</f>
        <v>72</v>
      </c>
      <c r="L1249" s="1">
        <f ca="1">IFERROR(__xludf.DUMMYFUNCTION("""COMPUTED_VALUE"""),1.06)</f>
        <v>1.06</v>
      </c>
      <c r="T1249" s="1">
        <f ca="1">IFERROR(__xludf.DUMMYFUNCTION("""COMPUTED_VALUE"""),489558)</f>
        <v>489558</v>
      </c>
      <c r="U1249" s="1">
        <f ca="1">IFERROR(__xludf.DUMMYFUNCTION("""COMPUTED_VALUE"""),76.32)</f>
        <v>76.319999999999993</v>
      </c>
    </row>
    <row r="1250" spans="1:21" ht="12.75" x14ac:dyDescent="0.2">
      <c r="A1250" s="3">
        <f ca="1">IFERROR(__xludf.DUMMYFUNCTION("""COMPUTED_VALUE"""),40148.5375)</f>
        <v>40148.537499999999</v>
      </c>
      <c r="B1250" s="1">
        <f ca="1">IFERROR(__xludf.DUMMYFUNCTION("""COMPUTED_VALUE"""),1.69)</f>
        <v>1.69</v>
      </c>
      <c r="E1250" s="1" t="str">
        <f ca="1">IFERROR(__xludf.DUMMYFUNCTION("""COMPUTED_VALUE"""),"PINK MILKSHAKE GLASS")</f>
        <v>PINK MILKSHAKE GLASS</v>
      </c>
      <c r="F1250" s="1">
        <f ca="1">IFERROR(__xludf.DUMMYFUNCTION("""COMPUTED_VALUE"""),3)</f>
        <v>3</v>
      </c>
      <c r="G1250" s="1">
        <f ca="1">IFERROR(__xludf.DUMMYFUNCTION("""COMPUTED_VALUE"""),4.3)</f>
        <v>4.3</v>
      </c>
      <c r="J1250" s="1" t="str">
        <f ca="1">IFERROR(__xludf.DUMMYFUNCTION("""COMPUTED_VALUE"""),"ASSORTED COLOUR BIRD ORNAMENT")</f>
        <v>ASSORTED COLOUR BIRD ORNAMENT</v>
      </c>
      <c r="K1250" s="1">
        <f ca="1">IFERROR(__xludf.DUMMYFUNCTION("""COMPUTED_VALUE"""),64)</f>
        <v>64</v>
      </c>
      <c r="L1250" s="1">
        <f ca="1">IFERROR(__xludf.DUMMYFUNCTION("""COMPUTED_VALUE"""),1.69)</f>
        <v>1.69</v>
      </c>
      <c r="T1250" s="1">
        <f ca="1">IFERROR(__xludf.DUMMYFUNCTION("""COMPUTED_VALUE"""),489558)</f>
        <v>489558</v>
      </c>
      <c r="U1250" s="1">
        <f ca="1">IFERROR(__xludf.DUMMYFUNCTION("""COMPUTED_VALUE"""),108.16)</f>
        <v>108.16</v>
      </c>
    </row>
    <row r="1251" spans="1:21" ht="12.75" x14ac:dyDescent="0.2">
      <c r="A1251" s="3">
        <f ca="1">IFERROR(__xludf.DUMMYFUNCTION("""COMPUTED_VALUE"""),40148.5375)</f>
        <v>40148.537499999999</v>
      </c>
      <c r="B1251" s="1">
        <f ca="1">IFERROR(__xludf.DUMMYFUNCTION("""COMPUTED_VALUE"""),5.95)</f>
        <v>5.95</v>
      </c>
      <c r="E1251" s="1" t="str">
        <f ca="1">IFERROR(__xludf.DUMMYFUNCTION("""COMPUTED_VALUE"""),"SANDWICH BATH SPONGE")</f>
        <v>SANDWICH BATH SPONGE</v>
      </c>
      <c r="F1251" s="1">
        <f ca="1">IFERROR(__xludf.DUMMYFUNCTION("""COMPUTED_VALUE"""),3)</f>
        <v>3</v>
      </c>
      <c r="G1251" s="1">
        <f ca="1">IFERROR(__xludf.DUMMYFUNCTION("""COMPUTED_VALUE"""),2.57)</f>
        <v>2.57</v>
      </c>
      <c r="J1251" s="1" t="str">
        <f ca="1">IFERROR(__xludf.DUMMYFUNCTION("""COMPUTED_VALUE"""),"HOME BUILDING BLOCK WORD")</f>
        <v>HOME BUILDING BLOCK WORD</v>
      </c>
      <c r="K1251" s="1">
        <f ca="1">IFERROR(__xludf.DUMMYFUNCTION("""COMPUTED_VALUE"""),12)</f>
        <v>12</v>
      </c>
      <c r="L1251" s="1">
        <f ca="1">IFERROR(__xludf.DUMMYFUNCTION("""COMPUTED_VALUE"""),5.95)</f>
        <v>5.95</v>
      </c>
      <c r="T1251" s="1">
        <f ca="1">IFERROR(__xludf.DUMMYFUNCTION("""COMPUTED_VALUE"""),489558)</f>
        <v>489558</v>
      </c>
      <c r="U1251" s="1">
        <f ca="1">IFERROR(__xludf.DUMMYFUNCTION("""COMPUTED_VALUE"""),71.4)</f>
        <v>71.400000000000006</v>
      </c>
    </row>
    <row r="1252" spans="1:21" ht="12.75" x14ac:dyDescent="0.2">
      <c r="A1252" s="3">
        <f ca="1">IFERROR(__xludf.DUMMYFUNCTION("""COMPUTED_VALUE"""),40148.5375)</f>
        <v>40148.537499999999</v>
      </c>
      <c r="B1252" s="1">
        <f ca="1">IFERROR(__xludf.DUMMYFUNCTION("""COMPUTED_VALUE"""),5.95)</f>
        <v>5.95</v>
      </c>
      <c r="E1252" s="1" t="str">
        <f ca="1">IFERROR(__xludf.DUMMYFUNCTION("""COMPUTED_VALUE"""),"36 PENCILS TUBE RED SPOTTY")</f>
        <v>36 PENCILS TUBE RED SPOTTY</v>
      </c>
      <c r="F1252" s="1">
        <f ca="1">IFERROR(__xludf.DUMMYFUNCTION("""COMPUTED_VALUE"""),3)</f>
        <v>3</v>
      </c>
      <c r="G1252" s="1">
        <f ca="1">IFERROR(__xludf.DUMMYFUNCTION("""COMPUTED_VALUE"""),2.57)</f>
        <v>2.57</v>
      </c>
      <c r="J1252" s="1" t="str">
        <f ca="1">IFERROR(__xludf.DUMMYFUNCTION("""COMPUTED_VALUE"""),"BATH BUILDING BLOCK WORD")</f>
        <v>BATH BUILDING BLOCK WORD</v>
      </c>
      <c r="K1252" s="1">
        <f ca="1">IFERROR(__xludf.DUMMYFUNCTION("""COMPUTED_VALUE"""),6)</f>
        <v>6</v>
      </c>
      <c r="L1252" s="1">
        <f ca="1">IFERROR(__xludf.DUMMYFUNCTION("""COMPUTED_VALUE"""),5.95)</f>
        <v>5.95</v>
      </c>
      <c r="T1252" s="1">
        <f ca="1">IFERROR(__xludf.DUMMYFUNCTION("""COMPUTED_VALUE"""),489558)</f>
        <v>489558</v>
      </c>
      <c r="U1252" s="1">
        <f ca="1">IFERROR(__xludf.DUMMYFUNCTION("""COMPUTED_VALUE"""),35.7)</f>
        <v>35.700000000000003</v>
      </c>
    </row>
    <row r="1253" spans="1:21" ht="12.75" x14ac:dyDescent="0.2">
      <c r="A1253" s="3">
        <f ca="1">IFERROR(__xludf.DUMMYFUNCTION("""COMPUTED_VALUE"""),40148.5381944444)</f>
        <v>40148.538194444402</v>
      </c>
      <c r="B1253" s="1">
        <f ca="1">IFERROR(__xludf.DUMMYFUNCTION("""COMPUTED_VALUE"""),6.95)</f>
        <v>6.95</v>
      </c>
      <c r="E1253" s="1" t="str">
        <f ca="1">IFERROR(__xludf.DUMMYFUNCTION("""COMPUTED_VALUE"""),"12 PENCILS TALL TUBE WOODLAND")</f>
        <v>12 PENCILS TALL TUBE WOODLAND</v>
      </c>
      <c r="F1253" s="1">
        <f ca="1">IFERROR(__xludf.DUMMYFUNCTION("""COMPUTED_VALUE"""),3)</f>
        <v>3</v>
      </c>
      <c r="G1253" s="1">
        <f ca="1">IFERROR(__xludf.DUMMYFUNCTION("""COMPUTED_VALUE"""),1.7)</f>
        <v>1.7</v>
      </c>
      <c r="J1253" s="1" t="str">
        <f ca="1">IFERROR(__xludf.DUMMYFUNCTION("""COMPUTED_VALUE"""),"15CM CHRISTMAS GLASS BALL 20 LIGHTS")</f>
        <v>15CM CHRISTMAS GLASS BALL 20 LIGHTS</v>
      </c>
      <c r="K1253" s="1">
        <f ca="1">IFERROR(__xludf.DUMMYFUNCTION("""COMPUTED_VALUE"""),12)</f>
        <v>12</v>
      </c>
      <c r="L1253" s="1">
        <f ca="1">IFERROR(__xludf.DUMMYFUNCTION("""COMPUTED_VALUE"""),6.95)</f>
        <v>6.95</v>
      </c>
      <c r="T1253" s="1">
        <f ca="1">IFERROR(__xludf.DUMMYFUNCTION("""COMPUTED_VALUE"""),489559)</f>
        <v>489559</v>
      </c>
      <c r="U1253" s="1">
        <f ca="1">IFERROR(__xludf.DUMMYFUNCTION("""COMPUTED_VALUE"""),83.4)</f>
        <v>83.4</v>
      </c>
    </row>
    <row r="1254" spans="1:21" ht="12.75" x14ac:dyDescent="0.2">
      <c r="A1254" s="3">
        <f ca="1">IFERROR(__xludf.DUMMYFUNCTION("""COMPUTED_VALUE"""),40148.5381944444)</f>
        <v>40148.538194444402</v>
      </c>
      <c r="B1254" s="1">
        <f ca="1">IFERROR(__xludf.DUMMYFUNCTION("""COMPUTED_VALUE"""),1.25)</f>
        <v>1.25</v>
      </c>
      <c r="E1254" s="1" t="str">
        <f ca="1">IFERROR(__xludf.DUMMYFUNCTION("""COMPUTED_VALUE"""),"PARTY INVITES WOODLAND")</f>
        <v>PARTY INVITES WOODLAND</v>
      </c>
      <c r="F1254" s="1">
        <f ca="1">IFERROR(__xludf.DUMMYFUNCTION("""COMPUTED_VALUE"""),3)</f>
        <v>3</v>
      </c>
      <c r="G1254" s="1">
        <f ca="1">IFERROR(__xludf.DUMMYFUNCTION("""COMPUTED_VALUE"""),1.7)</f>
        <v>1.7</v>
      </c>
      <c r="J1254" s="1" t="str">
        <f ca="1">IFERROR(__xludf.DUMMYFUNCTION("""COMPUTED_VALUE"""),"CHRISTMAS TOILET ROLL")</f>
        <v>CHRISTMAS TOILET ROLL</v>
      </c>
      <c r="K1254" s="1">
        <f ca="1">IFERROR(__xludf.DUMMYFUNCTION("""COMPUTED_VALUE"""),6)</f>
        <v>6</v>
      </c>
      <c r="L1254" s="1">
        <f ca="1">IFERROR(__xludf.DUMMYFUNCTION("""COMPUTED_VALUE"""),1.25)</f>
        <v>1.25</v>
      </c>
      <c r="T1254" s="1">
        <f ca="1">IFERROR(__xludf.DUMMYFUNCTION("""COMPUTED_VALUE"""),489559)</f>
        <v>489559</v>
      </c>
      <c r="U1254" s="1">
        <f ca="1">IFERROR(__xludf.DUMMYFUNCTION("""COMPUTED_VALUE"""),7.5)</f>
        <v>7.5</v>
      </c>
    </row>
    <row r="1255" spans="1:21" ht="12.75" x14ac:dyDescent="0.2">
      <c r="A1255" s="3">
        <f ca="1">IFERROR(__xludf.DUMMYFUNCTION("""COMPUTED_VALUE"""),40148.5381944444)</f>
        <v>40148.538194444402</v>
      </c>
      <c r="B1255" s="1">
        <f ca="1">IFERROR(__xludf.DUMMYFUNCTION("""COMPUTED_VALUE"""),4.95)</f>
        <v>4.95</v>
      </c>
      <c r="E1255" s="1" t="str">
        <f ca="1">IFERROR(__xludf.DUMMYFUNCTION("""COMPUTED_VALUE"""),"POTTERING IN THE SHED METAL SIGN")</f>
        <v>POTTERING IN THE SHED METAL SIGN</v>
      </c>
      <c r="F1255" s="1">
        <f ca="1">IFERROR(__xludf.DUMMYFUNCTION("""COMPUTED_VALUE"""),3)</f>
        <v>3</v>
      </c>
      <c r="G1255" s="1">
        <f ca="1">IFERROR(__xludf.DUMMYFUNCTION("""COMPUTED_VALUE"""),4.3)</f>
        <v>4.3</v>
      </c>
      <c r="J1255" s="1" t="str">
        <f ca="1">IFERROR(__xludf.DUMMYFUNCTION("""COMPUTED_VALUE"""),"SCOTTIE DOG HOT WATER BOTTLE")</f>
        <v>SCOTTIE DOG HOT WATER BOTTLE</v>
      </c>
      <c r="K1255" s="1">
        <f ca="1">IFERROR(__xludf.DUMMYFUNCTION("""COMPUTED_VALUE"""),2)</f>
        <v>2</v>
      </c>
      <c r="L1255" s="1">
        <f ca="1">IFERROR(__xludf.DUMMYFUNCTION("""COMPUTED_VALUE"""),4.95)</f>
        <v>4.95</v>
      </c>
      <c r="T1255" s="1">
        <f ca="1">IFERROR(__xludf.DUMMYFUNCTION("""COMPUTED_VALUE"""),489559)</f>
        <v>489559</v>
      </c>
      <c r="U1255" s="1">
        <f ca="1">IFERROR(__xludf.DUMMYFUNCTION("""COMPUTED_VALUE"""),9.9)</f>
        <v>9.9</v>
      </c>
    </row>
    <row r="1256" spans="1:21" ht="12.75" x14ac:dyDescent="0.2">
      <c r="A1256" s="3">
        <f ca="1">IFERROR(__xludf.DUMMYFUNCTION("""COMPUTED_VALUE"""),40148.5381944444)</f>
        <v>40148.538194444402</v>
      </c>
      <c r="B1256" s="1">
        <f ca="1">IFERROR(__xludf.DUMMYFUNCTION("""COMPUTED_VALUE"""),7.95)</f>
        <v>7.95</v>
      </c>
      <c r="E1256" s="1" t="str">
        <f ca="1">IFERROR(__xludf.DUMMYFUNCTION("""COMPUTED_VALUE"""),"LARGE WHITE HONEYCOMB PAPER BELL")</f>
        <v>LARGE WHITE HONEYCOMB PAPER BELL</v>
      </c>
      <c r="F1256" s="1">
        <f ca="1">IFERROR(__xludf.DUMMYFUNCTION("""COMPUTED_VALUE"""),3)</f>
        <v>3</v>
      </c>
      <c r="G1256" s="1">
        <f ca="1">IFERROR(__xludf.DUMMYFUNCTION("""COMPUTED_VALUE"""),4.3)</f>
        <v>4.3</v>
      </c>
      <c r="J1256" s="1" t="str">
        <f ca="1">IFERROR(__xludf.DUMMYFUNCTION("""COMPUTED_VALUE"""),"WHITE TISSUE REAM")</f>
        <v>WHITE TISSUE REAM</v>
      </c>
      <c r="K1256" s="1">
        <f ca="1">IFERROR(__xludf.DUMMYFUNCTION("""COMPUTED_VALUE"""),2)</f>
        <v>2</v>
      </c>
      <c r="L1256" s="1">
        <f ca="1">IFERROR(__xludf.DUMMYFUNCTION("""COMPUTED_VALUE"""),7.95)</f>
        <v>7.95</v>
      </c>
      <c r="T1256" s="1">
        <f ca="1">IFERROR(__xludf.DUMMYFUNCTION("""COMPUTED_VALUE"""),489559)</f>
        <v>489559</v>
      </c>
      <c r="U1256" s="1">
        <f ca="1">IFERROR(__xludf.DUMMYFUNCTION("""COMPUTED_VALUE"""),15.9)</f>
        <v>15.9</v>
      </c>
    </row>
    <row r="1257" spans="1:21" ht="12.75" x14ac:dyDescent="0.2">
      <c r="A1257" s="3">
        <f ca="1">IFERROR(__xludf.DUMMYFUNCTION("""COMPUTED_VALUE"""),40148.5381944444)</f>
        <v>40148.538194444402</v>
      </c>
      <c r="B1257" s="1">
        <f ca="1">IFERROR(__xludf.DUMMYFUNCTION("""COMPUTED_VALUE"""),3.95)</f>
        <v>3.95</v>
      </c>
      <c r="E1257" s="1" t="str">
        <f ca="1">IFERROR(__xludf.DUMMYFUNCTION("""COMPUTED_VALUE"""),"SET OF 72 RETRO SPOT PAPER  DOILIES")</f>
        <v>SET OF 72 RETRO SPOT PAPER  DOILIES</v>
      </c>
      <c r="F1257" s="1">
        <f ca="1">IFERROR(__xludf.DUMMYFUNCTION("""COMPUTED_VALUE"""),3)</f>
        <v>3</v>
      </c>
      <c r="G1257" s="1">
        <f ca="1">IFERROR(__xludf.DUMMYFUNCTION("""COMPUTED_VALUE"""),3.04)</f>
        <v>3.04</v>
      </c>
      <c r="J1257" s="1" t="str">
        <f ca="1">IFERROR(__xludf.DUMMYFUNCTION("""COMPUTED_VALUE"""),"HOT WATER BOTTLE TEA AND SYMPATHY")</f>
        <v>HOT WATER BOTTLE TEA AND SYMPATHY</v>
      </c>
      <c r="K1257" s="1">
        <f ca="1">IFERROR(__xludf.DUMMYFUNCTION("""COMPUTED_VALUE"""),1)</f>
        <v>1</v>
      </c>
      <c r="L1257" s="1">
        <f ca="1">IFERROR(__xludf.DUMMYFUNCTION("""COMPUTED_VALUE"""),3.95)</f>
        <v>3.95</v>
      </c>
      <c r="T1257" s="1">
        <f ca="1">IFERROR(__xludf.DUMMYFUNCTION("""COMPUTED_VALUE"""),489559)</f>
        <v>489559</v>
      </c>
      <c r="U1257" s="1">
        <f ca="1">IFERROR(__xludf.DUMMYFUNCTION("""COMPUTED_VALUE"""),3.95)</f>
        <v>3.95</v>
      </c>
    </row>
    <row r="1258" spans="1:21" ht="12.75" x14ac:dyDescent="0.2">
      <c r="A1258" s="3">
        <f ca="1">IFERROR(__xludf.DUMMYFUNCTION("""COMPUTED_VALUE"""),40148.5381944444)</f>
        <v>40148.538194444402</v>
      </c>
      <c r="B1258" s="1">
        <f ca="1">IFERROR(__xludf.DUMMYFUNCTION("""COMPUTED_VALUE"""),3.75)</f>
        <v>3.75</v>
      </c>
      <c r="E1258" s="1" t="str">
        <f ca="1">IFERROR(__xludf.DUMMYFUNCTION("""COMPUTED_VALUE"""),"SMALL SPOTTY CHOCOLATE GIFT BAG")</f>
        <v>SMALL SPOTTY CHOCOLATE GIFT BAG</v>
      </c>
      <c r="F1258" s="1">
        <f ca="1">IFERROR(__xludf.DUMMYFUNCTION("""COMPUTED_VALUE"""),3)</f>
        <v>3</v>
      </c>
      <c r="G1258" s="1">
        <f ca="1">IFERROR(__xludf.DUMMYFUNCTION("""COMPUTED_VALUE"""),1.7)</f>
        <v>1.7</v>
      </c>
      <c r="J1258" s="1" t="str">
        <f ca="1">IFERROR(__xludf.DUMMYFUNCTION("""COMPUTED_VALUE"""),"DOG BOWL , CHASING BALL DESIGN")</f>
        <v>DOG BOWL , CHASING BALL DESIGN</v>
      </c>
      <c r="K1258" s="1">
        <f ca="1">IFERROR(__xludf.DUMMYFUNCTION("""COMPUTED_VALUE"""),1)</f>
        <v>1</v>
      </c>
      <c r="L1258" s="1">
        <f ca="1">IFERROR(__xludf.DUMMYFUNCTION("""COMPUTED_VALUE"""),3.75)</f>
        <v>3.75</v>
      </c>
      <c r="T1258" s="1">
        <f ca="1">IFERROR(__xludf.DUMMYFUNCTION("""COMPUTED_VALUE"""),489559)</f>
        <v>489559</v>
      </c>
      <c r="U1258" s="1">
        <f ca="1">IFERROR(__xludf.DUMMYFUNCTION("""COMPUTED_VALUE"""),3.75)</f>
        <v>3.75</v>
      </c>
    </row>
    <row r="1259" spans="1:21" ht="12.75" x14ac:dyDescent="0.2">
      <c r="A1259" s="3">
        <f ca="1">IFERROR(__xludf.DUMMYFUNCTION("""COMPUTED_VALUE"""),40148.5381944444)</f>
        <v>40148.538194444402</v>
      </c>
      <c r="B1259" s="1">
        <f ca="1">IFERROR(__xludf.DUMMYFUNCTION("""COMPUTED_VALUE"""),2.95)</f>
        <v>2.95</v>
      </c>
      <c r="E1259" s="1" t="str">
        <f ca="1">IFERROR(__xludf.DUMMYFUNCTION("""COMPUTED_VALUE"""),"BLUE SPOTTY BOWL")</f>
        <v>BLUE SPOTTY BOWL</v>
      </c>
      <c r="F1259" s="1">
        <f ca="1">IFERROR(__xludf.DUMMYFUNCTION("""COMPUTED_VALUE"""),2)</f>
        <v>2</v>
      </c>
      <c r="G1259" s="1">
        <f ca="1">IFERROR(__xludf.DUMMYFUNCTION("""COMPUTED_VALUE"""),2.57)</f>
        <v>2.57</v>
      </c>
      <c r="J1259" s="1" t="str">
        <f ca="1">IFERROR(__xludf.DUMMYFUNCTION("""COMPUTED_VALUE"""),"S/6 WOODEN SKITTLES IN COTTON BAG")</f>
        <v>S/6 WOODEN SKITTLES IN COTTON BAG</v>
      </c>
      <c r="K1259" s="1">
        <f ca="1">IFERROR(__xludf.DUMMYFUNCTION("""COMPUTED_VALUE"""),1)</f>
        <v>1</v>
      </c>
      <c r="L1259" s="1">
        <f ca="1">IFERROR(__xludf.DUMMYFUNCTION("""COMPUTED_VALUE"""),2.95)</f>
        <v>2.95</v>
      </c>
      <c r="T1259" s="1">
        <f ca="1">IFERROR(__xludf.DUMMYFUNCTION("""COMPUTED_VALUE"""),489559)</f>
        <v>489559</v>
      </c>
      <c r="U1259" s="1">
        <f ca="1">IFERROR(__xludf.DUMMYFUNCTION("""COMPUTED_VALUE"""),2.95)</f>
        <v>2.95</v>
      </c>
    </row>
    <row r="1260" spans="1:21" ht="12.75" x14ac:dyDescent="0.2">
      <c r="A1260" s="3">
        <f ca="1">IFERROR(__xludf.DUMMYFUNCTION("""COMPUTED_VALUE"""),40148.5381944444)</f>
        <v>40148.538194444402</v>
      </c>
      <c r="B1260" s="1">
        <f ca="1">IFERROR(__xludf.DUMMYFUNCTION("""COMPUTED_VALUE"""),1.25)</f>
        <v>1.25</v>
      </c>
      <c r="E1260" s="1" t="str">
        <f ca="1">IFERROR(__xludf.DUMMYFUNCTION("""COMPUTED_VALUE"""),"PINK SPOTTY BOWL")</f>
        <v>PINK SPOTTY BOWL</v>
      </c>
      <c r="F1260" s="1">
        <f ca="1">IFERROR(__xludf.DUMMYFUNCTION("""COMPUTED_VALUE"""),2)</f>
        <v>2</v>
      </c>
      <c r="G1260" s="1">
        <f ca="1">IFERROR(__xludf.DUMMYFUNCTION("""COMPUTED_VALUE"""),2.57)</f>
        <v>2.57</v>
      </c>
      <c r="J1260" s="1" t="str">
        <f ca="1">IFERROR(__xludf.DUMMYFUNCTION("""COMPUTED_VALUE"""),"TRADITIONAL WOODEN SKIPPING ROPE")</f>
        <v>TRADITIONAL WOODEN SKIPPING ROPE</v>
      </c>
      <c r="K1260" s="1">
        <f ca="1">IFERROR(__xludf.DUMMYFUNCTION("""COMPUTED_VALUE"""),1)</f>
        <v>1</v>
      </c>
      <c r="L1260" s="1">
        <f ca="1">IFERROR(__xludf.DUMMYFUNCTION("""COMPUTED_VALUE"""),1.25)</f>
        <v>1.25</v>
      </c>
      <c r="T1260" s="1">
        <f ca="1">IFERROR(__xludf.DUMMYFUNCTION("""COMPUTED_VALUE"""),489559)</f>
        <v>489559</v>
      </c>
      <c r="U1260" s="1">
        <f ca="1">IFERROR(__xludf.DUMMYFUNCTION("""COMPUTED_VALUE"""),1.25)</f>
        <v>1.25</v>
      </c>
    </row>
    <row r="1261" spans="1:21" ht="12.75" x14ac:dyDescent="0.2">
      <c r="A1261" s="3">
        <f ca="1">IFERROR(__xludf.DUMMYFUNCTION("""COMPUTED_VALUE"""),40148.5388888888)</f>
        <v>40148.538888888797</v>
      </c>
      <c r="B1261" s="1">
        <f ca="1">IFERROR(__xludf.DUMMYFUNCTION("""COMPUTED_VALUE"""),0.37)</f>
        <v>0.37</v>
      </c>
      <c r="E1261" s="1" t="str">
        <f ca="1">IFERROR(__xludf.DUMMYFUNCTION("""COMPUTED_VALUE"""),"RETRO RED SPOTTY WASHING UP GLOVES")</f>
        <v>RETRO RED SPOTTY WASHING UP GLOVES</v>
      </c>
      <c r="F1261" s="1">
        <f ca="1">IFERROR(__xludf.DUMMYFUNCTION("""COMPUTED_VALUE"""),2)</f>
        <v>2</v>
      </c>
      <c r="G1261" s="1">
        <f ca="1">IFERROR(__xludf.DUMMYFUNCTION("""COMPUTED_VALUE"""),4.3)</f>
        <v>4.3</v>
      </c>
      <c r="J1261" s="1" t="str">
        <f ca="1">IFERROR(__xludf.DUMMYFUNCTION("""COMPUTED_VALUE"""),"ASS COL SMALL SAND FROG P'WEIGHT")</f>
        <v>ASS COL SMALL SAND FROG P'WEIGHT</v>
      </c>
      <c r="K1261" s="1">
        <f ca="1">IFERROR(__xludf.DUMMYFUNCTION("""COMPUTED_VALUE"""),288)</f>
        <v>288</v>
      </c>
      <c r="L1261" s="1">
        <f ca="1">IFERROR(__xludf.DUMMYFUNCTION("""COMPUTED_VALUE"""),0.37)</f>
        <v>0.37</v>
      </c>
      <c r="T1261" s="1">
        <f ca="1">IFERROR(__xludf.DUMMYFUNCTION("""COMPUTED_VALUE"""),489560)</f>
        <v>489560</v>
      </c>
      <c r="U1261" s="1">
        <f ca="1">IFERROR(__xludf.DUMMYFUNCTION("""COMPUTED_VALUE"""),106.56)</f>
        <v>106.56</v>
      </c>
    </row>
    <row r="1262" spans="1:21" ht="12.75" x14ac:dyDescent="0.2">
      <c r="A1262" s="3">
        <f ca="1">IFERROR(__xludf.DUMMYFUNCTION("""COMPUTED_VALUE"""),40148.5388888888)</f>
        <v>40148.538888888797</v>
      </c>
      <c r="B1262" s="1">
        <f ca="1">IFERROR(__xludf.DUMMYFUNCTION("""COMPUTED_VALUE"""),0.85)</f>
        <v>0.85</v>
      </c>
      <c r="E1262" s="1" t="str">
        <f ca="1">IFERROR(__xludf.DUMMYFUNCTION("""COMPUTED_VALUE"""),"PATCHWORK PENCIL CASE BUTTERFLY")</f>
        <v>PATCHWORK PENCIL CASE BUTTERFLY</v>
      </c>
      <c r="F1262" s="1">
        <f ca="1">IFERROR(__xludf.DUMMYFUNCTION("""COMPUTED_VALUE"""),2)</f>
        <v>2</v>
      </c>
      <c r="G1262" s="1">
        <f ca="1">IFERROR(__xludf.DUMMYFUNCTION("""COMPUTED_VALUE"""),4.3)</f>
        <v>4.3</v>
      </c>
      <c r="J1262" s="1" t="str">
        <f ca="1">IFERROR(__xludf.DUMMYFUNCTION("""COMPUTED_VALUE"""),"ASS COL LARGE SAND GECKO P'WEIGHT")</f>
        <v>ASS COL LARGE SAND GECKO P'WEIGHT</v>
      </c>
      <c r="K1262" s="1">
        <f ca="1">IFERROR(__xludf.DUMMYFUNCTION("""COMPUTED_VALUE"""),288)</f>
        <v>288</v>
      </c>
      <c r="L1262" s="1">
        <f ca="1">IFERROR(__xludf.DUMMYFUNCTION("""COMPUTED_VALUE"""),0.85)</f>
        <v>0.85</v>
      </c>
      <c r="T1262" s="1">
        <f ca="1">IFERROR(__xludf.DUMMYFUNCTION("""COMPUTED_VALUE"""),489560)</f>
        <v>489560</v>
      </c>
      <c r="U1262" s="1">
        <f ca="1">IFERROR(__xludf.DUMMYFUNCTION("""COMPUTED_VALUE"""),244.799999999999)</f>
        <v>244.79999999999899</v>
      </c>
    </row>
    <row r="1263" spans="1:21" ht="12.75" x14ac:dyDescent="0.2">
      <c r="A1263" s="3">
        <f ca="1">IFERROR(__xludf.DUMMYFUNCTION("""COMPUTED_VALUE"""),40148.5388888888)</f>
        <v>40148.538888888797</v>
      </c>
      <c r="B1263" s="1">
        <f ca="1">IFERROR(__xludf.DUMMYFUNCTION("""COMPUTED_VALUE"""),0.19)</f>
        <v>0.19</v>
      </c>
      <c r="E1263" s="1" t="str">
        <f ca="1">IFERROR(__xludf.DUMMYFUNCTION("""COMPUTED_VALUE"""),"BLUE ROSE FABRIC MIRROR")</f>
        <v>BLUE ROSE FABRIC MIRROR</v>
      </c>
      <c r="F1263" s="1">
        <f ca="1">IFERROR(__xludf.DUMMYFUNCTION("""COMPUTED_VALUE"""),2)</f>
        <v>2</v>
      </c>
      <c r="G1263" s="1">
        <f ca="1">IFERROR(__xludf.DUMMYFUNCTION("""COMPUTED_VALUE"""),2.57)</f>
        <v>2.57</v>
      </c>
      <c r="J1263" s="1" t="str">
        <f ca="1">IFERROR(__xludf.DUMMYFUNCTION("""COMPUTED_VALUE"""),"SMALLFOLKART BAUBLE CHRISTMAS DEC")</f>
        <v>SMALLFOLKART BAUBLE CHRISTMAS DEC</v>
      </c>
      <c r="K1263" s="1">
        <f ca="1">IFERROR(__xludf.DUMMYFUNCTION("""COMPUTED_VALUE"""),144)</f>
        <v>144</v>
      </c>
      <c r="L1263" s="1">
        <f ca="1">IFERROR(__xludf.DUMMYFUNCTION("""COMPUTED_VALUE"""),0.19)</f>
        <v>0.19</v>
      </c>
      <c r="T1263" s="1">
        <f ca="1">IFERROR(__xludf.DUMMYFUNCTION("""COMPUTED_VALUE"""),489560)</f>
        <v>489560</v>
      </c>
      <c r="U1263" s="1">
        <f ca="1">IFERROR(__xludf.DUMMYFUNCTION("""COMPUTED_VALUE"""),27.36)</f>
        <v>27.36</v>
      </c>
    </row>
    <row r="1264" spans="1:21" ht="12.75" x14ac:dyDescent="0.2">
      <c r="A1264" s="3">
        <f ca="1">IFERROR(__xludf.DUMMYFUNCTION("""COMPUTED_VALUE"""),40148.5388888888)</f>
        <v>40148.538888888797</v>
      </c>
      <c r="B1264" s="1">
        <f ca="1">IFERROR(__xludf.DUMMYFUNCTION("""COMPUTED_VALUE"""),0.85)</f>
        <v>0.85</v>
      </c>
      <c r="E1264" s="1" t="str">
        <f ca="1">IFERROR(__xludf.DUMMYFUNCTION("""COMPUTED_VALUE"""),"STRAWBERRY BATH SPONGE")</f>
        <v>STRAWBERRY BATH SPONGE</v>
      </c>
      <c r="F1264" s="1">
        <f ca="1">IFERROR(__xludf.DUMMYFUNCTION("""COMPUTED_VALUE"""),2)</f>
        <v>2</v>
      </c>
      <c r="G1264" s="1">
        <f ca="1">IFERROR(__xludf.DUMMYFUNCTION("""COMPUTED_VALUE"""),2.57)</f>
        <v>2.57</v>
      </c>
      <c r="J1264" s="1" t="str">
        <f ca="1">IFERROR(__xludf.DUMMYFUNCTION("""COMPUTED_VALUE"""),"ASS COL LARGE SAND FROG P'WEIGHT")</f>
        <v>ASS COL LARGE SAND FROG P'WEIGHT</v>
      </c>
      <c r="K1264" s="1">
        <f ca="1">IFERROR(__xludf.DUMMYFUNCTION("""COMPUTED_VALUE"""),108)</f>
        <v>108</v>
      </c>
      <c r="L1264" s="1">
        <f ca="1">IFERROR(__xludf.DUMMYFUNCTION("""COMPUTED_VALUE"""),0.85)</f>
        <v>0.85</v>
      </c>
      <c r="T1264" s="1">
        <f ca="1">IFERROR(__xludf.DUMMYFUNCTION("""COMPUTED_VALUE"""),489560)</f>
        <v>489560</v>
      </c>
      <c r="U1264" s="1">
        <f ca="1">IFERROR(__xludf.DUMMYFUNCTION("""COMPUTED_VALUE"""),91.8)</f>
        <v>91.8</v>
      </c>
    </row>
    <row r="1265" spans="1:21" ht="12.75" x14ac:dyDescent="0.2">
      <c r="A1265" s="3">
        <f ca="1">IFERROR(__xludf.DUMMYFUNCTION("""COMPUTED_VALUE"""),40148.5388888888)</f>
        <v>40148.538888888797</v>
      </c>
      <c r="B1265" s="1">
        <f ca="1">IFERROR(__xludf.DUMMYFUNCTION("""COMPUTED_VALUE"""),0.1)</f>
        <v>0.1</v>
      </c>
      <c r="E1265" s="1" t="str">
        <f ca="1">IFERROR(__xludf.DUMMYFUNCTION("""COMPUTED_VALUE"""),"12 PENCILS TALL TUBE SKULLS")</f>
        <v>12 PENCILS TALL TUBE SKULLS</v>
      </c>
      <c r="F1265" s="1">
        <f ca="1">IFERROR(__xludf.DUMMYFUNCTION("""COMPUTED_VALUE"""),2)</f>
        <v>2</v>
      </c>
      <c r="G1265" s="1">
        <f ca="1">IFERROR(__xludf.DUMMYFUNCTION("""COMPUTED_VALUE"""),1.7)</f>
        <v>1.7</v>
      </c>
      <c r="J1265" s="1" t="str">
        <f ca="1">IFERROR(__xludf.DUMMYFUNCTION("""COMPUTED_VALUE"""),"WRAP SPEED DEMONS")</f>
        <v>WRAP SPEED DEMONS</v>
      </c>
      <c r="K1265" s="1">
        <f ca="1">IFERROR(__xludf.DUMMYFUNCTION("""COMPUTED_VALUE"""),100)</f>
        <v>100</v>
      </c>
      <c r="L1265" s="1">
        <f ca="1">IFERROR(__xludf.DUMMYFUNCTION("""COMPUTED_VALUE"""),0.1)</f>
        <v>0.1</v>
      </c>
      <c r="T1265" s="1">
        <f ca="1">IFERROR(__xludf.DUMMYFUNCTION("""COMPUTED_VALUE"""),489560)</f>
        <v>489560</v>
      </c>
      <c r="U1265" s="1">
        <f ca="1">IFERROR(__xludf.DUMMYFUNCTION("""COMPUTED_VALUE"""),10)</f>
        <v>10</v>
      </c>
    </row>
    <row r="1266" spans="1:21" ht="12.75" x14ac:dyDescent="0.2">
      <c r="A1266" s="3">
        <f ca="1">IFERROR(__xludf.DUMMYFUNCTION("""COMPUTED_VALUE"""),40148.5388888888)</f>
        <v>40148.538888888797</v>
      </c>
      <c r="B1266" s="1">
        <f ca="1">IFERROR(__xludf.DUMMYFUNCTION("""COMPUTED_VALUE"""),0.19)</f>
        <v>0.19</v>
      </c>
      <c r="E1266" s="1" t="str">
        <f ca="1">IFERROR(__xludf.DUMMYFUNCTION("""COMPUTED_VALUE"""),"SET/20 RED SPOTTY PAPER NAPKINS")</f>
        <v>SET/20 RED SPOTTY PAPER NAPKINS</v>
      </c>
      <c r="F1266" s="1">
        <f ca="1">IFERROR(__xludf.DUMMYFUNCTION("""COMPUTED_VALUE"""),2)</f>
        <v>2</v>
      </c>
      <c r="G1266" s="1">
        <f ca="1">IFERROR(__xludf.DUMMYFUNCTION("""COMPUTED_VALUE"""),1.7)</f>
        <v>1.7</v>
      </c>
      <c r="J1266" s="1" t="str">
        <f ca="1">IFERROR(__xludf.DUMMYFUNCTION("""COMPUTED_VALUE"""),"SMALL FOLKART CHRISTMAS TREE DEC")</f>
        <v>SMALL FOLKART CHRISTMAS TREE DEC</v>
      </c>
      <c r="K1266" s="1">
        <f ca="1">IFERROR(__xludf.DUMMYFUNCTION("""COMPUTED_VALUE"""),96)</f>
        <v>96</v>
      </c>
      <c r="L1266" s="1">
        <f ca="1">IFERROR(__xludf.DUMMYFUNCTION("""COMPUTED_VALUE"""),0.19)</f>
        <v>0.19</v>
      </c>
      <c r="T1266" s="1">
        <f ca="1">IFERROR(__xludf.DUMMYFUNCTION("""COMPUTED_VALUE"""),489560)</f>
        <v>489560</v>
      </c>
      <c r="U1266" s="1">
        <f ca="1">IFERROR(__xludf.DUMMYFUNCTION("""COMPUTED_VALUE"""),18.24)</f>
        <v>18.239999999999998</v>
      </c>
    </row>
    <row r="1267" spans="1:21" ht="12.75" x14ac:dyDescent="0.2">
      <c r="A1267" s="3">
        <f ca="1">IFERROR(__xludf.DUMMYFUNCTION("""COMPUTED_VALUE"""),40148.5388888888)</f>
        <v>40148.538888888797</v>
      </c>
      <c r="B1267" s="1">
        <f ca="1">IFERROR(__xludf.DUMMYFUNCTION("""COMPUTED_VALUE"""),0.21)</f>
        <v>0.21</v>
      </c>
      <c r="E1267" s="1" t="str">
        <f ca="1">IFERROR(__xludf.DUMMYFUNCTION("""COMPUTED_VALUE"""),"RED SPOTTY OVEN GLOVE")</f>
        <v>RED SPOTTY OVEN GLOVE</v>
      </c>
      <c r="F1267" s="1">
        <f ca="1">IFERROR(__xludf.DUMMYFUNCTION("""COMPUTED_VALUE"""),2)</f>
        <v>2</v>
      </c>
      <c r="G1267" s="1">
        <f ca="1">IFERROR(__xludf.DUMMYFUNCTION("""COMPUTED_VALUE"""),2.57)</f>
        <v>2.57</v>
      </c>
      <c r="J1267" s="1" t="str">
        <f ca="1">IFERROR(__xludf.DUMMYFUNCTION("""COMPUTED_VALUE"""),"ASSTD DESIGN BUBBLE GUM RING")</f>
        <v>ASSTD DESIGN BUBBLE GUM RING</v>
      </c>
      <c r="K1267" s="1">
        <f ca="1">IFERROR(__xludf.DUMMYFUNCTION("""COMPUTED_VALUE"""),90)</f>
        <v>90</v>
      </c>
      <c r="L1267" s="1">
        <f ca="1">IFERROR(__xludf.DUMMYFUNCTION("""COMPUTED_VALUE"""),0.21)</f>
        <v>0.21</v>
      </c>
      <c r="T1267" s="1">
        <f ca="1">IFERROR(__xludf.DUMMYFUNCTION("""COMPUTED_VALUE"""),489560)</f>
        <v>489560</v>
      </c>
      <c r="U1267" s="1">
        <f ca="1">IFERROR(__xludf.DUMMYFUNCTION("""COMPUTED_VALUE"""),18.9)</f>
        <v>18.899999999999999</v>
      </c>
    </row>
    <row r="1268" spans="1:21" ht="12.75" x14ac:dyDescent="0.2">
      <c r="A1268" s="3">
        <f ca="1">IFERROR(__xludf.DUMMYFUNCTION("""COMPUTED_VALUE"""),40148.5388888888)</f>
        <v>40148.538888888797</v>
      </c>
      <c r="B1268" s="1">
        <f ca="1">IFERROR(__xludf.DUMMYFUNCTION("""COMPUTED_VALUE"""),0.85)</f>
        <v>0.85</v>
      </c>
      <c r="E1268" s="1" t="str">
        <f ca="1">IFERROR(__xludf.DUMMYFUNCTION("""COMPUTED_VALUE"""),"BEWARE OF THE CAT METAL SIGN")</f>
        <v>BEWARE OF THE CAT METAL SIGN</v>
      </c>
      <c r="F1268" s="1">
        <f ca="1">IFERROR(__xludf.DUMMYFUNCTION("""COMPUTED_VALUE"""),2)</f>
        <v>2</v>
      </c>
      <c r="G1268" s="1">
        <f ca="1">IFERROR(__xludf.DUMMYFUNCTION("""COMPUTED_VALUE"""),4.3)</f>
        <v>4.3</v>
      </c>
      <c r="J1268" s="1" t="str">
        <f ca="1">IFERROR(__xludf.DUMMYFUNCTION("""COMPUTED_VALUE"""),"CRYSTAL STILETTO PHONE CHARM")</f>
        <v>CRYSTAL STILETTO PHONE CHARM</v>
      </c>
      <c r="K1268" s="1">
        <f ca="1">IFERROR(__xludf.DUMMYFUNCTION("""COMPUTED_VALUE"""),81)</f>
        <v>81</v>
      </c>
      <c r="L1268" s="1">
        <f ca="1">IFERROR(__xludf.DUMMYFUNCTION("""COMPUTED_VALUE"""),0.85)</f>
        <v>0.85</v>
      </c>
      <c r="T1268" s="1">
        <f ca="1">IFERROR(__xludf.DUMMYFUNCTION("""COMPUTED_VALUE"""),489560)</f>
        <v>489560</v>
      </c>
      <c r="U1268" s="1">
        <f ca="1">IFERROR(__xludf.DUMMYFUNCTION("""COMPUTED_VALUE"""),68.85)</f>
        <v>68.849999999999994</v>
      </c>
    </row>
    <row r="1269" spans="1:21" ht="12.75" x14ac:dyDescent="0.2">
      <c r="A1269" s="3">
        <f ca="1">IFERROR(__xludf.DUMMYFUNCTION("""COMPUTED_VALUE"""),40148.5388888888)</f>
        <v>40148.538888888797</v>
      </c>
      <c r="B1269" s="1">
        <f ca="1">IFERROR(__xludf.DUMMYFUNCTION("""COMPUTED_VALUE"""),0.38)</f>
        <v>0.38</v>
      </c>
      <c r="E1269" s="1" t="str">
        <f ca="1">IFERROR(__xludf.DUMMYFUNCTION("""COMPUTED_VALUE"""),"GIN + TONIC DIET METAL SIGN")</f>
        <v>GIN + TONIC DIET METAL SIGN</v>
      </c>
      <c r="F1269" s="1">
        <f ca="1">IFERROR(__xludf.DUMMYFUNCTION("""COMPUTED_VALUE"""),2)</f>
        <v>2</v>
      </c>
      <c r="G1269" s="1">
        <f ca="1">IFERROR(__xludf.DUMMYFUNCTION("""COMPUTED_VALUE"""),4.3)</f>
        <v>4.3</v>
      </c>
      <c r="J1269" s="1" t="str">
        <f ca="1">IFERROR(__xludf.DUMMYFUNCTION("""COMPUTED_VALUE"""),"PINK STAR CHRISTMAS DECORATION")</f>
        <v>PINK STAR CHRISTMAS DECORATION</v>
      </c>
      <c r="K1269" s="1">
        <f ca="1">IFERROR(__xludf.DUMMYFUNCTION("""COMPUTED_VALUE"""),48)</f>
        <v>48</v>
      </c>
      <c r="L1269" s="1">
        <f ca="1">IFERROR(__xludf.DUMMYFUNCTION("""COMPUTED_VALUE"""),0.38)</f>
        <v>0.38</v>
      </c>
      <c r="T1269" s="1">
        <f ca="1">IFERROR(__xludf.DUMMYFUNCTION("""COMPUTED_VALUE"""),489560)</f>
        <v>489560</v>
      </c>
      <c r="U1269" s="1">
        <f ca="1">IFERROR(__xludf.DUMMYFUNCTION("""COMPUTED_VALUE"""),18.24)</f>
        <v>18.239999999999998</v>
      </c>
    </row>
    <row r="1270" spans="1:21" ht="12.75" x14ac:dyDescent="0.2">
      <c r="A1270" s="3">
        <f ca="1">IFERROR(__xludf.DUMMYFUNCTION("""COMPUTED_VALUE"""),40148.5388888888)</f>
        <v>40148.538888888797</v>
      </c>
      <c r="B1270" s="1">
        <f ca="1">IFERROR(__xludf.DUMMYFUNCTION("""COMPUTED_VALUE"""),0.38)</f>
        <v>0.38</v>
      </c>
      <c r="E1270" s="1" t="str">
        <f ca="1">IFERROR(__xludf.DUMMYFUNCTION("""COMPUTED_VALUE"""),"FRENCH BOTTLE, BRASSERIE DES ARTIST")</f>
        <v>FRENCH BOTTLE, BRASSERIE DES ARTIST</v>
      </c>
      <c r="F1270" s="1">
        <f ca="1">IFERROR(__xludf.DUMMYFUNCTION("""COMPUTED_VALUE"""),2)</f>
        <v>2</v>
      </c>
      <c r="G1270" s="1">
        <f ca="1">IFERROR(__xludf.DUMMYFUNCTION("""COMPUTED_VALUE"""),3.43)</f>
        <v>3.43</v>
      </c>
      <c r="J1270" s="1" t="str">
        <f ca="1">IFERROR(__xludf.DUMMYFUNCTION("""COMPUTED_VALUE"""),"PINK STOCKING CHRISTMAS DECORATION")</f>
        <v>PINK STOCKING CHRISTMAS DECORATION</v>
      </c>
      <c r="K1270" s="1">
        <f ca="1">IFERROR(__xludf.DUMMYFUNCTION("""COMPUTED_VALUE"""),48)</f>
        <v>48</v>
      </c>
      <c r="L1270" s="1">
        <f ca="1">IFERROR(__xludf.DUMMYFUNCTION("""COMPUTED_VALUE"""),0.38)</f>
        <v>0.38</v>
      </c>
      <c r="T1270" s="1">
        <f ca="1">IFERROR(__xludf.DUMMYFUNCTION("""COMPUTED_VALUE"""),489560)</f>
        <v>489560</v>
      </c>
      <c r="U1270" s="1">
        <f ca="1">IFERROR(__xludf.DUMMYFUNCTION("""COMPUTED_VALUE"""),18.24)</f>
        <v>18.239999999999998</v>
      </c>
    </row>
    <row r="1271" spans="1:21" ht="12.75" x14ac:dyDescent="0.2">
      <c r="A1271" s="3">
        <f ca="1">IFERROR(__xludf.DUMMYFUNCTION("""COMPUTED_VALUE"""),40148.5388888888)</f>
        <v>40148.538888888797</v>
      </c>
      <c r="B1271" s="1">
        <f ca="1">IFERROR(__xludf.DUMMYFUNCTION("""COMPUTED_VALUE"""),0.85)</f>
        <v>0.85</v>
      </c>
      <c r="E1271" s="1" t="str">
        <f ca="1">IFERROR(__xludf.DUMMYFUNCTION("""COMPUTED_VALUE"""),"WOODLAND ANIMAL  WRITING SET")</f>
        <v>WOODLAND ANIMAL  WRITING SET</v>
      </c>
      <c r="F1271" s="1">
        <f ca="1">IFERROR(__xludf.DUMMYFUNCTION("""COMPUTED_VALUE"""),2)</f>
        <v>2</v>
      </c>
      <c r="G1271" s="1">
        <f ca="1">IFERROR(__xludf.DUMMYFUNCTION("""COMPUTED_VALUE"""),3.43)</f>
        <v>3.43</v>
      </c>
      <c r="J1271" s="1" t="str">
        <f ca="1">IFERROR(__xludf.DUMMYFUNCTION("""COMPUTED_VALUE"""),"CRYSTAL SEA HORSE PHONE CHARM")</f>
        <v>CRYSTAL SEA HORSE PHONE CHARM</v>
      </c>
      <c r="K1271" s="1">
        <f ca="1">IFERROR(__xludf.DUMMYFUNCTION("""COMPUTED_VALUE"""),48)</f>
        <v>48</v>
      </c>
      <c r="L1271" s="1">
        <f ca="1">IFERROR(__xludf.DUMMYFUNCTION("""COMPUTED_VALUE"""),0.85)</f>
        <v>0.85</v>
      </c>
      <c r="T1271" s="1">
        <f ca="1">IFERROR(__xludf.DUMMYFUNCTION("""COMPUTED_VALUE"""),489560)</f>
        <v>489560</v>
      </c>
      <c r="U1271" s="1">
        <f ca="1">IFERROR(__xludf.DUMMYFUNCTION("""COMPUTED_VALUE"""),40.8)</f>
        <v>40.799999999999997</v>
      </c>
    </row>
    <row r="1272" spans="1:21" ht="12.75" x14ac:dyDescent="0.2">
      <c r="A1272" s="3">
        <f ca="1">IFERROR(__xludf.DUMMYFUNCTION("""COMPUTED_VALUE"""),40148.5388888888)</f>
        <v>40148.538888888797</v>
      </c>
      <c r="B1272" s="1">
        <f ca="1">IFERROR(__xludf.DUMMYFUNCTION("""COMPUTED_VALUE"""),0.42)</f>
        <v>0.42</v>
      </c>
      <c r="E1272" s="1" t="str">
        <f ca="1">IFERROR(__xludf.DUMMYFUNCTION("""COMPUTED_VALUE"""),"TOAST ITS - FAIRY FLOWER")</f>
        <v>TOAST ITS - FAIRY FLOWER</v>
      </c>
      <c r="F1272" s="1">
        <f ca="1">IFERROR(__xludf.DUMMYFUNCTION("""COMPUTED_VALUE"""),2)</f>
        <v>2</v>
      </c>
      <c r="G1272" s="1">
        <f ca="1">IFERROR(__xludf.DUMMYFUNCTION("""COMPUTED_VALUE"""),2.57)</f>
        <v>2.57</v>
      </c>
      <c r="J1272" s="1" t="str">
        <f ca="1">IFERROR(__xludf.DUMMYFUNCTION("""COMPUTED_VALUE"""),"WHITE CHRISTMAS TREE DECORATION")</f>
        <v>WHITE CHRISTMAS TREE DECORATION</v>
      </c>
      <c r="K1272" s="1">
        <f ca="1">IFERROR(__xludf.DUMMYFUNCTION("""COMPUTED_VALUE"""),36)</f>
        <v>36</v>
      </c>
      <c r="L1272" s="1">
        <f ca="1">IFERROR(__xludf.DUMMYFUNCTION("""COMPUTED_VALUE"""),0.42)</f>
        <v>0.42</v>
      </c>
      <c r="T1272" s="1">
        <f ca="1">IFERROR(__xludf.DUMMYFUNCTION("""COMPUTED_VALUE"""),489560)</f>
        <v>489560</v>
      </c>
      <c r="U1272" s="1">
        <f ca="1">IFERROR(__xludf.DUMMYFUNCTION("""COMPUTED_VALUE"""),15.12)</f>
        <v>15.12</v>
      </c>
    </row>
    <row r="1273" spans="1:21" ht="12.75" x14ac:dyDescent="0.2">
      <c r="A1273" s="3">
        <f ca="1">IFERROR(__xludf.DUMMYFUNCTION("""COMPUTED_VALUE"""),40148.5388888888)</f>
        <v>40148.538888888797</v>
      </c>
      <c r="B1273" s="1">
        <f ca="1">IFERROR(__xludf.DUMMYFUNCTION("""COMPUTED_VALUE"""),0.42)</f>
        <v>0.42</v>
      </c>
      <c r="E1273" s="1" t="str">
        <f ca="1">IFERROR(__xludf.DUMMYFUNCTION("""COMPUTED_VALUE"""),"CLEAR COLOUR GLASS GEMS IN BAG")</f>
        <v>CLEAR COLOUR GLASS GEMS IN BAG</v>
      </c>
      <c r="F1273" s="1">
        <f ca="1">IFERROR(__xludf.DUMMYFUNCTION("""COMPUTED_VALUE"""),1)</f>
        <v>1</v>
      </c>
      <c r="G1273" s="1">
        <f ca="1">IFERROR(__xludf.DUMMYFUNCTION("""COMPUTED_VALUE"""),1.7)</f>
        <v>1.7</v>
      </c>
      <c r="J1273" s="1" t="str">
        <f ca="1">IFERROR(__xludf.DUMMYFUNCTION("""COMPUTED_VALUE"""),"SMALL FOLKART CHRISTMAS TREE DEC")</f>
        <v>SMALL FOLKART CHRISTMAS TREE DEC</v>
      </c>
      <c r="K1273" s="1">
        <f ca="1">IFERROR(__xludf.DUMMYFUNCTION("""COMPUTED_VALUE"""),33)</f>
        <v>33</v>
      </c>
      <c r="L1273" s="1">
        <f ca="1">IFERROR(__xludf.DUMMYFUNCTION("""COMPUTED_VALUE"""),0.42)</f>
        <v>0.42</v>
      </c>
      <c r="T1273" s="1">
        <f ca="1">IFERROR(__xludf.DUMMYFUNCTION("""COMPUTED_VALUE"""),489560)</f>
        <v>489560</v>
      </c>
      <c r="U1273" s="1">
        <f ca="1">IFERROR(__xludf.DUMMYFUNCTION("""COMPUTED_VALUE"""),13.86)</f>
        <v>13.86</v>
      </c>
    </row>
    <row r="1274" spans="1:21" ht="12.75" x14ac:dyDescent="0.2">
      <c r="A1274" s="3">
        <f ca="1">IFERROR(__xludf.DUMMYFUNCTION("""COMPUTED_VALUE"""),40148.5388888888)</f>
        <v>40148.538888888797</v>
      </c>
      <c r="B1274" s="1">
        <f ca="1">IFERROR(__xludf.DUMMYFUNCTION("""COMPUTED_VALUE"""),0.85)</f>
        <v>0.85</v>
      </c>
      <c r="E1274" s="1" t="str">
        <f ca="1">IFERROR(__xludf.DUMMYFUNCTION("""COMPUTED_VALUE"""),"CHERRY BLOSSOM PASSPORT COVER")</f>
        <v>CHERRY BLOSSOM PASSPORT COVER</v>
      </c>
      <c r="F1274" s="1">
        <f ca="1">IFERROR(__xludf.DUMMYFUNCTION("""COMPUTED_VALUE"""),1)</f>
        <v>1</v>
      </c>
      <c r="G1274" s="1">
        <f ca="1">IFERROR(__xludf.DUMMYFUNCTION("""COMPUTED_VALUE"""),4.3)</f>
        <v>4.3</v>
      </c>
      <c r="J1274" s="1" t="str">
        <f ca="1">IFERROR(__xludf.DUMMYFUNCTION("""COMPUTED_VALUE"""),"BLUE CRYSTAL BOOT PHONE CHARM")</f>
        <v>BLUE CRYSTAL BOOT PHONE CHARM</v>
      </c>
      <c r="K1274" s="1">
        <f ca="1">IFERROR(__xludf.DUMMYFUNCTION("""COMPUTED_VALUE"""),24)</f>
        <v>24</v>
      </c>
      <c r="L1274" s="1">
        <f ca="1">IFERROR(__xludf.DUMMYFUNCTION("""COMPUTED_VALUE"""),0.85)</f>
        <v>0.85</v>
      </c>
      <c r="T1274" s="1">
        <f ca="1">IFERROR(__xludf.DUMMYFUNCTION("""COMPUTED_VALUE"""),489560)</f>
        <v>489560</v>
      </c>
      <c r="U1274" s="1">
        <f ca="1">IFERROR(__xludf.DUMMYFUNCTION("""COMPUTED_VALUE"""),20.4)</f>
        <v>20.399999999999999</v>
      </c>
    </row>
    <row r="1275" spans="1:21" ht="12.75" x14ac:dyDescent="0.2">
      <c r="A1275" s="3">
        <f ca="1">IFERROR(__xludf.DUMMYFUNCTION("""COMPUTED_VALUE"""),40148.5388888888)</f>
        <v>40148.538888888797</v>
      </c>
      <c r="B1275" s="1">
        <f ca="1">IFERROR(__xludf.DUMMYFUNCTION("""COMPUTED_VALUE"""),0.85)</f>
        <v>0.85</v>
      </c>
      <c r="E1275" s="1" t="str">
        <f ca="1">IFERROR(__xludf.DUMMYFUNCTION("""COMPUTED_VALUE"""),"QUEEN OF THE SKIES PASSPORT COVER")</f>
        <v>QUEEN OF THE SKIES PASSPORT COVER</v>
      </c>
      <c r="F1275" s="1">
        <f ca="1">IFERROR(__xludf.DUMMYFUNCTION("""COMPUTED_VALUE"""),1)</f>
        <v>1</v>
      </c>
      <c r="G1275" s="1">
        <f ca="1">IFERROR(__xludf.DUMMYFUNCTION("""COMPUTED_VALUE"""),4.3)</f>
        <v>4.3</v>
      </c>
      <c r="J1275" s="1" t="str">
        <f ca="1">IFERROR(__xludf.DUMMYFUNCTION("""COMPUTED_VALUE"""),"CLEAR CRYSTAL STAR PHONE CHARM")</f>
        <v>CLEAR CRYSTAL STAR PHONE CHARM</v>
      </c>
      <c r="K1275" s="1">
        <f ca="1">IFERROR(__xludf.DUMMYFUNCTION("""COMPUTED_VALUE"""),24)</f>
        <v>24</v>
      </c>
      <c r="L1275" s="1">
        <f ca="1">IFERROR(__xludf.DUMMYFUNCTION("""COMPUTED_VALUE"""),0.85)</f>
        <v>0.85</v>
      </c>
      <c r="T1275" s="1">
        <f ca="1">IFERROR(__xludf.DUMMYFUNCTION("""COMPUTED_VALUE"""),489560)</f>
        <v>489560</v>
      </c>
      <c r="U1275" s="1">
        <f ca="1">IFERROR(__xludf.DUMMYFUNCTION("""COMPUTED_VALUE"""),20.4)</f>
        <v>20.399999999999999</v>
      </c>
    </row>
    <row r="1276" spans="1:21" ht="12.75" x14ac:dyDescent="0.2">
      <c r="A1276" s="3">
        <f ca="1">IFERROR(__xludf.DUMMYFUNCTION("""COMPUTED_VALUE"""),40148.5388888888)</f>
        <v>40148.538888888797</v>
      </c>
      <c r="B1276" s="1">
        <f ca="1">IFERROR(__xludf.DUMMYFUNCTION("""COMPUTED_VALUE"""),0.85)</f>
        <v>0.85</v>
      </c>
      <c r="E1276" s="1" t="str">
        <f ca="1">IFERROR(__xludf.DUMMYFUNCTION("""COMPUTED_VALUE"""),"BLUE SPOTTY LUGGAGE TAG")</f>
        <v>BLUE SPOTTY LUGGAGE TAG</v>
      </c>
      <c r="F1276" s="1">
        <f ca="1">IFERROR(__xludf.DUMMYFUNCTION("""COMPUTED_VALUE"""),1)</f>
        <v>1</v>
      </c>
      <c r="G1276" s="1">
        <f ca="1">IFERROR(__xludf.DUMMYFUNCTION("""COMPUTED_VALUE"""),2.57)</f>
        <v>2.57</v>
      </c>
      <c r="J1276" s="1" t="str">
        <f ca="1">IFERROR(__xludf.DUMMYFUNCTION("""COMPUTED_VALUE"""),"PINK CRYSTAL HEART PHONE CHARM")</f>
        <v>PINK CRYSTAL HEART PHONE CHARM</v>
      </c>
      <c r="K1276" s="1">
        <f ca="1">IFERROR(__xludf.DUMMYFUNCTION("""COMPUTED_VALUE"""),24)</f>
        <v>24</v>
      </c>
      <c r="L1276" s="1">
        <f ca="1">IFERROR(__xludf.DUMMYFUNCTION("""COMPUTED_VALUE"""),0.85)</f>
        <v>0.85</v>
      </c>
      <c r="T1276" s="1">
        <f ca="1">IFERROR(__xludf.DUMMYFUNCTION("""COMPUTED_VALUE"""),489560)</f>
        <v>489560</v>
      </c>
      <c r="U1276" s="1">
        <f ca="1">IFERROR(__xludf.DUMMYFUNCTION("""COMPUTED_VALUE"""),20.4)</f>
        <v>20.399999999999999</v>
      </c>
    </row>
    <row r="1277" spans="1:21" ht="12.75" x14ac:dyDescent="0.2">
      <c r="A1277" s="3">
        <f ca="1">IFERROR(__xludf.DUMMYFUNCTION("""COMPUTED_VALUE"""),40148.5388888888)</f>
        <v>40148.538888888797</v>
      </c>
      <c r="B1277" s="1">
        <f ca="1">IFERROR(__xludf.DUMMYFUNCTION("""COMPUTED_VALUE"""),0.85)</f>
        <v>0.85</v>
      </c>
      <c r="E1277" s="1" t="str">
        <f ca="1">IFERROR(__xludf.DUMMYFUNCTION("""COMPUTED_VALUE"""),"FIRST CLASS LUGGAGE TAG")</f>
        <v>FIRST CLASS LUGGAGE TAG</v>
      </c>
      <c r="F1277" s="1">
        <f ca="1">IFERROR(__xludf.DUMMYFUNCTION("""COMPUTED_VALUE"""),1)</f>
        <v>1</v>
      </c>
      <c r="G1277" s="1">
        <f ca="1">IFERROR(__xludf.DUMMYFUNCTION("""COMPUTED_VALUE"""),2.57)</f>
        <v>2.57</v>
      </c>
      <c r="J1277" s="1" t="str">
        <f ca="1">IFERROR(__xludf.DUMMYFUNCTION("""COMPUTED_VALUE"""),"CRYSTAL KEY+LOCK PHONE CHARM")</f>
        <v>CRYSTAL KEY+LOCK PHONE CHARM</v>
      </c>
      <c r="K1277" s="1">
        <f ca="1">IFERROR(__xludf.DUMMYFUNCTION("""COMPUTED_VALUE"""),24)</f>
        <v>24</v>
      </c>
      <c r="L1277" s="1">
        <f ca="1">IFERROR(__xludf.DUMMYFUNCTION("""COMPUTED_VALUE"""),0.85)</f>
        <v>0.85</v>
      </c>
      <c r="T1277" s="1">
        <f ca="1">IFERROR(__xludf.DUMMYFUNCTION("""COMPUTED_VALUE"""),489560)</f>
        <v>489560</v>
      </c>
      <c r="U1277" s="1">
        <f ca="1">IFERROR(__xludf.DUMMYFUNCTION("""COMPUTED_VALUE"""),20.4)</f>
        <v>20.399999999999999</v>
      </c>
    </row>
    <row r="1278" spans="1:21" ht="12.75" x14ac:dyDescent="0.2">
      <c r="A1278" s="3">
        <f ca="1">IFERROR(__xludf.DUMMYFUNCTION("""COMPUTED_VALUE"""),40148.5388888888)</f>
        <v>40148.538888888797</v>
      </c>
      <c r="B1278" s="1">
        <f ca="1">IFERROR(__xludf.DUMMYFUNCTION("""COMPUTED_VALUE"""),0.85)</f>
        <v>0.85</v>
      </c>
      <c r="E1278" s="1" t="str">
        <f ca="1">IFERROR(__xludf.DUMMYFUNCTION("""COMPUTED_VALUE"""),"QUEEN OF SKIES LUGGAGE TAG")</f>
        <v>QUEEN OF SKIES LUGGAGE TAG</v>
      </c>
      <c r="F1278" s="1">
        <f ca="1">IFERROR(__xludf.DUMMYFUNCTION("""COMPUTED_VALUE"""),1)</f>
        <v>1</v>
      </c>
      <c r="G1278" s="1">
        <f ca="1">IFERROR(__xludf.DUMMYFUNCTION("""COMPUTED_VALUE"""),2.57)</f>
        <v>2.57</v>
      </c>
      <c r="J1278" s="1" t="str">
        <f ca="1">IFERROR(__xludf.DUMMYFUNCTION("""COMPUTED_VALUE"""),"PINK CRYSTAL HEART PHONE CHARM")</f>
        <v>PINK CRYSTAL HEART PHONE CHARM</v>
      </c>
      <c r="K1278" s="1">
        <f ca="1">IFERROR(__xludf.DUMMYFUNCTION("""COMPUTED_VALUE"""),12)</f>
        <v>12</v>
      </c>
      <c r="L1278" s="1">
        <f ca="1">IFERROR(__xludf.DUMMYFUNCTION("""COMPUTED_VALUE"""),0.85)</f>
        <v>0.85</v>
      </c>
      <c r="T1278" s="1">
        <f ca="1">IFERROR(__xludf.DUMMYFUNCTION("""COMPUTED_VALUE"""),489560)</f>
        <v>489560</v>
      </c>
      <c r="U1278" s="1">
        <f ca="1">IFERROR(__xludf.DUMMYFUNCTION("""COMPUTED_VALUE"""),10.2)</f>
        <v>10.199999999999999</v>
      </c>
    </row>
    <row r="1279" spans="1:21" ht="12.75" x14ac:dyDescent="0.2">
      <c r="A1279" s="3">
        <f ca="1">IFERROR(__xludf.DUMMYFUNCTION("""COMPUTED_VALUE"""),40148.5388888888)</f>
        <v>40148.538888888797</v>
      </c>
      <c r="B1279" s="1">
        <f ca="1">IFERROR(__xludf.DUMMYFUNCTION("""COMPUTED_VALUE"""),0.42)</f>
        <v>0.42</v>
      </c>
      <c r="E1279" s="1" t="str">
        <f ca="1">IFERROR(__xludf.DUMMYFUNCTION("""COMPUTED_VALUE"""),"ECONOMY LUGGAGE TAG")</f>
        <v>ECONOMY LUGGAGE TAG</v>
      </c>
      <c r="F1279" s="1">
        <f ca="1">IFERROR(__xludf.DUMMYFUNCTION("""COMPUTED_VALUE"""),1)</f>
        <v>1</v>
      </c>
      <c r="G1279" s="1">
        <f ca="1">IFERROR(__xludf.DUMMYFUNCTION("""COMPUTED_VALUE"""),2.57)</f>
        <v>2.57</v>
      </c>
      <c r="J1279" s="1" t="str">
        <f ca="1">IFERROR(__xludf.DUMMYFUNCTION("""COMPUTED_VALUE"""),"STAR DECORATION RUSTIC")</f>
        <v>STAR DECORATION RUSTIC</v>
      </c>
      <c r="K1279" s="1">
        <f ca="1">IFERROR(__xludf.DUMMYFUNCTION("""COMPUTED_VALUE"""),12)</f>
        <v>12</v>
      </c>
      <c r="L1279" s="1">
        <f ca="1">IFERROR(__xludf.DUMMYFUNCTION("""COMPUTED_VALUE"""),0.42)</f>
        <v>0.42</v>
      </c>
      <c r="T1279" s="1">
        <f ca="1">IFERROR(__xludf.DUMMYFUNCTION("""COMPUTED_VALUE"""),489560)</f>
        <v>489560</v>
      </c>
      <c r="U1279" s="1">
        <f ca="1">IFERROR(__xludf.DUMMYFUNCTION("""COMPUTED_VALUE"""),5.04)</f>
        <v>5.04</v>
      </c>
    </row>
    <row r="1280" spans="1:21" ht="12.75" x14ac:dyDescent="0.2">
      <c r="A1280" s="3">
        <f ca="1">IFERROR(__xludf.DUMMYFUNCTION("""COMPUTED_VALUE"""),40148.5388888888)</f>
        <v>40148.538888888797</v>
      </c>
      <c r="B1280" s="1">
        <f ca="1">IFERROR(__xludf.DUMMYFUNCTION("""COMPUTED_VALUE"""),0.42)</f>
        <v>0.42</v>
      </c>
      <c r="E1280" s="1" t="str">
        <f ca="1">IFERROR(__xludf.DUMMYFUNCTION("""COMPUTED_VALUE"""),"GREEN SPOTTY BOWL")</f>
        <v>GREEN SPOTTY BOWL</v>
      </c>
      <c r="F1280" s="1">
        <f ca="1">IFERROR(__xludf.DUMMYFUNCTION("""COMPUTED_VALUE"""),1)</f>
        <v>1</v>
      </c>
      <c r="G1280" s="1">
        <f ca="1">IFERROR(__xludf.DUMMYFUNCTION("""COMPUTED_VALUE"""),2.57)</f>
        <v>2.57</v>
      </c>
      <c r="J1280" s="1" t="str">
        <f ca="1">IFERROR(__xludf.DUMMYFUNCTION("""COMPUTED_VALUE"""),"FLOWER FAIRY SUMMER BOUQUET SACHET")</f>
        <v>FLOWER FAIRY SUMMER BOUQUET SACHET</v>
      </c>
      <c r="K1280" s="1">
        <f ca="1">IFERROR(__xludf.DUMMYFUNCTION("""COMPUTED_VALUE"""),12)</f>
        <v>12</v>
      </c>
      <c r="L1280" s="1">
        <f ca="1">IFERROR(__xludf.DUMMYFUNCTION("""COMPUTED_VALUE"""),0.42)</f>
        <v>0.42</v>
      </c>
      <c r="T1280" s="1">
        <f ca="1">IFERROR(__xludf.DUMMYFUNCTION("""COMPUTED_VALUE"""),489560)</f>
        <v>489560</v>
      </c>
      <c r="U1280" s="1">
        <f ca="1">IFERROR(__xludf.DUMMYFUNCTION("""COMPUTED_VALUE"""),5.04)</f>
        <v>5.04</v>
      </c>
    </row>
    <row r="1281" spans="1:21" ht="12.75" x14ac:dyDescent="0.2">
      <c r="A1281" s="3">
        <f ca="1">IFERROR(__xludf.DUMMYFUNCTION("""COMPUTED_VALUE"""),40148.5388888888)</f>
        <v>40148.538888888797</v>
      </c>
      <c r="B1281" s="1">
        <f ca="1">IFERROR(__xludf.DUMMYFUNCTION("""COMPUTED_VALUE"""),2.1)</f>
        <v>2.1</v>
      </c>
      <c r="E1281" s="1" t="str">
        <f ca="1">IFERROR(__xludf.DUMMYFUNCTION("""COMPUTED_VALUE"""),"POSY SHOPPER BAG")</f>
        <v>POSY SHOPPER BAG</v>
      </c>
      <c r="F1281" s="1">
        <f ca="1">IFERROR(__xludf.DUMMYFUNCTION("""COMPUTED_VALUE"""),1)</f>
        <v>1</v>
      </c>
      <c r="G1281" s="1">
        <f ca="1">IFERROR(__xludf.DUMMYFUNCTION("""COMPUTED_VALUE"""),2.57)</f>
        <v>2.57</v>
      </c>
      <c r="J1281" s="1" t="str">
        <f ca="1">IFERROR(__xludf.DUMMYFUNCTION("""COMPUTED_VALUE"""),"PINK BERTIE GLASS BEAD BAG CHARM")</f>
        <v>PINK BERTIE GLASS BEAD BAG CHARM</v>
      </c>
      <c r="K1281" s="1">
        <f ca="1">IFERROR(__xludf.DUMMYFUNCTION("""COMPUTED_VALUE"""),12)</f>
        <v>12</v>
      </c>
      <c r="L1281" s="1">
        <f ca="1">IFERROR(__xludf.DUMMYFUNCTION("""COMPUTED_VALUE"""),2.1)</f>
        <v>2.1</v>
      </c>
      <c r="T1281" s="1">
        <f ca="1">IFERROR(__xludf.DUMMYFUNCTION("""COMPUTED_VALUE"""),489560)</f>
        <v>489560</v>
      </c>
      <c r="U1281" s="1">
        <f ca="1">IFERROR(__xludf.DUMMYFUNCTION("""COMPUTED_VALUE"""),25.2)</f>
        <v>25.2</v>
      </c>
    </row>
    <row r="1282" spans="1:21" ht="12.75" x14ac:dyDescent="0.2">
      <c r="A1282" s="3">
        <f ca="1">IFERROR(__xludf.DUMMYFUNCTION("""COMPUTED_VALUE"""),40148.5388888888)</f>
        <v>40148.538888888797</v>
      </c>
      <c r="B1282" s="1">
        <f ca="1">IFERROR(__xludf.DUMMYFUNCTION("""COMPUTED_VALUE"""),0.85)</f>
        <v>0.85</v>
      </c>
      <c r="E1282" s="1" t="str">
        <f ca="1">IFERROR(__xludf.DUMMYFUNCTION("""COMPUTED_VALUE"""),"WOODLAND CHARLOTTE BAG")</f>
        <v>WOODLAND CHARLOTTE BAG</v>
      </c>
      <c r="F1282" s="1">
        <f ca="1">IFERROR(__xludf.DUMMYFUNCTION("""COMPUTED_VALUE"""),1)</f>
        <v>1</v>
      </c>
      <c r="G1282" s="1">
        <f ca="1">IFERROR(__xludf.DUMMYFUNCTION("""COMPUTED_VALUE"""),1.7)</f>
        <v>1.7</v>
      </c>
      <c r="J1282" s="1" t="str">
        <f ca="1">IFERROR(__xludf.DUMMYFUNCTION("""COMPUTED_VALUE"""),"PINK CRYSTAL GUITAR PHONE CHARM")</f>
        <v>PINK CRYSTAL GUITAR PHONE CHARM</v>
      </c>
      <c r="K1282" s="1">
        <f ca="1">IFERROR(__xludf.DUMMYFUNCTION("""COMPUTED_VALUE"""),12)</f>
        <v>12</v>
      </c>
      <c r="L1282" s="1">
        <f ca="1">IFERROR(__xludf.DUMMYFUNCTION("""COMPUTED_VALUE"""),0.85)</f>
        <v>0.85</v>
      </c>
      <c r="T1282" s="1">
        <f ca="1">IFERROR(__xludf.DUMMYFUNCTION("""COMPUTED_VALUE"""),489560)</f>
        <v>489560</v>
      </c>
      <c r="U1282" s="1">
        <f ca="1">IFERROR(__xludf.DUMMYFUNCTION("""COMPUTED_VALUE"""),10.2)</f>
        <v>10.199999999999999</v>
      </c>
    </row>
    <row r="1283" spans="1:21" ht="12.75" x14ac:dyDescent="0.2">
      <c r="A1283" s="3">
        <f ca="1">IFERROR(__xludf.DUMMYFUNCTION("""COMPUTED_VALUE"""),40148.5388888888)</f>
        <v>40148.538888888797</v>
      </c>
      <c r="B1283" s="1">
        <f ca="1">IFERROR(__xludf.DUMMYFUNCTION("""COMPUTED_VALUE"""),0.85)</f>
        <v>0.85</v>
      </c>
      <c r="E1283" s="1" t="str">
        <f ca="1">IFERROR(__xludf.DUMMYFUNCTION("""COMPUTED_VALUE"""),"LUNCH BAG RED SPOTTY")</f>
        <v>LUNCH BAG RED SPOTTY</v>
      </c>
      <c r="F1283" s="1">
        <f ca="1">IFERROR(__xludf.DUMMYFUNCTION("""COMPUTED_VALUE"""),1)</f>
        <v>1</v>
      </c>
      <c r="G1283" s="1">
        <f ca="1">IFERROR(__xludf.DUMMYFUNCTION("""COMPUTED_VALUE"""),4.3)</f>
        <v>4.3</v>
      </c>
      <c r="J1283" s="1" t="str">
        <f ca="1">IFERROR(__xludf.DUMMYFUNCTION("""COMPUTED_VALUE"""),"BUDDHA INCENSE HOLDER ASSORTED")</f>
        <v>BUDDHA INCENSE HOLDER ASSORTED</v>
      </c>
      <c r="K1283" s="1">
        <f ca="1">IFERROR(__xludf.DUMMYFUNCTION("""COMPUTED_VALUE"""),8)</f>
        <v>8</v>
      </c>
      <c r="L1283" s="1">
        <f ca="1">IFERROR(__xludf.DUMMYFUNCTION("""COMPUTED_VALUE"""),0.85)</f>
        <v>0.85</v>
      </c>
      <c r="T1283" s="1">
        <f ca="1">IFERROR(__xludf.DUMMYFUNCTION("""COMPUTED_VALUE"""),489560)</f>
        <v>489560</v>
      </c>
      <c r="U1283" s="1">
        <f ca="1">IFERROR(__xludf.DUMMYFUNCTION("""COMPUTED_VALUE"""),6.8)</f>
        <v>6.8</v>
      </c>
    </row>
    <row r="1284" spans="1:21" ht="12.75" x14ac:dyDescent="0.2">
      <c r="A1284" s="3">
        <f ca="1">IFERROR(__xludf.DUMMYFUNCTION("""COMPUTED_VALUE"""),40148.5388888888)</f>
        <v>40148.538888888797</v>
      </c>
      <c r="B1284" s="1">
        <f ca="1">IFERROR(__xludf.DUMMYFUNCTION("""COMPUTED_VALUE"""),0.85)</f>
        <v>0.85</v>
      </c>
      <c r="E1284" s="1" t="str">
        <f ca="1">IFERROR(__xludf.DUMMYFUNCTION("""COMPUTED_VALUE"""),"RED SPOTTY CANDY BAG")</f>
        <v>RED SPOTTY CANDY BAG</v>
      </c>
      <c r="F1284" s="1">
        <f ca="1">IFERROR(__xludf.DUMMYFUNCTION("""COMPUTED_VALUE"""),1)</f>
        <v>1</v>
      </c>
      <c r="G1284" s="1">
        <f ca="1">IFERROR(__xludf.DUMMYFUNCTION("""COMPUTED_VALUE"""),2.57)</f>
        <v>2.57</v>
      </c>
      <c r="J1284" s="1" t="str">
        <f ca="1">IFERROR(__xludf.DUMMYFUNCTION("""COMPUTED_VALUE"""),"BLUE CRYSTAL BOOT PHONE CHARM")</f>
        <v>BLUE CRYSTAL BOOT PHONE CHARM</v>
      </c>
      <c r="K1284" s="1">
        <f ca="1">IFERROR(__xludf.DUMMYFUNCTION("""COMPUTED_VALUE"""),3)</f>
        <v>3</v>
      </c>
      <c r="L1284" s="1">
        <f ca="1">IFERROR(__xludf.DUMMYFUNCTION("""COMPUTED_VALUE"""),0.85)</f>
        <v>0.85</v>
      </c>
      <c r="T1284" s="1">
        <f ca="1">IFERROR(__xludf.DUMMYFUNCTION("""COMPUTED_VALUE"""),489560)</f>
        <v>489560</v>
      </c>
      <c r="U1284" s="1">
        <f ca="1">IFERROR(__xludf.DUMMYFUNCTION("""COMPUTED_VALUE"""),2.55)</f>
        <v>2.5499999999999998</v>
      </c>
    </row>
    <row r="1285" spans="1:21" ht="12.75" x14ac:dyDescent="0.2">
      <c r="A1285" s="3">
        <f ca="1">IFERROR(__xludf.DUMMYFUNCTION("""COMPUTED_VALUE"""),40148.5388888888)</f>
        <v>40148.538888888797</v>
      </c>
      <c r="B1285" s="1">
        <f ca="1">IFERROR(__xludf.DUMMYFUNCTION("""COMPUTED_VALUE"""),2.1)</f>
        <v>2.1</v>
      </c>
      <c r="E1285" s="1" t="str">
        <f ca="1">IFERROR(__xludf.DUMMYFUNCTION("""COMPUTED_VALUE"""),"RETRO PINK SPOT WASHING UP GLOVES")</f>
        <v>RETRO PINK SPOT WASHING UP GLOVES</v>
      </c>
      <c r="F1285" s="1">
        <f ca="1">IFERROR(__xludf.DUMMYFUNCTION("""COMPUTED_VALUE"""),1)</f>
        <v>1</v>
      </c>
      <c r="G1285" s="1">
        <f ca="1">IFERROR(__xludf.DUMMYFUNCTION("""COMPUTED_VALUE"""),4.3)</f>
        <v>4.3</v>
      </c>
      <c r="J1285" s="1" t="str">
        <f ca="1">IFERROR(__xludf.DUMMYFUNCTION("""COMPUTED_VALUE"""),"PINK JUMPER LARRY THE LAMB")</f>
        <v>PINK JUMPER LARRY THE LAMB</v>
      </c>
      <c r="K1285" s="1">
        <f ca="1">IFERROR(__xludf.DUMMYFUNCTION("""COMPUTED_VALUE"""),3)</f>
        <v>3</v>
      </c>
      <c r="L1285" s="1">
        <f ca="1">IFERROR(__xludf.DUMMYFUNCTION("""COMPUTED_VALUE"""),2.1)</f>
        <v>2.1</v>
      </c>
      <c r="T1285" s="1">
        <f ca="1">IFERROR(__xludf.DUMMYFUNCTION("""COMPUTED_VALUE"""),489560)</f>
        <v>489560</v>
      </c>
      <c r="U1285" s="1">
        <f ca="1">IFERROR(__xludf.DUMMYFUNCTION("""COMPUTED_VALUE"""),6.3)</f>
        <v>6.3</v>
      </c>
    </row>
    <row r="1286" spans="1:21" ht="12.75" x14ac:dyDescent="0.2">
      <c r="A1286" s="3">
        <f ca="1">IFERROR(__xludf.DUMMYFUNCTION("""COMPUTED_VALUE"""),40148.5388888888)</f>
        <v>40148.538888888797</v>
      </c>
      <c r="B1286" s="1">
        <f ca="1">IFERROR(__xludf.DUMMYFUNCTION("""COMPUTED_VALUE"""),0.95)</f>
        <v>0.95</v>
      </c>
      <c r="E1286" s="1" t="str">
        <f ca="1">IFERROR(__xludf.DUMMYFUNCTION("""COMPUTED_VALUE"""),"RED FLOCK LOVE HEART PHOTO FRAME")</f>
        <v>RED FLOCK LOVE HEART PHOTO FRAME</v>
      </c>
      <c r="F1286" s="1">
        <f ca="1">IFERROR(__xludf.DUMMYFUNCTION("""COMPUTED_VALUE"""),1)</f>
        <v>1</v>
      </c>
      <c r="G1286" s="1">
        <f ca="1">IFERROR(__xludf.DUMMYFUNCTION("""COMPUTED_VALUE"""),1.7)</f>
        <v>1.7</v>
      </c>
      <c r="J1286" s="1" t="str">
        <f ca="1">IFERROR(__xludf.DUMMYFUNCTION("""COMPUTED_VALUE"""),"REX CASH+CARRY JUMBO SHOPPER")</f>
        <v>REX CASH+CARRY JUMBO SHOPPER</v>
      </c>
      <c r="K1286" s="1">
        <f ca="1">IFERROR(__xludf.DUMMYFUNCTION("""COMPUTED_VALUE"""),3)</f>
        <v>3</v>
      </c>
      <c r="L1286" s="1">
        <f ca="1">IFERROR(__xludf.DUMMYFUNCTION("""COMPUTED_VALUE"""),0.95)</f>
        <v>0.95</v>
      </c>
      <c r="T1286" s="1">
        <f ca="1">IFERROR(__xludf.DUMMYFUNCTION("""COMPUTED_VALUE"""),489560)</f>
        <v>489560</v>
      </c>
      <c r="U1286" s="1">
        <f ca="1">IFERROR(__xludf.DUMMYFUNCTION("""COMPUTED_VALUE"""),2.84999999999999)</f>
        <v>2.8499999999999899</v>
      </c>
    </row>
    <row r="1287" spans="1:21" ht="12.75" x14ac:dyDescent="0.2">
      <c r="A1287" s="3">
        <f ca="1">IFERROR(__xludf.DUMMYFUNCTION("""COMPUTED_VALUE"""),40148.5388888888)</f>
        <v>40148.538888888797</v>
      </c>
      <c r="B1287" s="1">
        <f ca="1">IFERROR(__xludf.DUMMYFUNCTION("""COMPUTED_VALUE"""),2.1)</f>
        <v>2.1</v>
      </c>
      <c r="E1287" s="1" t="str">
        <f ca="1">IFERROR(__xludf.DUMMYFUNCTION("""COMPUTED_VALUE"""),"BLUE PATCH PENCIL CASE PINK HEART")</f>
        <v>BLUE PATCH PENCIL CASE PINK HEART</v>
      </c>
      <c r="F1287" s="1">
        <f ca="1">IFERROR(__xludf.DUMMYFUNCTION("""COMPUTED_VALUE"""),1)</f>
        <v>1</v>
      </c>
      <c r="G1287" s="1">
        <f ca="1">IFERROR(__xludf.DUMMYFUNCTION("""COMPUTED_VALUE"""),4.3)</f>
        <v>4.3</v>
      </c>
      <c r="J1287" s="1" t="str">
        <f ca="1">IFERROR(__xludf.DUMMYFUNCTION("""COMPUTED_VALUE"""),"SET/12 FUNKY FELT FLOWER PEG IN BAG")</f>
        <v>SET/12 FUNKY FELT FLOWER PEG IN BAG</v>
      </c>
      <c r="K1287" s="1">
        <f ca="1">IFERROR(__xludf.DUMMYFUNCTION("""COMPUTED_VALUE"""),1)</f>
        <v>1</v>
      </c>
      <c r="L1287" s="1">
        <f ca="1">IFERROR(__xludf.DUMMYFUNCTION("""COMPUTED_VALUE"""),2.1)</f>
        <v>2.1</v>
      </c>
      <c r="T1287" s="1">
        <f ca="1">IFERROR(__xludf.DUMMYFUNCTION("""COMPUTED_VALUE"""),489560)</f>
        <v>489560</v>
      </c>
      <c r="U1287" s="1">
        <f ca="1">IFERROR(__xludf.DUMMYFUNCTION("""COMPUTED_VALUE"""),2.1)</f>
        <v>2.1</v>
      </c>
    </row>
    <row r="1288" spans="1:21" ht="12.75" x14ac:dyDescent="0.2">
      <c r="A1288" s="3">
        <f ca="1">IFERROR(__xludf.DUMMYFUNCTION("""COMPUTED_VALUE"""),40148.5388888888)</f>
        <v>40148.538888888797</v>
      </c>
      <c r="B1288" s="1">
        <f ca="1">IFERROR(__xludf.DUMMYFUNCTION("""COMPUTED_VALUE"""),3.75)</f>
        <v>3.75</v>
      </c>
      <c r="E1288" s="1" t="str">
        <f ca="1">IFERROR(__xludf.DUMMYFUNCTION("""COMPUTED_VALUE"""),"BOX OF 9 PEBBLE CANDLES")</f>
        <v>BOX OF 9 PEBBLE CANDLES</v>
      </c>
      <c r="F1288" s="1">
        <f ca="1">IFERROR(__xludf.DUMMYFUNCTION("""COMPUTED_VALUE"""),1)</f>
        <v>1</v>
      </c>
      <c r="G1288" s="1">
        <f ca="1">IFERROR(__xludf.DUMMYFUNCTION("""COMPUTED_VALUE"""),4.3)</f>
        <v>4.3</v>
      </c>
      <c r="J1288" s="1" t="str">
        <f ca="1">IFERROR(__xludf.DUMMYFUNCTION("""COMPUTED_VALUE"""),"ELEPHANT TOY WITH BLUE T-SHIRT")</f>
        <v>ELEPHANT TOY WITH BLUE T-SHIRT</v>
      </c>
      <c r="K1288" s="1">
        <f ca="1">IFERROR(__xludf.DUMMYFUNCTION("""COMPUTED_VALUE"""),1)</f>
        <v>1</v>
      </c>
      <c r="L1288" s="1">
        <f ca="1">IFERROR(__xludf.DUMMYFUNCTION("""COMPUTED_VALUE"""),3.75)</f>
        <v>3.75</v>
      </c>
      <c r="T1288" s="1">
        <f ca="1">IFERROR(__xludf.DUMMYFUNCTION("""COMPUTED_VALUE"""),489560)</f>
        <v>489560</v>
      </c>
      <c r="U1288" s="1">
        <f ca="1">IFERROR(__xludf.DUMMYFUNCTION("""COMPUTED_VALUE"""),3.75)</f>
        <v>3.75</v>
      </c>
    </row>
    <row r="1289" spans="1:21" ht="12.75" x14ac:dyDescent="0.2">
      <c r="A1289" s="3">
        <f ca="1">IFERROR(__xludf.DUMMYFUNCTION("""COMPUTED_VALUE"""),40148.5388888888)</f>
        <v>40148.538888888797</v>
      </c>
      <c r="B1289" s="1">
        <f ca="1">IFERROR(__xludf.DUMMYFUNCTION("""COMPUTED_VALUE"""),3.75)</f>
        <v>3.75</v>
      </c>
      <c r="E1289" s="1" t="str">
        <f ca="1">IFERROR(__xludf.DUMMYFUNCTION("""COMPUTED_VALUE"""),"PINK CREAM FELT CRAFT TRINKET BOX")</f>
        <v>PINK CREAM FELT CRAFT TRINKET BOX</v>
      </c>
      <c r="F1289" s="1">
        <f ca="1">IFERROR(__xludf.DUMMYFUNCTION("""COMPUTED_VALUE"""),1)</f>
        <v>1</v>
      </c>
      <c r="G1289" s="1">
        <f ca="1">IFERROR(__xludf.DUMMYFUNCTION("""COMPUTED_VALUE"""),2.57)</f>
        <v>2.57</v>
      </c>
      <c r="J1289" s="1" t="str">
        <f ca="1">IFERROR(__xludf.DUMMYFUNCTION("""COMPUTED_VALUE"""),"BLACK FACE LAMB WITH PANTS")</f>
        <v>BLACK FACE LAMB WITH PANTS</v>
      </c>
      <c r="K1289" s="1">
        <f ca="1">IFERROR(__xludf.DUMMYFUNCTION("""COMPUTED_VALUE"""),1)</f>
        <v>1</v>
      </c>
      <c r="L1289" s="1">
        <f ca="1">IFERROR(__xludf.DUMMYFUNCTION("""COMPUTED_VALUE"""),3.75)</f>
        <v>3.75</v>
      </c>
      <c r="T1289" s="1">
        <f ca="1">IFERROR(__xludf.DUMMYFUNCTION("""COMPUTED_VALUE"""),489560)</f>
        <v>489560</v>
      </c>
      <c r="U1289" s="1">
        <f ca="1">IFERROR(__xludf.DUMMYFUNCTION("""COMPUTED_VALUE"""),3.75)</f>
        <v>3.75</v>
      </c>
    </row>
    <row r="1290" spans="1:21" ht="12.75" x14ac:dyDescent="0.2">
      <c r="A1290" s="3">
        <f ca="1">IFERROR(__xludf.DUMMYFUNCTION("""COMPUTED_VALUE"""),40148.5388888888)</f>
        <v>40148.538888888797</v>
      </c>
      <c r="B1290" s="1">
        <f ca="1">IFERROR(__xludf.DUMMYFUNCTION("""COMPUTED_VALUE"""),0.95)</f>
        <v>0.95</v>
      </c>
      <c r="E1290" s="1" t="str">
        <f ca="1">IFERROR(__xludf.DUMMYFUNCTION("""COMPUTED_VALUE"""),"12 PENCILS SMALL TUBE SKULL")</f>
        <v>12 PENCILS SMALL TUBE SKULL</v>
      </c>
      <c r="F1290" s="1">
        <f ca="1">IFERROR(__xludf.DUMMYFUNCTION("""COMPUTED_VALUE"""),1)</f>
        <v>1</v>
      </c>
      <c r="G1290" s="1">
        <f ca="1">IFERROR(__xludf.DUMMYFUNCTION("""COMPUTED_VALUE"""),1.3)</f>
        <v>1.3</v>
      </c>
      <c r="J1290" s="1" t="str">
        <f ca="1">IFERROR(__xludf.DUMMYFUNCTION("""COMPUTED_VALUE"""),"REX CASH+CARRY JUMBO SHOPPER")</f>
        <v>REX CASH+CARRY JUMBO SHOPPER</v>
      </c>
      <c r="K1290" s="1">
        <f ca="1">IFERROR(__xludf.DUMMYFUNCTION("""COMPUTED_VALUE"""),1)</f>
        <v>1</v>
      </c>
      <c r="L1290" s="1">
        <f ca="1">IFERROR(__xludf.DUMMYFUNCTION("""COMPUTED_VALUE"""),0.95)</f>
        <v>0.95</v>
      </c>
      <c r="T1290" s="1">
        <f ca="1">IFERROR(__xludf.DUMMYFUNCTION("""COMPUTED_VALUE"""),489560)</f>
        <v>489560</v>
      </c>
      <c r="U1290" s="1">
        <f ca="1">IFERROR(__xludf.DUMMYFUNCTION("""COMPUTED_VALUE"""),0.95)</f>
        <v>0.95</v>
      </c>
    </row>
    <row r="1291" spans="1:21" ht="12.75" x14ac:dyDescent="0.2">
      <c r="A1291" s="3">
        <f ca="1">IFERROR(__xludf.DUMMYFUNCTION("""COMPUTED_VALUE"""),40148.5395833333)</f>
        <v>40148.539583333302</v>
      </c>
      <c r="B1291" s="1">
        <f ca="1">IFERROR(__xludf.DUMMYFUNCTION("""COMPUTED_VALUE"""),0.42)</f>
        <v>0.42</v>
      </c>
      <c r="E1291" s="1" t="str">
        <f ca="1">IFERROR(__xludf.DUMMYFUNCTION("""COMPUTED_VALUE"""),"12 PENCILS SMALL TUBE RED SPOTTY")</f>
        <v>12 PENCILS SMALL TUBE RED SPOTTY</v>
      </c>
      <c r="F1291" s="1">
        <f ca="1">IFERROR(__xludf.DUMMYFUNCTION("""COMPUTED_VALUE"""),1)</f>
        <v>1</v>
      </c>
      <c r="G1291" s="1">
        <f ca="1">IFERROR(__xludf.DUMMYFUNCTION("""COMPUTED_VALUE"""),1.3)</f>
        <v>1.3</v>
      </c>
      <c r="J1291" s="1" t="str">
        <f ca="1">IFERROR(__xludf.DUMMYFUNCTION("""COMPUTED_VALUE"""),"ANGEL DECORATION STARS ON DRESS")</f>
        <v>ANGEL DECORATION STARS ON DRESS</v>
      </c>
      <c r="K1291" s="1">
        <f ca="1">IFERROR(__xludf.DUMMYFUNCTION("""COMPUTED_VALUE"""),48)</f>
        <v>48</v>
      </c>
      <c r="L1291" s="1">
        <f ca="1">IFERROR(__xludf.DUMMYFUNCTION("""COMPUTED_VALUE"""),0.42)</f>
        <v>0.42</v>
      </c>
      <c r="T1291" s="1">
        <f ca="1">IFERROR(__xludf.DUMMYFUNCTION("""COMPUTED_VALUE"""),489561)</f>
        <v>489561</v>
      </c>
      <c r="U1291" s="1">
        <f ca="1">IFERROR(__xludf.DUMMYFUNCTION("""COMPUTED_VALUE"""),20.16)</f>
        <v>20.16</v>
      </c>
    </row>
    <row r="1292" spans="1:21" ht="12.75" x14ac:dyDescent="0.2">
      <c r="A1292" s="3">
        <f ca="1">IFERROR(__xludf.DUMMYFUNCTION("""COMPUTED_VALUE"""),40148.5395833333)</f>
        <v>40148.539583333302</v>
      </c>
      <c r="B1292" s="1">
        <f ca="1">IFERROR(__xludf.DUMMYFUNCTION("""COMPUTED_VALUE"""),0.21)</f>
        <v>0.21</v>
      </c>
      <c r="E1292" s="1" t="str">
        <f ca="1">IFERROR(__xludf.DUMMYFUNCTION("""COMPUTED_VALUE"""),"36 PENCILS TUBE SKULLS")</f>
        <v>36 PENCILS TUBE SKULLS</v>
      </c>
      <c r="F1292" s="1">
        <f ca="1">IFERROR(__xludf.DUMMYFUNCTION("""COMPUTED_VALUE"""),1)</f>
        <v>1</v>
      </c>
      <c r="G1292" s="1">
        <f ca="1">IFERROR(__xludf.DUMMYFUNCTION("""COMPUTED_VALUE"""),2.57)</f>
        <v>2.57</v>
      </c>
      <c r="J1292" s="1" t="str">
        <f ca="1">IFERROR(__xludf.DUMMYFUNCTION("""COMPUTED_VALUE"""),"WORLD WAR 2 GLIDERS ASSTD DESIGNS")</f>
        <v>WORLD WAR 2 GLIDERS ASSTD DESIGNS</v>
      </c>
      <c r="K1292" s="1">
        <f ca="1">IFERROR(__xludf.DUMMYFUNCTION("""COMPUTED_VALUE"""),48)</f>
        <v>48</v>
      </c>
      <c r="L1292" s="1">
        <f ca="1">IFERROR(__xludf.DUMMYFUNCTION("""COMPUTED_VALUE"""),0.21)</f>
        <v>0.21</v>
      </c>
      <c r="T1292" s="1">
        <f ca="1">IFERROR(__xludf.DUMMYFUNCTION("""COMPUTED_VALUE"""),489561)</f>
        <v>489561</v>
      </c>
      <c r="U1292" s="1">
        <f ca="1">IFERROR(__xludf.DUMMYFUNCTION("""COMPUTED_VALUE"""),10.08)</f>
        <v>10.08</v>
      </c>
    </row>
    <row r="1293" spans="1:21" ht="12.75" x14ac:dyDescent="0.2">
      <c r="A1293" s="3">
        <f ca="1">IFERROR(__xludf.DUMMYFUNCTION("""COMPUTED_VALUE"""),40148.5395833333)</f>
        <v>40148.539583333302</v>
      </c>
      <c r="B1293" s="1">
        <f ca="1">IFERROR(__xludf.DUMMYFUNCTION("""COMPUTED_VALUE"""),0.42)</f>
        <v>0.42</v>
      </c>
      <c r="E1293" s="1" t="str">
        <f ca="1">IFERROR(__xludf.DUMMYFUNCTION("""COMPUTED_VALUE"""),"36 PENCILS TUBE POSY")</f>
        <v>36 PENCILS TUBE POSY</v>
      </c>
      <c r="F1293" s="1">
        <f ca="1">IFERROR(__xludf.DUMMYFUNCTION("""COMPUTED_VALUE"""),1)</f>
        <v>1</v>
      </c>
      <c r="G1293" s="1">
        <f ca="1">IFERROR(__xludf.DUMMYFUNCTION("""COMPUTED_VALUE"""),2.57)</f>
        <v>2.57</v>
      </c>
      <c r="J1293" s="1" t="str">
        <f ca="1">IFERROR(__xludf.DUMMYFUNCTION("""COMPUTED_VALUE"""),"WRAP WINTER FOREST")</f>
        <v>WRAP WINTER FOREST</v>
      </c>
      <c r="K1293" s="1">
        <f ca="1">IFERROR(__xludf.DUMMYFUNCTION("""COMPUTED_VALUE"""),25)</f>
        <v>25</v>
      </c>
      <c r="L1293" s="1">
        <f ca="1">IFERROR(__xludf.DUMMYFUNCTION("""COMPUTED_VALUE"""),0.42)</f>
        <v>0.42</v>
      </c>
      <c r="T1293" s="1">
        <f ca="1">IFERROR(__xludf.DUMMYFUNCTION("""COMPUTED_VALUE"""),489561)</f>
        <v>489561</v>
      </c>
      <c r="U1293" s="1">
        <f ca="1">IFERROR(__xludf.DUMMYFUNCTION("""COMPUTED_VALUE"""),10.5)</f>
        <v>10.5</v>
      </c>
    </row>
    <row r="1294" spans="1:21" ht="12.75" x14ac:dyDescent="0.2">
      <c r="A1294" s="3">
        <f ca="1">IFERROR(__xludf.DUMMYFUNCTION("""COMPUTED_VALUE"""),40148.5395833333)</f>
        <v>40148.539583333302</v>
      </c>
      <c r="B1294" s="1">
        <f ca="1">IFERROR(__xludf.DUMMYFUNCTION("""COMPUTED_VALUE"""),1.25)</f>
        <v>1.25</v>
      </c>
      <c r="E1294" s="1" t="str">
        <f ca="1">IFERROR(__xludf.DUMMYFUNCTION("""COMPUTED_VALUE"""),"12 PENCILS TALL TUBE RED SPOTTY")</f>
        <v>12 PENCILS TALL TUBE RED SPOTTY</v>
      </c>
      <c r="F1294" s="1">
        <f ca="1">IFERROR(__xludf.DUMMYFUNCTION("""COMPUTED_VALUE"""),1)</f>
        <v>1</v>
      </c>
      <c r="G1294" s="1">
        <f ca="1">IFERROR(__xludf.DUMMYFUNCTION("""COMPUTED_VALUE"""),1.7)</f>
        <v>1.7</v>
      </c>
      <c r="J1294" s="1" t="str">
        <f ca="1">IFERROR(__xludf.DUMMYFUNCTION("""COMPUTED_VALUE"""),"36 PENCILS TUBE RED SPOTTY")</f>
        <v>36 PENCILS TUBE RED SPOTTY</v>
      </c>
      <c r="K1294" s="1">
        <f ca="1">IFERROR(__xludf.DUMMYFUNCTION("""COMPUTED_VALUE"""),16)</f>
        <v>16</v>
      </c>
      <c r="L1294" s="1">
        <f ca="1">IFERROR(__xludf.DUMMYFUNCTION("""COMPUTED_VALUE"""),1.25)</f>
        <v>1.25</v>
      </c>
      <c r="T1294" s="1">
        <f ca="1">IFERROR(__xludf.DUMMYFUNCTION("""COMPUTED_VALUE"""),489561)</f>
        <v>489561</v>
      </c>
      <c r="U1294" s="1">
        <f ca="1">IFERROR(__xludf.DUMMYFUNCTION("""COMPUTED_VALUE"""),20)</f>
        <v>20</v>
      </c>
    </row>
    <row r="1295" spans="1:21" ht="12.75" x14ac:dyDescent="0.2">
      <c r="A1295" s="3">
        <f ca="1">IFERROR(__xludf.DUMMYFUNCTION("""COMPUTED_VALUE"""),40148.5395833333)</f>
        <v>40148.539583333302</v>
      </c>
      <c r="B1295" s="1">
        <f ca="1">IFERROR(__xludf.DUMMYFUNCTION("""COMPUTED_VALUE"""),1.25)</f>
        <v>1.25</v>
      </c>
      <c r="E1295" s="1" t="str">
        <f ca="1">IFERROR(__xludf.DUMMYFUNCTION("""COMPUTED_VALUE"""),"12 PENCILS TALL TUBE POSY")</f>
        <v>12 PENCILS TALL TUBE POSY</v>
      </c>
      <c r="F1295" s="1">
        <f ca="1">IFERROR(__xludf.DUMMYFUNCTION("""COMPUTED_VALUE"""),1)</f>
        <v>1</v>
      </c>
      <c r="G1295" s="1">
        <f ca="1">IFERROR(__xludf.DUMMYFUNCTION("""COMPUTED_VALUE"""),1.7)</f>
        <v>1.7</v>
      </c>
      <c r="J1295" s="1" t="str">
        <f ca="1">IFERROR(__xludf.DUMMYFUNCTION("""COMPUTED_VALUE"""),"36 PENCILS TUBE SKULLS")</f>
        <v>36 PENCILS TUBE SKULLS</v>
      </c>
      <c r="K1295" s="1">
        <f ca="1">IFERROR(__xludf.DUMMYFUNCTION("""COMPUTED_VALUE"""),16)</f>
        <v>16</v>
      </c>
      <c r="L1295" s="1">
        <f ca="1">IFERROR(__xludf.DUMMYFUNCTION("""COMPUTED_VALUE"""),1.25)</f>
        <v>1.25</v>
      </c>
      <c r="T1295" s="1">
        <f ca="1">IFERROR(__xludf.DUMMYFUNCTION("""COMPUTED_VALUE"""),489561)</f>
        <v>489561</v>
      </c>
      <c r="U1295" s="1">
        <f ca="1">IFERROR(__xludf.DUMMYFUNCTION("""COMPUTED_VALUE"""),20)</f>
        <v>20</v>
      </c>
    </row>
    <row r="1296" spans="1:21" ht="12.75" x14ac:dyDescent="0.2">
      <c r="A1296" s="3">
        <f ca="1">IFERROR(__xludf.DUMMYFUNCTION("""COMPUTED_VALUE"""),40148.5395833333)</f>
        <v>40148.539583333302</v>
      </c>
      <c r="B1296" s="1">
        <f ca="1">IFERROR(__xludf.DUMMYFUNCTION("""COMPUTED_VALUE"""),0.42)</f>
        <v>0.42</v>
      </c>
      <c r="E1296" s="1" t="str">
        <f ca="1">IFERROR(__xludf.DUMMYFUNCTION("""COMPUTED_VALUE"""),"GEISHA GIRL CHOPSTICKS SET/5")</f>
        <v>GEISHA GIRL CHOPSTICKS SET/5</v>
      </c>
      <c r="F1296" s="1">
        <f ca="1">IFERROR(__xludf.DUMMYFUNCTION("""COMPUTED_VALUE"""),1)</f>
        <v>1</v>
      </c>
      <c r="G1296" s="1">
        <f ca="1">IFERROR(__xludf.DUMMYFUNCTION("""COMPUTED_VALUE"""),4.3)</f>
        <v>4.3</v>
      </c>
      <c r="J1296" s="1" t="str">
        <f ca="1">IFERROR(__xludf.DUMMYFUNCTION("""COMPUTED_VALUE"""),"JAPANESE CROCHETED ANIMAL")</f>
        <v>JAPANESE CROCHETED ANIMAL</v>
      </c>
      <c r="K1296" s="1">
        <f ca="1">IFERROR(__xludf.DUMMYFUNCTION("""COMPUTED_VALUE"""),12)</f>
        <v>12</v>
      </c>
      <c r="L1296" s="1">
        <f ca="1">IFERROR(__xludf.DUMMYFUNCTION("""COMPUTED_VALUE"""),0.42)</f>
        <v>0.42</v>
      </c>
      <c r="T1296" s="1">
        <f ca="1">IFERROR(__xludf.DUMMYFUNCTION("""COMPUTED_VALUE"""),489561)</f>
        <v>489561</v>
      </c>
      <c r="U1296" s="1">
        <f ca="1">IFERROR(__xludf.DUMMYFUNCTION("""COMPUTED_VALUE"""),5.04)</f>
        <v>5.04</v>
      </c>
    </row>
    <row r="1297" spans="1:21" ht="12.75" x14ac:dyDescent="0.2">
      <c r="A1297" s="3">
        <f ca="1">IFERROR(__xludf.DUMMYFUNCTION("""COMPUTED_VALUE"""),40148.5395833333)</f>
        <v>40148.539583333302</v>
      </c>
      <c r="B1297" s="1">
        <f ca="1">IFERROR(__xludf.DUMMYFUNCTION("""COMPUTED_VALUE"""),3.45)</f>
        <v>3.45</v>
      </c>
      <c r="E1297" s="1" t="str">
        <f ca="1">IFERROR(__xludf.DUMMYFUNCTION("""COMPUTED_VALUE"""),"JAZZ HEARTS MAGNETIC MEMO PAD")</f>
        <v>JAZZ HEARTS MAGNETIC MEMO PAD</v>
      </c>
      <c r="F1297" s="1">
        <f ca="1">IFERROR(__xludf.DUMMYFUNCTION("""COMPUTED_VALUE"""),1)</f>
        <v>1</v>
      </c>
      <c r="G1297" s="1">
        <f ca="1">IFERROR(__xludf.DUMMYFUNCTION("""COMPUTED_VALUE"""),1.3)</f>
        <v>1.3</v>
      </c>
      <c r="J1297" s="1" t="str">
        <f ca="1">IFERROR(__xludf.DUMMYFUNCTION("""COMPUTED_VALUE"""),"GREY HEART HOT WATER BOTTLE")</f>
        <v>GREY HEART HOT WATER BOTTLE</v>
      </c>
      <c r="K1297" s="1">
        <f ca="1">IFERROR(__xludf.DUMMYFUNCTION("""COMPUTED_VALUE"""),8)</f>
        <v>8</v>
      </c>
      <c r="L1297" s="1">
        <f ca="1">IFERROR(__xludf.DUMMYFUNCTION("""COMPUTED_VALUE"""),3.45)</f>
        <v>3.45</v>
      </c>
      <c r="T1297" s="1">
        <f ca="1">IFERROR(__xludf.DUMMYFUNCTION("""COMPUTED_VALUE"""),489561)</f>
        <v>489561</v>
      </c>
      <c r="U1297" s="1">
        <f ca="1">IFERROR(__xludf.DUMMYFUNCTION("""COMPUTED_VALUE"""),27.6)</f>
        <v>27.6</v>
      </c>
    </row>
    <row r="1298" spans="1:21" ht="12.75" x14ac:dyDescent="0.2">
      <c r="A1298" s="3">
        <f ca="1">IFERROR(__xludf.DUMMYFUNCTION("""COMPUTED_VALUE"""),40148.5395833333)</f>
        <v>40148.539583333302</v>
      </c>
      <c r="B1298" s="1">
        <f ca="1">IFERROR(__xludf.DUMMYFUNCTION("""COMPUTED_VALUE"""),3.75)</f>
        <v>3.75</v>
      </c>
      <c r="E1298" s="1" t="str">
        <f ca="1">IFERROR(__xludf.DUMMYFUNCTION("""COMPUTED_VALUE"""),"ANTIQUE ALL GLASS CANDLESTICK")</f>
        <v>ANTIQUE ALL GLASS CANDLESTICK</v>
      </c>
      <c r="F1298" s="1">
        <f ca="1">IFERROR(__xludf.DUMMYFUNCTION("""COMPUTED_VALUE"""),1)</f>
        <v>1</v>
      </c>
      <c r="G1298" s="1">
        <f ca="1">IFERROR(__xludf.DUMMYFUNCTION("""COMPUTED_VALUE"""),4.3)</f>
        <v>4.3</v>
      </c>
      <c r="J1298" s="1" t="str">
        <f ca="1">IFERROR(__xludf.DUMMYFUNCTION("""COMPUTED_VALUE"""),"BROWN FURRY HOT WATER BOTTLE")</f>
        <v>BROWN FURRY HOT WATER BOTTLE</v>
      </c>
      <c r="K1298" s="1">
        <f ca="1">IFERROR(__xludf.DUMMYFUNCTION("""COMPUTED_VALUE"""),7)</f>
        <v>7</v>
      </c>
      <c r="L1298" s="1">
        <f ca="1">IFERROR(__xludf.DUMMYFUNCTION("""COMPUTED_VALUE"""),3.75)</f>
        <v>3.75</v>
      </c>
      <c r="T1298" s="1">
        <f ca="1">IFERROR(__xludf.DUMMYFUNCTION("""COMPUTED_VALUE"""),489561)</f>
        <v>489561</v>
      </c>
      <c r="U1298" s="1">
        <f ca="1">IFERROR(__xludf.DUMMYFUNCTION("""COMPUTED_VALUE"""),26.25)</f>
        <v>26.25</v>
      </c>
    </row>
    <row r="1299" spans="1:21" ht="12.75" x14ac:dyDescent="0.2">
      <c r="A1299" s="3">
        <f ca="1">IFERROR(__xludf.DUMMYFUNCTION("""COMPUTED_VALUE"""),40148.5395833333)</f>
        <v>40148.539583333302</v>
      </c>
      <c r="B1299" s="1">
        <f ca="1">IFERROR(__xludf.DUMMYFUNCTION("""COMPUTED_VALUE"""),0.42)</f>
        <v>0.42</v>
      </c>
      <c r="E1299" s="1" t="str">
        <f ca="1">IFERROR(__xludf.DUMMYFUNCTION("""COMPUTED_VALUE"""),"SPACE FROG")</f>
        <v>SPACE FROG</v>
      </c>
      <c r="F1299" s="1">
        <f ca="1">IFERROR(__xludf.DUMMYFUNCTION("""COMPUTED_VALUE"""),1)</f>
        <v>1</v>
      </c>
      <c r="G1299" s="1">
        <f ca="1">IFERROR(__xludf.DUMMYFUNCTION("""COMPUTED_VALUE"""),2.57)</f>
        <v>2.57</v>
      </c>
      <c r="J1299" s="1" t="str">
        <f ca="1">IFERROR(__xludf.DUMMYFUNCTION("""COMPUTED_VALUE"""),"WHITE CHRISTMAS TREE DECORATION")</f>
        <v>WHITE CHRISTMAS TREE DECORATION</v>
      </c>
      <c r="K1299" s="1">
        <f ca="1">IFERROR(__xludf.DUMMYFUNCTION("""COMPUTED_VALUE"""),6)</f>
        <v>6</v>
      </c>
      <c r="L1299" s="1">
        <f ca="1">IFERROR(__xludf.DUMMYFUNCTION("""COMPUTED_VALUE"""),0.42)</f>
        <v>0.42</v>
      </c>
      <c r="T1299" s="1">
        <f ca="1">IFERROR(__xludf.DUMMYFUNCTION("""COMPUTED_VALUE"""),489561)</f>
        <v>489561</v>
      </c>
      <c r="U1299" s="1">
        <f ca="1">IFERROR(__xludf.DUMMYFUNCTION("""COMPUTED_VALUE"""),2.52)</f>
        <v>2.52</v>
      </c>
    </row>
    <row r="1300" spans="1:21" ht="12.75" x14ac:dyDescent="0.2">
      <c r="A1300" s="3">
        <f ca="1">IFERROR(__xludf.DUMMYFUNCTION("""COMPUTED_VALUE"""),40148.5395833333)</f>
        <v>40148.539583333302</v>
      </c>
      <c r="B1300" s="1">
        <f ca="1">IFERROR(__xludf.DUMMYFUNCTION("""COMPUTED_VALUE"""),0.42)</f>
        <v>0.42</v>
      </c>
      <c r="E1300" s="1" t="str">
        <f ca="1">IFERROR(__xludf.DUMMYFUNCTION("""COMPUTED_VALUE"""),"VINTAGE BILLBOARD TEA MUG")</f>
        <v>VINTAGE BILLBOARD TEA MUG</v>
      </c>
      <c r="F1300" s="1">
        <f ca="1">IFERROR(__xludf.DUMMYFUNCTION("""COMPUTED_VALUE"""),1)</f>
        <v>1</v>
      </c>
      <c r="G1300" s="1">
        <f ca="1">IFERROR(__xludf.DUMMYFUNCTION("""COMPUTED_VALUE"""),2.57)</f>
        <v>2.57</v>
      </c>
      <c r="J1300" s="1" t="str">
        <f ca="1">IFERROR(__xludf.DUMMYFUNCTION("""COMPUTED_VALUE"""),"WHITE CHRISTMAS STAR DECORATION")</f>
        <v>WHITE CHRISTMAS STAR DECORATION</v>
      </c>
      <c r="K1300" s="1">
        <f ca="1">IFERROR(__xludf.DUMMYFUNCTION("""COMPUTED_VALUE"""),6)</f>
        <v>6</v>
      </c>
      <c r="L1300" s="1">
        <f ca="1">IFERROR(__xludf.DUMMYFUNCTION("""COMPUTED_VALUE"""),0.42)</f>
        <v>0.42</v>
      </c>
      <c r="T1300" s="1">
        <f ca="1">IFERROR(__xludf.DUMMYFUNCTION("""COMPUTED_VALUE"""),489561)</f>
        <v>489561</v>
      </c>
      <c r="U1300" s="1">
        <f ca="1">IFERROR(__xludf.DUMMYFUNCTION("""COMPUTED_VALUE"""),2.52)</f>
        <v>2.52</v>
      </c>
    </row>
    <row r="1301" spans="1:21" ht="12.75" x14ac:dyDescent="0.2">
      <c r="A1301" s="3">
        <f ca="1">IFERROR(__xludf.DUMMYFUNCTION("""COMPUTED_VALUE"""),40148.5395833333)</f>
        <v>40148.539583333302</v>
      </c>
      <c r="B1301" s="1">
        <f ca="1">IFERROR(__xludf.DUMMYFUNCTION("""COMPUTED_VALUE"""),0.42)</f>
        <v>0.42</v>
      </c>
      <c r="E1301" s="1" t="str">
        <f ca="1">IFERROR(__xludf.DUMMYFUNCTION("""COMPUTED_VALUE"""),"SET/10 PINK SPOTTY PARTY CANDLES")</f>
        <v>SET/10 PINK SPOTTY PARTY CANDLES</v>
      </c>
      <c r="F1301" s="1">
        <f ca="1">IFERROR(__xludf.DUMMYFUNCTION("""COMPUTED_VALUE"""),1)</f>
        <v>1</v>
      </c>
      <c r="G1301" s="1">
        <f ca="1">IFERROR(__xludf.DUMMYFUNCTION("""COMPUTED_VALUE"""),2.57)</f>
        <v>2.57</v>
      </c>
      <c r="J1301" s="1" t="str">
        <f ca="1">IFERROR(__xludf.DUMMYFUNCTION("""COMPUTED_VALUE"""),"WHITE CHRISTMAS HEART DECORATION")</f>
        <v>WHITE CHRISTMAS HEART DECORATION</v>
      </c>
      <c r="K1301" s="1">
        <f ca="1">IFERROR(__xludf.DUMMYFUNCTION("""COMPUTED_VALUE"""),6)</f>
        <v>6</v>
      </c>
      <c r="L1301" s="1">
        <f ca="1">IFERROR(__xludf.DUMMYFUNCTION("""COMPUTED_VALUE"""),0.42)</f>
        <v>0.42</v>
      </c>
      <c r="T1301" s="1">
        <f ca="1">IFERROR(__xludf.DUMMYFUNCTION("""COMPUTED_VALUE"""),489561)</f>
        <v>489561</v>
      </c>
      <c r="U1301" s="1">
        <f ca="1">IFERROR(__xludf.DUMMYFUNCTION("""COMPUTED_VALUE"""),2.52)</f>
        <v>2.52</v>
      </c>
    </row>
    <row r="1302" spans="1:21" ht="12.75" x14ac:dyDescent="0.2">
      <c r="A1302" s="3">
        <f ca="1">IFERROR(__xludf.DUMMYFUNCTION("""COMPUTED_VALUE"""),40148.5395833333)</f>
        <v>40148.539583333302</v>
      </c>
      <c r="B1302" s="1">
        <f ca="1">IFERROR(__xludf.DUMMYFUNCTION("""COMPUTED_VALUE"""),1.25)</f>
        <v>1.25</v>
      </c>
      <c r="E1302" s="1" t="str">
        <f ca="1">IFERROR(__xludf.DUMMYFUNCTION("""COMPUTED_VALUE"""),"SET/10 BLUE SPOTTY PARTY CANDLES")</f>
        <v>SET/10 BLUE SPOTTY PARTY CANDLES</v>
      </c>
      <c r="F1302" s="1">
        <f ca="1">IFERROR(__xludf.DUMMYFUNCTION("""COMPUTED_VALUE"""),1)</f>
        <v>1</v>
      </c>
      <c r="G1302" s="1">
        <f ca="1">IFERROR(__xludf.DUMMYFUNCTION("""COMPUTED_VALUE"""),2.57)</f>
        <v>2.57</v>
      </c>
      <c r="J1302" s="1" t="str">
        <f ca="1">IFERROR(__xludf.DUMMYFUNCTION("""COMPUTED_VALUE"""),"HEART FILIGREE DOVE  SMALL")</f>
        <v>HEART FILIGREE DOVE  SMALL</v>
      </c>
      <c r="K1302" s="1">
        <f ca="1">IFERROR(__xludf.DUMMYFUNCTION("""COMPUTED_VALUE"""),6)</f>
        <v>6</v>
      </c>
      <c r="L1302" s="1">
        <f ca="1">IFERROR(__xludf.DUMMYFUNCTION("""COMPUTED_VALUE"""),1.25)</f>
        <v>1.25</v>
      </c>
      <c r="T1302" s="1">
        <f ca="1">IFERROR(__xludf.DUMMYFUNCTION("""COMPUTED_VALUE"""),489561)</f>
        <v>489561</v>
      </c>
      <c r="U1302" s="1">
        <f ca="1">IFERROR(__xludf.DUMMYFUNCTION("""COMPUTED_VALUE"""),7.5)</f>
        <v>7.5</v>
      </c>
    </row>
    <row r="1303" spans="1:21" ht="12.75" x14ac:dyDescent="0.2">
      <c r="A1303" s="3">
        <f ca="1">IFERROR(__xludf.DUMMYFUNCTION("""COMPUTED_VALUE"""),40148.5395833333)</f>
        <v>40148.539583333302</v>
      </c>
      <c r="B1303" s="1">
        <f ca="1">IFERROR(__xludf.DUMMYFUNCTION("""COMPUTED_VALUE"""),1.45)</f>
        <v>1.45</v>
      </c>
      <c r="E1303" s="1" t="str">
        <f ca="1">IFERROR(__xludf.DUMMYFUNCTION("""COMPUTED_VALUE"""),"ANTIQUE GLASS HEART DECORATION")</f>
        <v>ANTIQUE GLASS HEART DECORATION</v>
      </c>
      <c r="F1303" s="1">
        <f ca="1">IFERROR(__xludf.DUMMYFUNCTION("""COMPUTED_VALUE"""),1)</f>
        <v>1</v>
      </c>
      <c r="G1303" s="1">
        <f ca="1">IFERROR(__xludf.DUMMYFUNCTION("""COMPUTED_VALUE"""),4.3)</f>
        <v>4.3</v>
      </c>
      <c r="J1303" s="1" t="str">
        <f ca="1">IFERROR(__xludf.DUMMYFUNCTION("""COMPUTED_VALUE"""),"STAR  T-LIGHT HOLDER")</f>
        <v>STAR  T-LIGHT HOLDER</v>
      </c>
      <c r="K1303" s="1">
        <f ca="1">IFERROR(__xludf.DUMMYFUNCTION("""COMPUTED_VALUE"""),6)</f>
        <v>6</v>
      </c>
      <c r="L1303" s="1">
        <f ca="1">IFERROR(__xludf.DUMMYFUNCTION("""COMPUTED_VALUE"""),1.45)</f>
        <v>1.45</v>
      </c>
      <c r="T1303" s="1">
        <f ca="1">IFERROR(__xludf.DUMMYFUNCTION("""COMPUTED_VALUE"""),489561)</f>
        <v>489561</v>
      </c>
      <c r="U1303" s="1">
        <f ca="1">IFERROR(__xludf.DUMMYFUNCTION("""COMPUTED_VALUE"""),8.7)</f>
        <v>8.6999999999999993</v>
      </c>
    </row>
    <row r="1304" spans="1:21" ht="12.75" x14ac:dyDescent="0.2">
      <c r="A1304" s="3">
        <f ca="1">IFERROR(__xludf.DUMMYFUNCTION("""COMPUTED_VALUE"""),40148.5395833333)</f>
        <v>40148.539583333302</v>
      </c>
      <c r="B1304" s="1">
        <f ca="1">IFERROR(__xludf.DUMMYFUNCTION("""COMPUTED_VALUE"""),1.45)</f>
        <v>1.45</v>
      </c>
      <c r="E1304" s="1" t="str">
        <f ca="1">IFERROR(__xludf.DUMMYFUNCTION("""COMPUTED_VALUE"""),"KEEP OUT GIRLS DOOR HANGER")</f>
        <v>KEEP OUT GIRLS DOOR HANGER</v>
      </c>
      <c r="F1304" s="1">
        <f ca="1">IFERROR(__xludf.DUMMYFUNCTION("""COMPUTED_VALUE"""),1)</f>
        <v>1</v>
      </c>
      <c r="G1304" s="1">
        <f ca="1">IFERROR(__xludf.DUMMYFUNCTION("""COMPUTED_VALUE"""),3.43)</f>
        <v>3.43</v>
      </c>
      <c r="J1304" s="1" t="str">
        <f ca="1">IFERROR(__xludf.DUMMYFUNCTION("""COMPUTED_VALUE"""),"CHRISTMAS TREE T-LIGHT HOLDER")</f>
        <v>CHRISTMAS TREE T-LIGHT HOLDER</v>
      </c>
      <c r="K1304" s="1">
        <f ca="1">IFERROR(__xludf.DUMMYFUNCTION("""COMPUTED_VALUE"""),6)</f>
        <v>6</v>
      </c>
      <c r="L1304" s="1">
        <f ca="1">IFERROR(__xludf.DUMMYFUNCTION("""COMPUTED_VALUE"""),1.45)</f>
        <v>1.45</v>
      </c>
      <c r="T1304" s="1">
        <f ca="1">IFERROR(__xludf.DUMMYFUNCTION("""COMPUTED_VALUE"""),489561)</f>
        <v>489561</v>
      </c>
      <c r="U1304" s="1">
        <f ca="1">IFERROR(__xludf.DUMMYFUNCTION("""COMPUTED_VALUE"""),8.7)</f>
        <v>8.6999999999999993</v>
      </c>
    </row>
    <row r="1305" spans="1:21" ht="12.75" x14ac:dyDescent="0.2">
      <c r="A1305" s="3">
        <f ca="1">IFERROR(__xludf.DUMMYFUNCTION("""COMPUTED_VALUE"""),40148.5395833333)</f>
        <v>40148.539583333302</v>
      </c>
      <c r="B1305" s="1">
        <f ca="1">IFERROR(__xludf.DUMMYFUNCTION("""COMPUTED_VALUE"""),0.42)</f>
        <v>0.42</v>
      </c>
      <c r="E1305" s="1" t="str">
        <f ca="1">IFERROR(__xludf.DUMMYFUNCTION("""COMPUTED_VALUE"""),"LOO ROLL  METAL SIGN")</f>
        <v>LOO ROLL  METAL SIGN</v>
      </c>
      <c r="F1305" s="1">
        <f ca="1">IFERROR(__xludf.DUMMYFUNCTION("""COMPUTED_VALUE"""),1)</f>
        <v>1</v>
      </c>
      <c r="G1305" s="1">
        <f ca="1">IFERROR(__xludf.DUMMYFUNCTION("""COMPUTED_VALUE"""),4.3)</f>
        <v>4.3</v>
      </c>
      <c r="J1305" s="1" t="str">
        <f ca="1">IFERROR(__xludf.DUMMYFUNCTION("""COMPUTED_VALUE"""),"PINK BEADED CONE CHRISTMAS")</f>
        <v>PINK BEADED CONE CHRISTMAS</v>
      </c>
      <c r="K1305" s="1">
        <f ca="1">IFERROR(__xludf.DUMMYFUNCTION("""COMPUTED_VALUE"""),6)</f>
        <v>6</v>
      </c>
      <c r="L1305" s="1">
        <f ca="1">IFERROR(__xludf.DUMMYFUNCTION("""COMPUTED_VALUE"""),0.42)</f>
        <v>0.42</v>
      </c>
      <c r="T1305" s="1">
        <f ca="1">IFERROR(__xludf.DUMMYFUNCTION("""COMPUTED_VALUE"""),489561)</f>
        <v>489561</v>
      </c>
      <c r="U1305" s="1">
        <f ca="1">IFERROR(__xludf.DUMMYFUNCTION("""COMPUTED_VALUE"""),2.52)</f>
        <v>2.52</v>
      </c>
    </row>
    <row r="1306" spans="1:21" ht="12.75" x14ac:dyDescent="0.2">
      <c r="A1306" s="3">
        <f ca="1">IFERROR(__xludf.DUMMYFUNCTION("""COMPUTED_VALUE"""),40148.5395833333)</f>
        <v>40148.539583333302</v>
      </c>
      <c r="B1306" s="1">
        <f ca="1">IFERROR(__xludf.DUMMYFUNCTION("""COMPUTED_VALUE"""),1.25)</f>
        <v>1.25</v>
      </c>
      <c r="E1306" s="1" t="str">
        <f ca="1">IFERROR(__xludf.DUMMYFUNCTION("""COMPUTED_VALUE"""),"PLEASE ONE PERSON  METAL SIGN")</f>
        <v>PLEASE ONE PERSON  METAL SIGN</v>
      </c>
      <c r="F1306" s="1">
        <f ca="1">IFERROR(__xludf.DUMMYFUNCTION("""COMPUTED_VALUE"""),1)</f>
        <v>1</v>
      </c>
      <c r="G1306" s="1">
        <f ca="1">IFERROR(__xludf.DUMMYFUNCTION("""COMPUTED_VALUE"""),4.3)</f>
        <v>4.3</v>
      </c>
      <c r="J1306" s="1" t="str">
        <f ca="1">IFERROR(__xludf.DUMMYFUNCTION("""COMPUTED_VALUE"""),"SET/6 GINGERBREAD STAR T-LIGHTS")</f>
        <v>SET/6 GINGERBREAD STAR T-LIGHTS</v>
      </c>
      <c r="K1306" s="1">
        <f ca="1">IFERROR(__xludf.DUMMYFUNCTION("""COMPUTED_VALUE"""),6)</f>
        <v>6</v>
      </c>
      <c r="L1306" s="1">
        <f ca="1">IFERROR(__xludf.DUMMYFUNCTION("""COMPUTED_VALUE"""),1.25)</f>
        <v>1.25</v>
      </c>
      <c r="T1306" s="1">
        <f ca="1">IFERROR(__xludf.DUMMYFUNCTION("""COMPUTED_VALUE"""),489561)</f>
        <v>489561</v>
      </c>
      <c r="U1306" s="1">
        <f ca="1">IFERROR(__xludf.DUMMYFUNCTION("""COMPUTED_VALUE"""),7.5)</f>
        <v>7.5</v>
      </c>
    </row>
    <row r="1307" spans="1:21" ht="12.75" x14ac:dyDescent="0.2">
      <c r="A1307" s="3">
        <f ca="1">IFERROR(__xludf.DUMMYFUNCTION("""COMPUTED_VALUE"""),40148.5395833333)</f>
        <v>40148.539583333302</v>
      </c>
      <c r="B1307" s="1">
        <f ca="1">IFERROR(__xludf.DUMMYFUNCTION("""COMPUTED_VALUE"""),1.25)</f>
        <v>1.25</v>
      </c>
      <c r="E1307" s="1" t="str">
        <f ca="1">IFERROR(__xludf.DUMMYFUNCTION("""COMPUTED_VALUE"""),"WHITE HEART CONFETTI IN TUBE")</f>
        <v>WHITE HEART CONFETTI IN TUBE</v>
      </c>
      <c r="F1307" s="1">
        <f ca="1">IFERROR(__xludf.DUMMYFUNCTION("""COMPUTED_VALUE"""),1)</f>
        <v>1</v>
      </c>
      <c r="G1307" s="1">
        <f ca="1">IFERROR(__xludf.DUMMYFUNCTION("""COMPUTED_VALUE"""),3.43)</f>
        <v>3.43</v>
      </c>
      <c r="J1307" s="1" t="str">
        <f ca="1">IFERROR(__xludf.DUMMYFUNCTION("""COMPUTED_VALUE"""),"SET/3 CHRISTMAS DECOUPAGE CANDLES")</f>
        <v>SET/3 CHRISTMAS DECOUPAGE CANDLES</v>
      </c>
      <c r="K1307" s="1">
        <f ca="1">IFERROR(__xludf.DUMMYFUNCTION("""COMPUTED_VALUE"""),6)</f>
        <v>6</v>
      </c>
      <c r="L1307" s="1">
        <f ca="1">IFERROR(__xludf.DUMMYFUNCTION("""COMPUTED_VALUE"""),1.25)</f>
        <v>1.25</v>
      </c>
      <c r="T1307" s="1">
        <f ca="1">IFERROR(__xludf.DUMMYFUNCTION("""COMPUTED_VALUE"""),489561)</f>
        <v>489561</v>
      </c>
      <c r="U1307" s="1">
        <f ca="1">IFERROR(__xludf.DUMMYFUNCTION("""COMPUTED_VALUE"""),7.5)</f>
        <v>7.5</v>
      </c>
    </row>
    <row r="1308" spans="1:21" ht="12.75" x14ac:dyDescent="0.2">
      <c r="A1308" s="3">
        <f ca="1">IFERROR(__xludf.DUMMYFUNCTION("""COMPUTED_VALUE"""),40148.5395833333)</f>
        <v>40148.539583333302</v>
      </c>
      <c r="B1308" s="1">
        <f ca="1">IFERROR(__xludf.DUMMYFUNCTION("""COMPUTED_VALUE"""),2.1)</f>
        <v>2.1</v>
      </c>
      <c r="E1308" s="1" t="str">
        <f ca="1">IFERROR(__xludf.DUMMYFUNCTION("""COMPUTED_VALUE"""),"PACK OF 72 SKULL CAKE CASES")</f>
        <v>PACK OF 72 SKULL CAKE CASES</v>
      </c>
      <c r="F1308" s="1">
        <f ca="1">IFERROR(__xludf.DUMMYFUNCTION("""COMPUTED_VALUE"""),1)</f>
        <v>1</v>
      </c>
      <c r="G1308" s="1">
        <f ca="1">IFERROR(__xludf.DUMMYFUNCTION("""COMPUTED_VALUE"""),1.3)</f>
        <v>1.3</v>
      </c>
      <c r="J1308" s="1" t="str">
        <f ca="1">IFERROR(__xludf.DUMMYFUNCTION("""COMPUTED_VALUE"""),"6 CHOCOLATE LOVE HEART T-LIGHTS")</f>
        <v>6 CHOCOLATE LOVE HEART T-LIGHTS</v>
      </c>
      <c r="K1308" s="1">
        <f ca="1">IFERROR(__xludf.DUMMYFUNCTION("""COMPUTED_VALUE"""),6)</f>
        <v>6</v>
      </c>
      <c r="L1308" s="1">
        <f ca="1">IFERROR(__xludf.DUMMYFUNCTION("""COMPUTED_VALUE"""),2.1)</f>
        <v>2.1</v>
      </c>
      <c r="T1308" s="1">
        <f ca="1">IFERROR(__xludf.DUMMYFUNCTION("""COMPUTED_VALUE"""),489561)</f>
        <v>489561</v>
      </c>
      <c r="U1308" s="1">
        <f ca="1">IFERROR(__xludf.DUMMYFUNCTION("""COMPUTED_VALUE"""),12.6)</f>
        <v>12.6</v>
      </c>
    </row>
    <row r="1309" spans="1:21" ht="12.75" x14ac:dyDescent="0.2">
      <c r="A1309" s="3">
        <f ca="1">IFERROR(__xludf.DUMMYFUNCTION("""COMPUTED_VALUE"""),40148.5395833333)</f>
        <v>40148.539583333302</v>
      </c>
      <c r="B1309" s="1">
        <f ca="1">IFERROR(__xludf.DUMMYFUNCTION("""COMPUTED_VALUE"""),0.85)</f>
        <v>0.85</v>
      </c>
      <c r="E1309" s="1" t="str">
        <f ca="1">IFERROR(__xludf.DUMMYFUNCTION("""COMPUTED_VALUE"""),"FRENCH BOTTLE , LAVENDER")</f>
        <v>FRENCH BOTTLE , LAVENDER</v>
      </c>
      <c r="F1309" s="1">
        <f ca="1">IFERROR(__xludf.DUMMYFUNCTION("""COMPUTED_VALUE"""),1)</f>
        <v>1</v>
      </c>
      <c r="G1309" s="1">
        <f ca="1">IFERROR(__xludf.DUMMYFUNCTION("""COMPUTED_VALUE"""),3.43)</f>
        <v>3.43</v>
      </c>
      <c r="J1309" s="1" t="str">
        <f ca="1">IFERROR(__xludf.DUMMYFUNCTION("""COMPUTED_VALUE"""),"3D SHEET OF DOG STICKERS")</f>
        <v>3D SHEET OF DOG STICKERS</v>
      </c>
      <c r="K1309" s="1">
        <f ca="1">IFERROR(__xludf.DUMMYFUNCTION("""COMPUTED_VALUE"""),6)</f>
        <v>6</v>
      </c>
      <c r="L1309" s="1">
        <f ca="1">IFERROR(__xludf.DUMMYFUNCTION("""COMPUTED_VALUE"""),0.85)</f>
        <v>0.85</v>
      </c>
      <c r="T1309" s="1">
        <f ca="1">IFERROR(__xludf.DUMMYFUNCTION("""COMPUTED_VALUE"""),489561)</f>
        <v>489561</v>
      </c>
      <c r="U1309" s="1">
        <f ca="1">IFERROR(__xludf.DUMMYFUNCTION("""COMPUTED_VALUE"""),5.1)</f>
        <v>5.0999999999999996</v>
      </c>
    </row>
    <row r="1310" spans="1:21" ht="12.75" x14ac:dyDescent="0.2">
      <c r="A1310" s="3">
        <f ca="1">IFERROR(__xludf.DUMMYFUNCTION("""COMPUTED_VALUE"""),40148.5395833333)</f>
        <v>40148.539583333302</v>
      </c>
      <c r="B1310" s="1">
        <f ca="1">IFERROR(__xludf.DUMMYFUNCTION("""COMPUTED_VALUE"""),1.25)</f>
        <v>1.25</v>
      </c>
      <c r="E1310" s="1" t="str">
        <f ca="1">IFERROR(__xludf.DUMMYFUNCTION("""COMPUTED_VALUE"""),"VINTAGE SILVER TINSEL REEL")</f>
        <v>VINTAGE SILVER TINSEL REEL</v>
      </c>
      <c r="F1310" s="1">
        <f ca="1">IFERROR(__xludf.DUMMYFUNCTION("""COMPUTED_VALUE"""),1)</f>
        <v>1</v>
      </c>
      <c r="G1310" s="1">
        <f ca="1">IFERROR(__xludf.DUMMYFUNCTION("""COMPUTED_VALUE"""),4.3)</f>
        <v>4.3</v>
      </c>
      <c r="J1310" s="1" t="str">
        <f ca="1">IFERROR(__xludf.DUMMYFUNCTION("""COMPUTED_VALUE"""),"TOP SECRET PEN SET")</f>
        <v>TOP SECRET PEN SET</v>
      </c>
      <c r="K1310" s="1">
        <f ca="1">IFERROR(__xludf.DUMMYFUNCTION("""COMPUTED_VALUE"""),6)</f>
        <v>6</v>
      </c>
      <c r="L1310" s="1">
        <f ca="1">IFERROR(__xludf.DUMMYFUNCTION("""COMPUTED_VALUE"""),1.25)</f>
        <v>1.25</v>
      </c>
      <c r="T1310" s="1">
        <f ca="1">IFERROR(__xludf.DUMMYFUNCTION("""COMPUTED_VALUE"""),489561)</f>
        <v>489561</v>
      </c>
      <c r="U1310" s="1">
        <f ca="1">IFERROR(__xludf.DUMMYFUNCTION("""COMPUTED_VALUE"""),7.5)</f>
        <v>7.5</v>
      </c>
    </row>
    <row r="1311" spans="1:21" ht="12.75" x14ac:dyDescent="0.2">
      <c r="A1311" s="3">
        <f ca="1">IFERROR(__xludf.DUMMYFUNCTION("""COMPUTED_VALUE"""),40148.5395833333)</f>
        <v>40148.539583333302</v>
      </c>
      <c r="B1311" s="1">
        <f ca="1">IFERROR(__xludf.DUMMYFUNCTION("""COMPUTED_VALUE"""),1.65)</f>
        <v>1.65</v>
      </c>
      <c r="E1311" s="1" t="str">
        <f ca="1">IFERROR(__xludf.DUMMYFUNCTION("""COMPUTED_VALUE"""),"RETRO SPOT CANDLE  SMALL")</f>
        <v>RETRO SPOT CANDLE  SMALL</v>
      </c>
      <c r="F1311" s="1">
        <f ca="1">IFERROR(__xludf.DUMMYFUNCTION("""COMPUTED_VALUE"""),1)</f>
        <v>1</v>
      </c>
      <c r="G1311" s="1">
        <f ca="1">IFERROR(__xludf.DUMMYFUNCTION("""COMPUTED_VALUE"""),3.43)</f>
        <v>3.43</v>
      </c>
      <c r="J1311" s="1" t="str">
        <f ca="1">IFERROR(__xludf.DUMMYFUNCTION("""COMPUTED_VALUE"""),"LOVE HEART POCKET WARMER")</f>
        <v>LOVE HEART POCKET WARMER</v>
      </c>
      <c r="K1311" s="1">
        <f ca="1">IFERROR(__xludf.DUMMYFUNCTION("""COMPUTED_VALUE"""),6)</f>
        <v>6</v>
      </c>
      <c r="L1311" s="1">
        <f ca="1">IFERROR(__xludf.DUMMYFUNCTION("""COMPUTED_VALUE"""),1.65)</f>
        <v>1.65</v>
      </c>
      <c r="T1311" s="1">
        <f ca="1">IFERROR(__xludf.DUMMYFUNCTION("""COMPUTED_VALUE"""),489561)</f>
        <v>489561</v>
      </c>
      <c r="U1311" s="1">
        <f ca="1">IFERROR(__xludf.DUMMYFUNCTION("""COMPUTED_VALUE"""),9.89999999999999)</f>
        <v>9.8999999999999897</v>
      </c>
    </row>
    <row r="1312" spans="1:21" ht="12.75" x14ac:dyDescent="0.2">
      <c r="A1312" s="3">
        <f ca="1">IFERROR(__xludf.DUMMYFUNCTION("""COMPUTED_VALUE"""),40148.5395833333)</f>
        <v>40148.539583333302</v>
      </c>
      <c r="B1312" s="1">
        <f ca="1">IFERROR(__xludf.DUMMYFUNCTION("""COMPUTED_VALUE"""),1.65)</f>
        <v>1.65</v>
      </c>
      <c r="E1312" s="1" t="str">
        <f ca="1">IFERROR(__xludf.DUMMYFUNCTION("""COMPUTED_VALUE"""),"BALLOONS  WRITING SET")</f>
        <v>BALLOONS  WRITING SET</v>
      </c>
      <c r="F1312" s="1">
        <f ca="1">IFERROR(__xludf.DUMMYFUNCTION("""COMPUTED_VALUE"""),1)</f>
        <v>1</v>
      </c>
      <c r="G1312" s="1">
        <f ca="1">IFERROR(__xludf.DUMMYFUNCTION("""COMPUTED_VALUE"""),3.43)</f>
        <v>3.43</v>
      </c>
      <c r="J1312" s="1" t="str">
        <f ca="1">IFERROR(__xludf.DUMMYFUNCTION("""COMPUTED_VALUE"""),"HI TEC ALPINE HAND WARMER")</f>
        <v>HI TEC ALPINE HAND WARMER</v>
      </c>
      <c r="K1312" s="1">
        <f ca="1">IFERROR(__xludf.DUMMYFUNCTION("""COMPUTED_VALUE"""),6)</f>
        <v>6</v>
      </c>
      <c r="L1312" s="1">
        <f ca="1">IFERROR(__xludf.DUMMYFUNCTION("""COMPUTED_VALUE"""),1.65)</f>
        <v>1.65</v>
      </c>
      <c r="T1312" s="1">
        <f ca="1">IFERROR(__xludf.DUMMYFUNCTION("""COMPUTED_VALUE"""),489561)</f>
        <v>489561</v>
      </c>
      <c r="U1312" s="1">
        <f ca="1">IFERROR(__xludf.DUMMYFUNCTION("""COMPUTED_VALUE"""),9.89999999999999)</f>
        <v>9.8999999999999897</v>
      </c>
    </row>
    <row r="1313" spans="1:21" ht="12.75" x14ac:dyDescent="0.2">
      <c r="A1313" s="3">
        <f ca="1">IFERROR(__xludf.DUMMYFUNCTION("""COMPUTED_VALUE"""),40148.5395833333)</f>
        <v>40148.539583333302</v>
      </c>
      <c r="B1313" s="1">
        <f ca="1">IFERROR(__xludf.DUMMYFUNCTION("""COMPUTED_VALUE"""),0.85)</f>
        <v>0.85</v>
      </c>
      <c r="E1313" s="1" t="str">
        <f ca="1">IFERROR(__xludf.DUMMYFUNCTION("""COMPUTED_VALUE"""),"CAMPHOR WOOD PORTOBELLO MUSHROOM")</f>
        <v>CAMPHOR WOOD PORTOBELLO MUSHROOM</v>
      </c>
      <c r="F1313" s="1">
        <f ca="1">IFERROR(__xludf.DUMMYFUNCTION("""COMPUTED_VALUE"""),1)</f>
        <v>1</v>
      </c>
      <c r="G1313" s="1">
        <f ca="1">IFERROR(__xludf.DUMMYFUNCTION("""COMPUTED_VALUE"""),2.57)</f>
        <v>2.57</v>
      </c>
      <c r="J1313" s="1" t="str">
        <f ca="1">IFERROR(__xludf.DUMMYFUNCTION("""COMPUTED_VALUE"""),"JAZZ HEARTS SPIRAL NOTEPAD")</f>
        <v>JAZZ HEARTS SPIRAL NOTEPAD</v>
      </c>
      <c r="K1313" s="1">
        <f ca="1">IFERROR(__xludf.DUMMYFUNCTION("""COMPUTED_VALUE"""),3)</f>
        <v>3</v>
      </c>
      <c r="L1313" s="1">
        <f ca="1">IFERROR(__xludf.DUMMYFUNCTION("""COMPUTED_VALUE"""),0.85)</f>
        <v>0.85</v>
      </c>
      <c r="T1313" s="1">
        <f ca="1">IFERROR(__xludf.DUMMYFUNCTION("""COMPUTED_VALUE"""),489561)</f>
        <v>489561</v>
      </c>
      <c r="U1313" s="1">
        <f ca="1">IFERROR(__xludf.DUMMYFUNCTION("""COMPUTED_VALUE"""),2.55)</f>
        <v>2.5499999999999998</v>
      </c>
    </row>
    <row r="1314" spans="1:21" ht="12.75" x14ac:dyDescent="0.2">
      <c r="A1314" s="3">
        <f ca="1">IFERROR(__xludf.DUMMYFUNCTION("""COMPUTED_VALUE"""),40148.5395833333)</f>
        <v>40148.539583333302</v>
      </c>
      <c r="B1314" s="1">
        <f ca="1">IFERROR(__xludf.DUMMYFUNCTION("""COMPUTED_VALUE"""),0.85)</f>
        <v>0.85</v>
      </c>
      <c r="E1314" s="1" t="str">
        <f ca="1">IFERROR(__xludf.DUMMYFUNCTION("""COMPUTED_VALUE"""),"VINTAGE GOLD TINSEL REEL")</f>
        <v>VINTAGE GOLD TINSEL REEL</v>
      </c>
      <c r="F1314" s="1">
        <f ca="1">IFERROR(__xludf.DUMMYFUNCTION("""COMPUTED_VALUE"""),1)</f>
        <v>1</v>
      </c>
      <c r="G1314" s="1">
        <f ca="1">IFERROR(__xludf.DUMMYFUNCTION("""COMPUTED_VALUE"""),4.3)</f>
        <v>4.3</v>
      </c>
      <c r="J1314" s="1" t="str">
        <f ca="1">IFERROR(__xludf.DUMMYFUNCTION("""COMPUTED_VALUE"""),"JAZZ HEARTS PURSE NOTEBOOK")</f>
        <v>JAZZ HEARTS PURSE NOTEBOOK</v>
      </c>
      <c r="K1314" s="1">
        <f ca="1">IFERROR(__xludf.DUMMYFUNCTION("""COMPUTED_VALUE"""),3)</f>
        <v>3</v>
      </c>
      <c r="L1314" s="1">
        <f ca="1">IFERROR(__xludf.DUMMYFUNCTION("""COMPUTED_VALUE"""),0.85)</f>
        <v>0.85</v>
      </c>
      <c r="T1314" s="1">
        <f ca="1">IFERROR(__xludf.DUMMYFUNCTION("""COMPUTED_VALUE"""),489561)</f>
        <v>489561</v>
      </c>
      <c r="U1314" s="1">
        <f ca="1">IFERROR(__xludf.DUMMYFUNCTION("""COMPUTED_VALUE"""),2.55)</f>
        <v>2.5499999999999998</v>
      </c>
    </row>
    <row r="1315" spans="1:21" ht="12.75" x14ac:dyDescent="0.2">
      <c r="A1315" s="3">
        <f ca="1">IFERROR(__xludf.DUMMYFUNCTION("""COMPUTED_VALUE"""),40148.5395833333)</f>
        <v>40148.539583333302</v>
      </c>
      <c r="B1315" s="1">
        <f ca="1">IFERROR(__xludf.DUMMYFUNCTION("""COMPUTED_VALUE"""),1.25)</f>
        <v>1.25</v>
      </c>
      <c r="E1315" s="1" t="str">
        <f ca="1">IFERROR(__xludf.DUMMYFUNCTION("""COMPUTED_VALUE"""),"RED GINGHAM ROSE JEWELLERY BOX")</f>
        <v>RED GINGHAM ROSE JEWELLERY BOX</v>
      </c>
      <c r="F1315" s="1">
        <f ca="1">IFERROR(__xludf.DUMMYFUNCTION("""COMPUTED_VALUE"""),1)</f>
        <v>1</v>
      </c>
      <c r="G1315" s="1">
        <f ca="1">IFERROR(__xludf.DUMMYFUNCTION("""COMPUTED_VALUE"""),3.43)</f>
        <v>3.43</v>
      </c>
      <c r="J1315" s="1" t="str">
        <f ca="1">IFERROR(__xludf.DUMMYFUNCTION("""COMPUTED_VALUE"""),"SET/6 GINGERBREAD TREE T-LIGHTS")</f>
        <v>SET/6 GINGERBREAD TREE T-LIGHTS</v>
      </c>
      <c r="K1315" s="1">
        <f ca="1">IFERROR(__xludf.DUMMYFUNCTION("""COMPUTED_VALUE"""),1)</f>
        <v>1</v>
      </c>
      <c r="L1315" s="1">
        <f ca="1">IFERROR(__xludf.DUMMYFUNCTION("""COMPUTED_VALUE"""),1.25)</f>
        <v>1.25</v>
      </c>
      <c r="T1315" s="1">
        <f ca="1">IFERROR(__xludf.DUMMYFUNCTION("""COMPUTED_VALUE"""),489561)</f>
        <v>489561</v>
      </c>
      <c r="U1315" s="1">
        <f ca="1">IFERROR(__xludf.DUMMYFUNCTION("""COMPUTED_VALUE"""),1.25)</f>
        <v>1.25</v>
      </c>
    </row>
    <row r="1316" spans="1:21" ht="12.75" x14ac:dyDescent="0.2">
      <c r="A1316" s="3">
        <f ca="1">IFERROR(__xludf.DUMMYFUNCTION("""COMPUTED_VALUE"""),40148.5395833333)</f>
        <v>40148.539583333302</v>
      </c>
      <c r="B1316" s="1">
        <f ca="1">IFERROR(__xludf.DUMMYFUNCTION("""COMPUTED_VALUE"""),4.95)</f>
        <v>4.95</v>
      </c>
      <c r="E1316" s="1" t="str">
        <f ca="1">IFERROR(__xludf.DUMMYFUNCTION("""COMPUTED_VALUE"""),"GREEN GINGHAM FLOWER JEWELLERY BOX")</f>
        <v>GREEN GINGHAM FLOWER JEWELLERY BOX</v>
      </c>
      <c r="F1316" s="1">
        <f ca="1">IFERROR(__xludf.DUMMYFUNCTION("""COMPUTED_VALUE"""),1)</f>
        <v>1</v>
      </c>
      <c r="G1316" s="1">
        <f ca="1">IFERROR(__xludf.DUMMYFUNCTION("""COMPUTED_VALUE"""),3.43)</f>
        <v>3.43</v>
      </c>
      <c r="J1316" s="1" t="str">
        <f ca="1">IFERROR(__xludf.DUMMYFUNCTION("""COMPUTED_VALUE"""),"SCOTTIE DOG HOT WATER BOTTLE")</f>
        <v>SCOTTIE DOG HOT WATER BOTTLE</v>
      </c>
      <c r="K1316" s="1">
        <f ca="1">IFERROR(__xludf.DUMMYFUNCTION("""COMPUTED_VALUE"""),1)</f>
        <v>1</v>
      </c>
      <c r="L1316" s="1">
        <f ca="1">IFERROR(__xludf.DUMMYFUNCTION("""COMPUTED_VALUE"""),4.95)</f>
        <v>4.95</v>
      </c>
      <c r="T1316" s="1">
        <f ca="1">IFERROR(__xludf.DUMMYFUNCTION("""COMPUTED_VALUE"""),489561)</f>
        <v>489561</v>
      </c>
      <c r="U1316" s="1">
        <f ca="1">IFERROR(__xludf.DUMMYFUNCTION("""COMPUTED_VALUE"""),4.95)</f>
        <v>4.95</v>
      </c>
    </row>
    <row r="1317" spans="1:21" ht="12.75" x14ac:dyDescent="0.2">
      <c r="A1317" s="3">
        <f ca="1">IFERROR(__xludf.DUMMYFUNCTION("""COMPUTED_VALUE"""),40148.5395833333)</f>
        <v>40148.539583333302</v>
      </c>
      <c r="B1317" s="1">
        <f ca="1">IFERROR(__xludf.DUMMYFUNCTION("""COMPUTED_VALUE"""),0.95)</f>
        <v>0.95</v>
      </c>
      <c r="E1317" s="1" t="str">
        <f ca="1">IFERROR(__xludf.DUMMYFUNCTION("""COMPUTED_VALUE"""),"12 PINK ROSE PEG PLACE SETTINGS")</f>
        <v>12 PINK ROSE PEG PLACE SETTINGS</v>
      </c>
      <c r="F1317" s="1">
        <f ca="1">IFERROR(__xludf.DUMMYFUNCTION("""COMPUTED_VALUE"""),1)</f>
        <v>1</v>
      </c>
      <c r="G1317" s="1">
        <f ca="1">IFERROR(__xludf.DUMMYFUNCTION("""COMPUTED_VALUE"""),2.57)</f>
        <v>2.57</v>
      </c>
      <c r="J1317" s="1" t="str">
        <f ca="1">IFERROR(__xludf.DUMMYFUNCTION("""COMPUTED_VALUE"""),"REX CASH+CARRY JUMBO SHOPPER")</f>
        <v>REX CASH+CARRY JUMBO SHOPPER</v>
      </c>
      <c r="K1317" s="1">
        <f ca="1">IFERROR(__xludf.DUMMYFUNCTION("""COMPUTED_VALUE"""),1)</f>
        <v>1</v>
      </c>
      <c r="L1317" s="1">
        <f ca="1">IFERROR(__xludf.DUMMYFUNCTION("""COMPUTED_VALUE"""),0.95)</f>
        <v>0.95</v>
      </c>
      <c r="T1317" s="1">
        <f ca="1">IFERROR(__xludf.DUMMYFUNCTION("""COMPUTED_VALUE"""),489561)</f>
        <v>489561</v>
      </c>
      <c r="U1317" s="1">
        <f ca="1">IFERROR(__xludf.DUMMYFUNCTION("""COMPUTED_VALUE"""),0.95)</f>
        <v>0.95</v>
      </c>
    </row>
    <row r="1318" spans="1:21" ht="12.75" x14ac:dyDescent="0.2">
      <c r="A1318" s="3">
        <f ca="1">IFERROR(__xludf.DUMMYFUNCTION("""COMPUTED_VALUE"""),40148.5465277777)</f>
        <v>40148.546527777697</v>
      </c>
      <c r="B1318" s="1">
        <f ca="1">IFERROR(__xludf.DUMMYFUNCTION("""COMPUTED_VALUE"""),0.21)</f>
        <v>0.21</v>
      </c>
      <c r="J1318" s="1" t="str">
        <f ca="1">IFERROR(__xludf.DUMMYFUNCTION("""COMPUTED_VALUE"""),"ASSTD DESIGN BUBBLE GUM RING")</f>
        <v>ASSTD DESIGN BUBBLE GUM RING</v>
      </c>
      <c r="K1318" s="1">
        <f ca="1">IFERROR(__xludf.DUMMYFUNCTION("""COMPUTED_VALUE"""),30)</f>
        <v>30</v>
      </c>
      <c r="L1318" s="1">
        <f ca="1">IFERROR(__xludf.DUMMYFUNCTION("""COMPUTED_VALUE"""),0.21)</f>
        <v>0.21</v>
      </c>
      <c r="T1318" s="1">
        <f ca="1">IFERROR(__xludf.DUMMYFUNCTION("""COMPUTED_VALUE"""),489562)</f>
        <v>489562</v>
      </c>
      <c r="U1318" s="1">
        <f ca="1">IFERROR(__xludf.DUMMYFUNCTION("""COMPUTED_VALUE"""),6.3)</f>
        <v>6.3</v>
      </c>
    </row>
    <row r="1319" spans="1:21" ht="12.75" x14ac:dyDescent="0.2">
      <c r="A1319" s="3">
        <f ca="1">IFERROR(__xludf.DUMMYFUNCTION("""COMPUTED_VALUE"""),40148.5465277777)</f>
        <v>40148.546527777697</v>
      </c>
      <c r="B1319" s="1">
        <f ca="1">IFERROR(__xludf.DUMMYFUNCTION("""COMPUTED_VALUE"""),0.42)</f>
        <v>0.42</v>
      </c>
      <c r="J1319" s="1" t="str">
        <f ca="1">IFERROR(__xludf.DUMMYFUNCTION("""COMPUTED_VALUE"""),"PLACE SETTING WHITE HEART")</f>
        <v>PLACE SETTING WHITE HEART</v>
      </c>
      <c r="K1319" s="1">
        <f ca="1">IFERROR(__xludf.DUMMYFUNCTION("""COMPUTED_VALUE"""),24)</f>
        <v>24</v>
      </c>
      <c r="L1319" s="1">
        <f ca="1">IFERROR(__xludf.DUMMYFUNCTION("""COMPUTED_VALUE"""),0.42)</f>
        <v>0.42</v>
      </c>
      <c r="T1319" s="1">
        <f ca="1">IFERROR(__xludf.DUMMYFUNCTION("""COMPUTED_VALUE"""),489562)</f>
        <v>489562</v>
      </c>
      <c r="U1319" s="1">
        <f ca="1">IFERROR(__xludf.DUMMYFUNCTION("""COMPUTED_VALUE"""),10.08)</f>
        <v>10.08</v>
      </c>
    </row>
    <row r="1320" spans="1:21" ht="12.75" x14ac:dyDescent="0.2">
      <c r="A1320" s="3">
        <f ca="1">IFERROR(__xludf.DUMMYFUNCTION("""COMPUTED_VALUE"""),40148.5465277777)</f>
        <v>40148.546527777697</v>
      </c>
      <c r="B1320" s="1">
        <f ca="1">IFERROR(__xludf.DUMMYFUNCTION("""COMPUTED_VALUE"""),0.85)</f>
        <v>0.85</v>
      </c>
      <c r="J1320" s="1" t="str">
        <f ca="1">IFERROR(__xludf.DUMMYFUNCTION("""COMPUTED_VALUE"""),"BIG DOUGHNUT FRIDGE MAGNETS")</f>
        <v>BIG DOUGHNUT FRIDGE MAGNETS</v>
      </c>
      <c r="K1320" s="1">
        <f ca="1">IFERROR(__xludf.DUMMYFUNCTION("""COMPUTED_VALUE"""),12)</f>
        <v>12</v>
      </c>
      <c r="L1320" s="1">
        <f ca="1">IFERROR(__xludf.DUMMYFUNCTION("""COMPUTED_VALUE"""),0.85)</f>
        <v>0.85</v>
      </c>
      <c r="T1320" s="1">
        <f ca="1">IFERROR(__xludf.DUMMYFUNCTION("""COMPUTED_VALUE"""),489562)</f>
        <v>489562</v>
      </c>
      <c r="U1320" s="1">
        <f ca="1">IFERROR(__xludf.DUMMYFUNCTION("""COMPUTED_VALUE"""),10.2)</f>
        <v>10.199999999999999</v>
      </c>
    </row>
    <row r="1321" spans="1:21" ht="12.75" x14ac:dyDescent="0.2">
      <c r="A1321" s="3">
        <f ca="1">IFERROR(__xludf.DUMMYFUNCTION("""COMPUTED_VALUE"""),40148.5465277777)</f>
        <v>40148.546527777697</v>
      </c>
      <c r="B1321" s="1">
        <f ca="1">IFERROR(__xludf.DUMMYFUNCTION("""COMPUTED_VALUE"""),2.95)</f>
        <v>2.95</v>
      </c>
      <c r="J1321" s="1" t="str">
        <f ca="1">IFERROR(__xludf.DUMMYFUNCTION("""COMPUTED_VALUE"""),"S/6 WOODEN SKITTLES IN COTTON BAG")</f>
        <v>S/6 WOODEN SKITTLES IN COTTON BAG</v>
      </c>
      <c r="K1321" s="1">
        <f ca="1">IFERROR(__xludf.DUMMYFUNCTION("""COMPUTED_VALUE"""),2)</f>
        <v>2</v>
      </c>
      <c r="L1321" s="1">
        <f ca="1">IFERROR(__xludf.DUMMYFUNCTION("""COMPUTED_VALUE"""),2.95)</f>
        <v>2.95</v>
      </c>
      <c r="T1321" s="1">
        <f ca="1">IFERROR(__xludf.DUMMYFUNCTION("""COMPUTED_VALUE"""),489562)</f>
        <v>489562</v>
      </c>
      <c r="U1321" s="1">
        <f ca="1">IFERROR(__xludf.DUMMYFUNCTION("""COMPUTED_VALUE"""),5.9)</f>
        <v>5.9</v>
      </c>
    </row>
    <row r="1322" spans="1:21" ht="12.75" x14ac:dyDescent="0.2">
      <c r="A1322" s="3">
        <f ca="1">IFERROR(__xludf.DUMMYFUNCTION("""COMPUTED_VALUE"""),40148.5465277777)</f>
        <v>40148.546527777697</v>
      </c>
      <c r="B1322" s="1">
        <f ca="1">IFERROR(__xludf.DUMMYFUNCTION("""COMPUTED_VALUE"""),1.25)</f>
        <v>1.25</v>
      </c>
      <c r="J1322" s="1" t="str">
        <f ca="1">IFERROR(__xludf.DUMMYFUNCTION("""COMPUTED_VALUE"""),"TRADITIONAL WOODEN SKIPPING ROPE")</f>
        <v>TRADITIONAL WOODEN SKIPPING ROPE</v>
      </c>
      <c r="K1322" s="1">
        <f ca="1">IFERROR(__xludf.DUMMYFUNCTION("""COMPUTED_VALUE"""),2)</f>
        <v>2</v>
      </c>
      <c r="L1322" s="1">
        <f ca="1">IFERROR(__xludf.DUMMYFUNCTION("""COMPUTED_VALUE"""),1.25)</f>
        <v>1.25</v>
      </c>
      <c r="T1322" s="1">
        <f ca="1">IFERROR(__xludf.DUMMYFUNCTION("""COMPUTED_VALUE"""),489562)</f>
        <v>489562</v>
      </c>
      <c r="U1322" s="1">
        <f ca="1">IFERROR(__xludf.DUMMYFUNCTION("""COMPUTED_VALUE"""),2.5)</f>
        <v>2.5</v>
      </c>
    </row>
    <row r="1323" spans="1:21" ht="12.75" x14ac:dyDescent="0.2">
      <c r="A1323" s="3">
        <f ca="1">IFERROR(__xludf.DUMMYFUNCTION("""COMPUTED_VALUE"""),40148.5465277777)</f>
        <v>40148.546527777697</v>
      </c>
      <c r="B1323" s="1">
        <f ca="1">IFERROR(__xludf.DUMMYFUNCTION("""COMPUTED_VALUE"""),1.95)</f>
        <v>1.95</v>
      </c>
      <c r="J1323" s="1" t="str">
        <f ca="1">IFERROR(__xludf.DUMMYFUNCTION("""COMPUTED_VALUE"""),"JUMBO BAG RED WHITE SPOTTY")</f>
        <v>JUMBO BAG RED WHITE SPOTTY</v>
      </c>
      <c r="K1323" s="1">
        <f ca="1">IFERROR(__xludf.DUMMYFUNCTION("""COMPUTED_VALUE"""),2)</f>
        <v>2</v>
      </c>
      <c r="L1323" s="1">
        <f ca="1">IFERROR(__xludf.DUMMYFUNCTION("""COMPUTED_VALUE"""),1.95)</f>
        <v>1.95</v>
      </c>
      <c r="T1323" s="1">
        <f ca="1">IFERROR(__xludf.DUMMYFUNCTION("""COMPUTED_VALUE"""),489562)</f>
        <v>489562</v>
      </c>
      <c r="U1323" s="1">
        <f ca="1">IFERROR(__xludf.DUMMYFUNCTION("""COMPUTED_VALUE"""),3.9)</f>
        <v>3.9</v>
      </c>
    </row>
    <row r="1324" spans="1:21" ht="12.75" x14ac:dyDescent="0.2">
      <c r="A1324" s="3">
        <f ca="1">IFERROR(__xludf.DUMMYFUNCTION("""COMPUTED_VALUE"""),40148.5465277777)</f>
        <v>40148.546527777697</v>
      </c>
      <c r="B1324" s="1">
        <f ca="1">IFERROR(__xludf.DUMMYFUNCTION("""COMPUTED_VALUE"""),1.95)</f>
        <v>1.95</v>
      </c>
      <c r="J1324" s="1" t="str">
        <f ca="1">IFERROR(__xludf.DUMMYFUNCTION("""COMPUTED_VALUE"""),"JUMBO BAG PINK VINTAGE PAISLEY")</f>
        <v>JUMBO BAG PINK VINTAGE PAISLEY</v>
      </c>
      <c r="K1324" s="1">
        <f ca="1">IFERROR(__xludf.DUMMYFUNCTION("""COMPUTED_VALUE"""),2)</f>
        <v>2</v>
      </c>
      <c r="L1324" s="1">
        <f ca="1">IFERROR(__xludf.DUMMYFUNCTION("""COMPUTED_VALUE"""),1.95)</f>
        <v>1.95</v>
      </c>
      <c r="T1324" s="1">
        <f ca="1">IFERROR(__xludf.DUMMYFUNCTION("""COMPUTED_VALUE"""),489562)</f>
        <v>489562</v>
      </c>
      <c r="U1324" s="1">
        <f ca="1">IFERROR(__xludf.DUMMYFUNCTION("""COMPUTED_VALUE"""),3.9)</f>
        <v>3.9</v>
      </c>
    </row>
    <row r="1325" spans="1:21" ht="12.75" x14ac:dyDescent="0.2">
      <c r="A1325" s="3">
        <f ca="1">IFERROR(__xludf.DUMMYFUNCTION("""COMPUTED_VALUE"""),40148.5465277777)</f>
        <v>40148.546527777697</v>
      </c>
      <c r="B1325" s="1">
        <f ca="1">IFERROR(__xludf.DUMMYFUNCTION("""COMPUTED_VALUE"""),5.95)</f>
        <v>5.95</v>
      </c>
      <c r="J1325" s="1" t="str">
        <f ca="1">IFERROR(__xludf.DUMMYFUNCTION("""COMPUTED_VALUE"""),"PINK GINGHAM ROSE CUSHION COVER")</f>
        <v>PINK GINGHAM ROSE CUSHION COVER</v>
      </c>
      <c r="K1325" s="1">
        <f ca="1">IFERROR(__xludf.DUMMYFUNCTION("""COMPUTED_VALUE"""),2)</f>
        <v>2</v>
      </c>
      <c r="L1325" s="1">
        <f ca="1">IFERROR(__xludf.DUMMYFUNCTION("""COMPUTED_VALUE"""),5.95)</f>
        <v>5.95</v>
      </c>
      <c r="T1325" s="1">
        <f ca="1">IFERROR(__xludf.DUMMYFUNCTION("""COMPUTED_VALUE"""),489562)</f>
        <v>489562</v>
      </c>
      <c r="U1325" s="1">
        <f ca="1">IFERROR(__xludf.DUMMYFUNCTION("""COMPUTED_VALUE"""),11.9)</f>
        <v>11.9</v>
      </c>
    </row>
    <row r="1326" spans="1:21" ht="12.75" x14ac:dyDescent="0.2">
      <c r="A1326" s="3">
        <f ca="1">IFERROR(__xludf.DUMMYFUNCTION("""COMPUTED_VALUE"""),40148.5465277777)</f>
        <v>40148.546527777697</v>
      </c>
      <c r="B1326" s="1">
        <f ca="1">IFERROR(__xludf.DUMMYFUNCTION("""COMPUTED_VALUE"""),0.65)</f>
        <v>0.65</v>
      </c>
      <c r="J1326" s="1" t="str">
        <f ca="1">IFERROR(__xludf.DUMMYFUNCTION("""COMPUTED_VALUE"""),"DOVE DECORATION PAINTED ZINC")</f>
        <v>DOVE DECORATION PAINTED ZINC</v>
      </c>
      <c r="K1326" s="1">
        <f ca="1">IFERROR(__xludf.DUMMYFUNCTION("""COMPUTED_VALUE"""),1)</f>
        <v>1</v>
      </c>
      <c r="L1326" s="1">
        <f ca="1">IFERROR(__xludf.DUMMYFUNCTION("""COMPUTED_VALUE"""),0.65)</f>
        <v>0.65</v>
      </c>
      <c r="T1326" s="1">
        <f ca="1">IFERROR(__xludf.DUMMYFUNCTION("""COMPUTED_VALUE"""),489562)</f>
        <v>489562</v>
      </c>
      <c r="U1326" s="1">
        <f ca="1">IFERROR(__xludf.DUMMYFUNCTION("""COMPUTED_VALUE"""),0.65)</f>
        <v>0.65</v>
      </c>
    </row>
    <row r="1327" spans="1:21" ht="12.75" x14ac:dyDescent="0.2">
      <c r="A1327" s="3">
        <f ca="1">IFERROR(__xludf.DUMMYFUNCTION("""COMPUTED_VALUE"""),40148.5465277777)</f>
        <v>40148.546527777697</v>
      </c>
      <c r="B1327" s="1">
        <f ca="1">IFERROR(__xludf.DUMMYFUNCTION("""COMPUTED_VALUE"""),0.85)</f>
        <v>0.85</v>
      </c>
      <c r="J1327" s="1" t="str">
        <f ca="1">IFERROR(__xludf.DUMMYFUNCTION("""COMPUTED_VALUE"""),"GLITTER CHRISTMAS TREE")</f>
        <v>GLITTER CHRISTMAS TREE</v>
      </c>
      <c r="K1327" s="1">
        <f ca="1">IFERROR(__xludf.DUMMYFUNCTION("""COMPUTED_VALUE"""),1)</f>
        <v>1</v>
      </c>
      <c r="L1327" s="1">
        <f ca="1">IFERROR(__xludf.DUMMYFUNCTION("""COMPUTED_VALUE"""),0.85)</f>
        <v>0.85</v>
      </c>
      <c r="T1327" s="1">
        <f ca="1">IFERROR(__xludf.DUMMYFUNCTION("""COMPUTED_VALUE"""),489562)</f>
        <v>489562</v>
      </c>
      <c r="U1327" s="1">
        <f ca="1">IFERROR(__xludf.DUMMYFUNCTION("""COMPUTED_VALUE"""),0.85)</f>
        <v>0.85</v>
      </c>
    </row>
    <row r="1328" spans="1:21" ht="12.75" x14ac:dyDescent="0.2">
      <c r="A1328" s="3">
        <f ca="1">IFERROR(__xludf.DUMMYFUNCTION("""COMPUTED_VALUE"""),40148.5465277777)</f>
        <v>40148.546527777697</v>
      </c>
      <c r="B1328" s="1">
        <f ca="1">IFERROR(__xludf.DUMMYFUNCTION("""COMPUTED_VALUE"""),0.85)</f>
        <v>0.85</v>
      </c>
      <c r="J1328" s="1" t="str">
        <f ca="1">IFERROR(__xludf.DUMMYFUNCTION("""COMPUTED_VALUE"""),"HEART DECORATION WITH PEARLS")</f>
        <v>HEART DECORATION WITH PEARLS</v>
      </c>
      <c r="K1328" s="1">
        <f ca="1">IFERROR(__xludf.DUMMYFUNCTION("""COMPUTED_VALUE"""),1)</f>
        <v>1</v>
      </c>
      <c r="L1328" s="1">
        <f ca="1">IFERROR(__xludf.DUMMYFUNCTION("""COMPUTED_VALUE"""),0.85)</f>
        <v>0.85</v>
      </c>
      <c r="T1328" s="1">
        <f ca="1">IFERROR(__xludf.DUMMYFUNCTION("""COMPUTED_VALUE"""),489562)</f>
        <v>489562</v>
      </c>
      <c r="U1328" s="1">
        <f ca="1">IFERROR(__xludf.DUMMYFUNCTION("""COMPUTED_VALUE"""),0.85)</f>
        <v>0.85</v>
      </c>
    </row>
    <row r="1329" spans="1:21" ht="12.75" x14ac:dyDescent="0.2">
      <c r="A1329" s="3">
        <f ca="1">IFERROR(__xludf.DUMMYFUNCTION("""COMPUTED_VALUE"""),40148.5465277777)</f>
        <v>40148.546527777697</v>
      </c>
      <c r="B1329" s="1">
        <f ca="1">IFERROR(__xludf.DUMMYFUNCTION("""COMPUTED_VALUE"""),0.65)</f>
        <v>0.65</v>
      </c>
      <c r="J1329" s="1" t="str">
        <f ca="1">IFERROR(__xludf.DUMMYFUNCTION("""COMPUTED_VALUE"""),"STAR DECORATION PAINTED ZINC")</f>
        <v>STAR DECORATION PAINTED ZINC</v>
      </c>
      <c r="K1329" s="1">
        <f ca="1">IFERROR(__xludf.DUMMYFUNCTION("""COMPUTED_VALUE"""),1)</f>
        <v>1</v>
      </c>
      <c r="L1329" s="1">
        <f ca="1">IFERROR(__xludf.DUMMYFUNCTION("""COMPUTED_VALUE"""),0.65)</f>
        <v>0.65</v>
      </c>
      <c r="T1329" s="1">
        <f ca="1">IFERROR(__xludf.DUMMYFUNCTION("""COMPUTED_VALUE"""),489562)</f>
        <v>489562</v>
      </c>
      <c r="U1329" s="1">
        <f ca="1">IFERROR(__xludf.DUMMYFUNCTION("""COMPUTED_VALUE"""),0.65)</f>
        <v>0.65</v>
      </c>
    </row>
    <row r="1330" spans="1:21" ht="12.75" x14ac:dyDescent="0.2">
      <c r="A1330" s="3">
        <f ca="1">IFERROR(__xludf.DUMMYFUNCTION("""COMPUTED_VALUE"""),40148.5465277777)</f>
        <v>40148.546527777697</v>
      </c>
      <c r="B1330" s="1">
        <f ca="1">IFERROR(__xludf.DUMMYFUNCTION("""COMPUTED_VALUE"""),1.45)</f>
        <v>1.45</v>
      </c>
      <c r="J1330" s="1" t="str">
        <f ca="1">IFERROR(__xludf.DUMMYFUNCTION("""COMPUTED_VALUE"""),"PAINTED METAL TREE WITH HOLLY BELLS")</f>
        <v>PAINTED METAL TREE WITH HOLLY BELLS</v>
      </c>
      <c r="K1330" s="1">
        <f ca="1">IFERROR(__xludf.DUMMYFUNCTION("""COMPUTED_VALUE"""),1)</f>
        <v>1</v>
      </c>
      <c r="L1330" s="1">
        <f ca="1">IFERROR(__xludf.DUMMYFUNCTION("""COMPUTED_VALUE"""),1.45)</f>
        <v>1.45</v>
      </c>
      <c r="T1330" s="1">
        <f ca="1">IFERROR(__xludf.DUMMYFUNCTION("""COMPUTED_VALUE"""),489562)</f>
        <v>489562</v>
      </c>
      <c r="U1330" s="1">
        <f ca="1">IFERROR(__xludf.DUMMYFUNCTION("""COMPUTED_VALUE"""),1.45)</f>
        <v>1.45</v>
      </c>
    </row>
    <row r="1331" spans="1:21" ht="12.75" x14ac:dyDescent="0.2">
      <c r="A1331" s="3">
        <f ca="1">IFERROR(__xludf.DUMMYFUNCTION("""COMPUTED_VALUE"""),40148.5465277777)</f>
        <v>40148.546527777697</v>
      </c>
      <c r="B1331" s="1">
        <f ca="1">IFERROR(__xludf.DUMMYFUNCTION("""COMPUTED_VALUE"""),1.95)</f>
        <v>1.95</v>
      </c>
      <c r="J1331" s="1" t="str">
        <f ca="1">IFERROR(__xludf.DUMMYFUNCTION("""COMPUTED_VALUE"""),"GLITTER CHRISTMAS TREE WITH BELLS")</f>
        <v>GLITTER CHRISTMAS TREE WITH BELLS</v>
      </c>
      <c r="K1331" s="1">
        <f ca="1">IFERROR(__xludf.DUMMYFUNCTION("""COMPUTED_VALUE"""),1)</f>
        <v>1</v>
      </c>
      <c r="L1331" s="1">
        <f ca="1">IFERROR(__xludf.DUMMYFUNCTION("""COMPUTED_VALUE"""),1.95)</f>
        <v>1.95</v>
      </c>
      <c r="T1331" s="1">
        <f ca="1">IFERROR(__xludf.DUMMYFUNCTION("""COMPUTED_VALUE"""),489562)</f>
        <v>489562</v>
      </c>
      <c r="U1331" s="1">
        <f ca="1">IFERROR(__xludf.DUMMYFUNCTION("""COMPUTED_VALUE"""),1.95)</f>
        <v>1.95</v>
      </c>
    </row>
    <row r="1332" spans="1:21" ht="12.75" x14ac:dyDescent="0.2">
      <c r="A1332" s="3">
        <f ca="1">IFERROR(__xludf.DUMMYFUNCTION("""COMPUTED_VALUE"""),40148.5465277777)</f>
        <v>40148.546527777697</v>
      </c>
      <c r="B1332" s="1">
        <f ca="1">IFERROR(__xludf.DUMMYFUNCTION("""COMPUTED_VALUE"""),2.55)</f>
        <v>2.5499999999999998</v>
      </c>
      <c r="J1332" s="1" t="str">
        <f ca="1">IFERROR(__xludf.DUMMYFUNCTION("""COMPUTED_VALUE"""),"WASH BAG VINTAGE ROSE PAISLEY")</f>
        <v>WASH BAG VINTAGE ROSE PAISLEY</v>
      </c>
      <c r="K1332" s="1">
        <f ca="1">IFERROR(__xludf.DUMMYFUNCTION("""COMPUTED_VALUE"""),1)</f>
        <v>1</v>
      </c>
      <c r="L1332" s="1">
        <f ca="1">IFERROR(__xludf.DUMMYFUNCTION("""COMPUTED_VALUE"""),2.55)</f>
        <v>2.5499999999999998</v>
      </c>
      <c r="T1332" s="1">
        <f ca="1">IFERROR(__xludf.DUMMYFUNCTION("""COMPUTED_VALUE"""),489562)</f>
        <v>489562</v>
      </c>
      <c r="U1332" s="1">
        <f ca="1">IFERROR(__xludf.DUMMYFUNCTION("""COMPUTED_VALUE"""),2.55)</f>
        <v>2.5499999999999998</v>
      </c>
    </row>
    <row r="1333" spans="1:21" ht="12.75" x14ac:dyDescent="0.2">
      <c r="A1333" s="3">
        <f ca="1">IFERROR(__xludf.DUMMYFUNCTION("""COMPUTED_VALUE"""),40148.5465277777)</f>
        <v>40148.546527777697</v>
      </c>
      <c r="B1333" s="1">
        <f ca="1">IFERROR(__xludf.DUMMYFUNCTION("""COMPUTED_VALUE"""),2.1)</f>
        <v>2.1</v>
      </c>
      <c r="J1333" s="1" t="str">
        <f ca="1">IFERROR(__xludf.DUMMYFUNCTION("""COMPUTED_VALUE"""),"COSMETIC BAG VINTAGE ROSE PAISLEY")</f>
        <v>COSMETIC BAG VINTAGE ROSE PAISLEY</v>
      </c>
      <c r="K1333" s="1">
        <f ca="1">IFERROR(__xludf.DUMMYFUNCTION("""COMPUTED_VALUE"""),1)</f>
        <v>1</v>
      </c>
      <c r="L1333" s="1">
        <f ca="1">IFERROR(__xludf.DUMMYFUNCTION("""COMPUTED_VALUE"""),2.1)</f>
        <v>2.1</v>
      </c>
      <c r="T1333" s="1">
        <f ca="1">IFERROR(__xludf.DUMMYFUNCTION("""COMPUTED_VALUE"""),489562)</f>
        <v>489562</v>
      </c>
      <c r="U1333" s="1">
        <f ca="1">IFERROR(__xludf.DUMMYFUNCTION("""COMPUTED_VALUE"""),2.1)</f>
        <v>2.1</v>
      </c>
    </row>
    <row r="1334" spans="1:21" ht="12.75" x14ac:dyDescent="0.2">
      <c r="A1334" s="3">
        <f ca="1">IFERROR(__xludf.DUMMYFUNCTION("""COMPUTED_VALUE"""),40148.5465277777)</f>
        <v>40148.546527777697</v>
      </c>
      <c r="B1334" s="1">
        <f ca="1">IFERROR(__xludf.DUMMYFUNCTION("""COMPUTED_VALUE"""),2.95)</f>
        <v>2.95</v>
      </c>
      <c r="J1334" s="1" t="str">
        <f ca="1">IFERROR(__xludf.DUMMYFUNCTION("""COMPUTED_VALUE"""),"SIX STRING SCANDINAVIAN HEART DECS")</f>
        <v>SIX STRING SCANDINAVIAN HEART DECS</v>
      </c>
      <c r="K1334" s="1">
        <f ca="1">IFERROR(__xludf.DUMMYFUNCTION("""COMPUTED_VALUE"""),1)</f>
        <v>1</v>
      </c>
      <c r="L1334" s="1">
        <f ca="1">IFERROR(__xludf.DUMMYFUNCTION("""COMPUTED_VALUE"""),2.95)</f>
        <v>2.95</v>
      </c>
      <c r="T1334" s="1">
        <f ca="1">IFERROR(__xludf.DUMMYFUNCTION("""COMPUTED_VALUE"""),489562)</f>
        <v>489562</v>
      </c>
      <c r="U1334" s="1">
        <f ca="1">IFERROR(__xludf.DUMMYFUNCTION("""COMPUTED_VALUE"""),2.95)</f>
        <v>2.95</v>
      </c>
    </row>
    <row r="1335" spans="1:21" ht="12.75" x14ac:dyDescent="0.2">
      <c r="A1335" s="3">
        <f ca="1">IFERROR(__xludf.DUMMYFUNCTION("""COMPUTED_VALUE"""),40148.5465277777)</f>
        <v>40148.546527777697</v>
      </c>
      <c r="B1335" s="1">
        <f ca="1">IFERROR(__xludf.DUMMYFUNCTION("""COMPUTED_VALUE"""),8.5)</f>
        <v>8.5</v>
      </c>
      <c r="J1335" s="1" t="str">
        <f ca="1">IFERROR(__xludf.DUMMYFUNCTION("""COMPUTED_VALUE"""),"FAMILY ALBUM WHITE PICTURE FRAME")</f>
        <v>FAMILY ALBUM WHITE PICTURE FRAME</v>
      </c>
      <c r="K1335" s="1">
        <f ca="1">IFERROR(__xludf.DUMMYFUNCTION("""COMPUTED_VALUE"""),1)</f>
        <v>1</v>
      </c>
      <c r="L1335" s="1">
        <f ca="1">IFERROR(__xludf.DUMMYFUNCTION("""COMPUTED_VALUE"""),8.5)</f>
        <v>8.5</v>
      </c>
      <c r="T1335" s="1">
        <f ca="1">IFERROR(__xludf.DUMMYFUNCTION("""COMPUTED_VALUE"""),489562)</f>
        <v>489562</v>
      </c>
      <c r="U1335" s="1">
        <f ca="1">IFERROR(__xludf.DUMMYFUNCTION("""COMPUTED_VALUE"""),8.5)</f>
        <v>8.5</v>
      </c>
    </row>
    <row r="1336" spans="1:21" ht="12.75" x14ac:dyDescent="0.2">
      <c r="A1336" s="3">
        <f ca="1">IFERROR(__xludf.DUMMYFUNCTION("""COMPUTED_VALUE"""),40148.5465277777)</f>
        <v>40148.546527777697</v>
      </c>
      <c r="B1336" s="1">
        <f ca="1">IFERROR(__xludf.DUMMYFUNCTION("""COMPUTED_VALUE"""),0.85)</f>
        <v>0.85</v>
      </c>
      <c r="J1336" s="1" t="str">
        <f ca="1">IFERROR(__xludf.DUMMYFUNCTION("""COMPUTED_VALUE"""),"ASSORTED SANTA CHRISTMAS DECORATION")</f>
        <v>ASSORTED SANTA CHRISTMAS DECORATION</v>
      </c>
      <c r="K1336" s="1">
        <f ca="1">IFERROR(__xludf.DUMMYFUNCTION("""COMPUTED_VALUE"""),1)</f>
        <v>1</v>
      </c>
      <c r="L1336" s="1">
        <f ca="1">IFERROR(__xludf.DUMMYFUNCTION("""COMPUTED_VALUE"""),0.85)</f>
        <v>0.85</v>
      </c>
      <c r="T1336" s="1">
        <f ca="1">IFERROR(__xludf.DUMMYFUNCTION("""COMPUTED_VALUE"""),489562)</f>
        <v>489562</v>
      </c>
      <c r="U1336" s="1">
        <f ca="1">IFERROR(__xludf.DUMMYFUNCTION("""COMPUTED_VALUE"""),0.85)</f>
        <v>0.85</v>
      </c>
    </row>
    <row r="1337" spans="1:21" ht="12.75" x14ac:dyDescent="0.2">
      <c r="A1337" s="3">
        <f ca="1">IFERROR(__xludf.DUMMYFUNCTION("""COMPUTED_VALUE"""),40148.5465277777)</f>
        <v>40148.546527777697</v>
      </c>
      <c r="B1337" s="1">
        <f ca="1">IFERROR(__xludf.DUMMYFUNCTION("""COMPUTED_VALUE"""),4.65)</f>
        <v>4.6500000000000004</v>
      </c>
      <c r="J1337" s="1" t="str">
        <f ca="1">IFERROR(__xludf.DUMMYFUNCTION("""COMPUTED_VALUE"""),"PARTY BUNTING")</f>
        <v>PARTY BUNTING</v>
      </c>
      <c r="K1337" s="1">
        <f ca="1">IFERROR(__xludf.DUMMYFUNCTION("""COMPUTED_VALUE"""),1)</f>
        <v>1</v>
      </c>
      <c r="L1337" s="1">
        <f ca="1">IFERROR(__xludf.DUMMYFUNCTION("""COMPUTED_VALUE"""),4.65)</f>
        <v>4.6500000000000004</v>
      </c>
      <c r="T1337" s="1">
        <f ca="1">IFERROR(__xludf.DUMMYFUNCTION("""COMPUTED_VALUE"""),489562)</f>
        <v>489562</v>
      </c>
      <c r="U1337" s="1">
        <f ca="1">IFERROR(__xludf.DUMMYFUNCTION("""COMPUTED_VALUE"""),4.65)</f>
        <v>4.6500000000000004</v>
      </c>
    </row>
    <row r="1338" spans="1:21" ht="12.75" x14ac:dyDescent="0.2">
      <c r="A1338" s="3">
        <f ca="1">IFERROR(__xludf.DUMMYFUNCTION("""COMPUTED_VALUE"""),40148.5465277777)</f>
        <v>40148.546527777697</v>
      </c>
      <c r="B1338" s="1">
        <f ca="1">IFERROR(__xludf.DUMMYFUNCTION("""COMPUTED_VALUE"""),9.95)</f>
        <v>9.9499999999999993</v>
      </c>
      <c r="J1338" s="1" t="str">
        <f ca="1">IFERROR(__xludf.DUMMYFUNCTION("""COMPUTED_VALUE"""),"MOROCCAN BEATEN METAL DISH")</f>
        <v>MOROCCAN BEATEN METAL DISH</v>
      </c>
      <c r="K1338" s="1">
        <f ca="1">IFERROR(__xludf.DUMMYFUNCTION("""COMPUTED_VALUE"""),1)</f>
        <v>1</v>
      </c>
      <c r="L1338" s="1">
        <f ca="1">IFERROR(__xludf.DUMMYFUNCTION("""COMPUTED_VALUE"""),9.95)</f>
        <v>9.9499999999999993</v>
      </c>
      <c r="T1338" s="1">
        <f ca="1">IFERROR(__xludf.DUMMYFUNCTION("""COMPUTED_VALUE"""),489562)</f>
        <v>489562</v>
      </c>
      <c r="U1338" s="1">
        <f ca="1">IFERROR(__xludf.DUMMYFUNCTION("""COMPUTED_VALUE"""),9.95)</f>
        <v>9.9499999999999993</v>
      </c>
    </row>
    <row r="1339" spans="1:21" ht="12.75" x14ac:dyDescent="0.2">
      <c r="A1339" s="3">
        <f ca="1">IFERROR(__xludf.DUMMYFUNCTION("""COMPUTED_VALUE"""),40148.5465277777)</f>
        <v>40148.546527777697</v>
      </c>
      <c r="B1339" s="1">
        <f ca="1">IFERROR(__xludf.DUMMYFUNCTION("""COMPUTED_VALUE"""),5.95)</f>
        <v>5.95</v>
      </c>
      <c r="J1339" s="1" t="str">
        <f ca="1">IFERROR(__xludf.DUMMYFUNCTION("""COMPUTED_VALUE"""),"LOVE BUILDING BLOCK WORD")</f>
        <v>LOVE BUILDING BLOCK WORD</v>
      </c>
      <c r="K1339" s="1">
        <f ca="1">IFERROR(__xludf.DUMMYFUNCTION("""COMPUTED_VALUE"""),1)</f>
        <v>1</v>
      </c>
      <c r="L1339" s="1">
        <f ca="1">IFERROR(__xludf.DUMMYFUNCTION("""COMPUTED_VALUE"""),5.95)</f>
        <v>5.95</v>
      </c>
      <c r="T1339" s="1">
        <f ca="1">IFERROR(__xludf.DUMMYFUNCTION("""COMPUTED_VALUE"""),489562)</f>
        <v>489562</v>
      </c>
      <c r="U1339" s="1">
        <f ca="1">IFERROR(__xludf.DUMMYFUNCTION("""COMPUTED_VALUE"""),5.95)</f>
        <v>5.95</v>
      </c>
    </row>
    <row r="1340" spans="1:21" ht="12.75" x14ac:dyDescent="0.2">
      <c r="A1340" s="3">
        <f ca="1">IFERROR(__xludf.DUMMYFUNCTION("""COMPUTED_VALUE"""),40148.5465277777)</f>
        <v>40148.546527777697</v>
      </c>
      <c r="B1340" s="1">
        <f ca="1">IFERROR(__xludf.DUMMYFUNCTION("""COMPUTED_VALUE"""),12.75)</f>
        <v>12.75</v>
      </c>
      <c r="J1340" s="1" t="str">
        <f ca="1">IFERROR(__xludf.DUMMYFUNCTION("""COMPUTED_VALUE"""),"STRING OF 20 ROSE LIGHTS")</f>
        <v>STRING OF 20 ROSE LIGHTS</v>
      </c>
      <c r="K1340" s="1">
        <f ca="1">IFERROR(__xludf.DUMMYFUNCTION("""COMPUTED_VALUE"""),1)</f>
        <v>1</v>
      </c>
      <c r="L1340" s="1">
        <f ca="1">IFERROR(__xludf.DUMMYFUNCTION("""COMPUTED_VALUE"""),12.75)</f>
        <v>12.75</v>
      </c>
      <c r="T1340" s="1">
        <f ca="1">IFERROR(__xludf.DUMMYFUNCTION("""COMPUTED_VALUE"""),489562)</f>
        <v>489562</v>
      </c>
      <c r="U1340" s="1">
        <f ca="1">IFERROR(__xludf.DUMMYFUNCTION("""COMPUTED_VALUE"""),12.75)</f>
        <v>12.75</v>
      </c>
    </row>
    <row r="1341" spans="1:21" ht="12.75" x14ac:dyDescent="0.2">
      <c r="A1341" s="3">
        <f ca="1">IFERROR(__xludf.DUMMYFUNCTION("""COMPUTED_VALUE"""),40148.5465277777)</f>
        <v>40148.546527777697</v>
      </c>
      <c r="B1341" s="1">
        <f ca="1">IFERROR(__xludf.DUMMYFUNCTION("""COMPUTED_VALUE"""),2.1)</f>
        <v>2.1</v>
      </c>
      <c r="J1341" s="1" t="str">
        <f ca="1">IFERROR(__xludf.DUMMYFUNCTION("""COMPUTED_VALUE"""),"CHRISTMAS CRAFT HEART DECORATIONS")</f>
        <v>CHRISTMAS CRAFT HEART DECORATIONS</v>
      </c>
      <c r="K1341" s="1">
        <f ca="1">IFERROR(__xludf.DUMMYFUNCTION("""COMPUTED_VALUE"""),1)</f>
        <v>1</v>
      </c>
      <c r="L1341" s="1">
        <f ca="1">IFERROR(__xludf.DUMMYFUNCTION("""COMPUTED_VALUE"""),2.1)</f>
        <v>2.1</v>
      </c>
      <c r="T1341" s="1">
        <f ca="1">IFERROR(__xludf.DUMMYFUNCTION("""COMPUTED_VALUE"""),489562)</f>
        <v>489562</v>
      </c>
      <c r="U1341" s="1">
        <f ca="1">IFERROR(__xludf.DUMMYFUNCTION("""COMPUTED_VALUE"""),2.1)</f>
        <v>2.1</v>
      </c>
    </row>
    <row r="1342" spans="1:21" ht="12.75" x14ac:dyDescent="0.2">
      <c r="A1342" s="3">
        <f ca="1">IFERROR(__xludf.DUMMYFUNCTION("""COMPUTED_VALUE"""),40148.5465277777)</f>
        <v>40148.546527777697</v>
      </c>
      <c r="B1342" s="1">
        <f ca="1">IFERROR(__xludf.DUMMYFUNCTION("""COMPUTED_VALUE"""),1.45)</f>
        <v>1.45</v>
      </c>
      <c r="J1342" s="1" t="str">
        <f ca="1">IFERROR(__xludf.DUMMYFUNCTION("""COMPUTED_VALUE"""),"CHRISTMAS CRAFT WHITE FAIRY")</f>
        <v>CHRISTMAS CRAFT WHITE FAIRY</v>
      </c>
      <c r="K1342" s="1">
        <f ca="1">IFERROR(__xludf.DUMMYFUNCTION("""COMPUTED_VALUE"""),1)</f>
        <v>1</v>
      </c>
      <c r="L1342" s="1">
        <f ca="1">IFERROR(__xludf.DUMMYFUNCTION("""COMPUTED_VALUE"""),1.45)</f>
        <v>1.45</v>
      </c>
      <c r="T1342" s="1">
        <f ca="1">IFERROR(__xludf.DUMMYFUNCTION("""COMPUTED_VALUE"""),489562)</f>
        <v>489562</v>
      </c>
      <c r="U1342" s="1">
        <f ca="1">IFERROR(__xludf.DUMMYFUNCTION("""COMPUTED_VALUE"""),1.45)</f>
        <v>1.45</v>
      </c>
    </row>
    <row r="1343" spans="1:21" ht="12.75" x14ac:dyDescent="0.2">
      <c r="A1343" s="3">
        <f ca="1">IFERROR(__xludf.DUMMYFUNCTION("""COMPUTED_VALUE"""),40148.5465277777)</f>
        <v>40148.546527777697</v>
      </c>
      <c r="B1343" s="1">
        <f ca="1">IFERROR(__xludf.DUMMYFUNCTION("""COMPUTED_VALUE"""),6.35)</f>
        <v>6.35</v>
      </c>
      <c r="J1343" s="1" t="str">
        <f ca="1">IFERROR(__xludf.DUMMYFUNCTION("""COMPUTED_VALUE"""),"WHITE BEADED GARLAND STRING 20LIGHT")</f>
        <v>WHITE BEADED GARLAND STRING 20LIGHT</v>
      </c>
      <c r="K1343" s="1">
        <f ca="1">IFERROR(__xludf.DUMMYFUNCTION("""COMPUTED_VALUE"""),1)</f>
        <v>1</v>
      </c>
      <c r="L1343" s="1">
        <f ca="1">IFERROR(__xludf.DUMMYFUNCTION("""COMPUTED_VALUE"""),6.35)</f>
        <v>6.35</v>
      </c>
      <c r="T1343" s="1">
        <f ca="1">IFERROR(__xludf.DUMMYFUNCTION("""COMPUTED_VALUE"""),489562)</f>
        <v>489562</v>
      </c>
      <c r="U1343" s="1">
        <f ca="1">IFERROR(__xludf.DUMMYFUNCTION("""COMPUTED_VALUE"""),6.35)</f>
        <v>6.35</v>
      </c>
    </row>
    <row r="1344" spans="1:21" ht="12.75" x14ac:dyDescent="0.2">
      <c r="A1344" s="3">
        <f ca="1">IFERROR(__xludf.DUMMYFUNCTION("""COMPUTED_VALUE"""),40148.5465277777)</f>
        <v>40148.546527777697</v>
      </c>
      <c r="B1344" s="1">
        <f ca="1">IFERROR(__xludf.DUMMYFUNCTION("""COMPUTED_VALUE"""),4.95)</f>
        <v>4.95</v>
      </c>
      <c r="J1344" s="1" t="str">
        <f ca="1">IFERROR(__xludf.DUMMYFUNCTION("""COMPUTED_VALUE"""),"RETRO SPOT TEA SET CERAMIC 11 PC")</f>
        <v>RETRO SPOT TEA SET CERAMIC 11 PC</v>
      </c>
      <c r="K1344" s="1">
        <f ca="1">IFERROR(__xludf.DUMMYFUNCTION("""COMPUTED_VALUE"""),1)</f>
        <v>1</v>
      </c>
      <c r="L1344" s="1">
        <f ca="1">IFERROR(__xludf.DUMMYFUNCTION("""COMPUTED_VALUE"""),4.95)</f>
        <v>4.95</v>
      </c>
      <c r="T1344" s="1">
        <f ca="1">IFERROR(__xludf.DUMMYFUNCTION("""COMPUTED_VALUE"""),489562)</f>
        <v>489562</v>
      </c>
      <c r="U1344" s="1">
        <f ca="1">IFERROR(__xludf.DUMMYFUNCTION("""COMPUTED_VALUE"""),4.95)</f>
        <v>4.95</v>
      </c>
    </row>
    <row r="1345" spans="1:21" ht="12.75" x14ac:dyDescent="0.2">
      <c r="A1345" s="3">
        <f ca="1">IFERROR(__xludf.DUMMYFUNCTION("""COMPUTED_VALUE"""),40148.5465277777)</f>
        <v>40148.546527777697</v>
      </c>
      <c r="B1345" s="1">
        <f ca="1">IFERROR(__xludf.DUMMYFUNCTION("""COMPUTED_VALUE"""),3.25)</f>
        <v>3.25</v>
      </c>
      <c r="J1345" s="1" t="str">
        <f ca="1">IFERROR(__xludf.DUMMYFUNCTION("""COMPUTED_VALUE"""),"PINK SPOTTY CHILDS UMBRELLA")</f>
        <v>PINK SPOTTY CHILDS UMBRELLA</v>
      </c>
      <c r="K1345" s="1">
        <f ca="1">IFERROR(__xludf.DUMMYFUNCTION("""COMPUTED_VALUE"""),1)</f>
        <v>1</v>
      </c>
      <c r="L1345" s="1">
        <f ca="1">IFERROR(__xludf.DUMMYFUNCTION("""COMPUTED_VALUE"""),3.25)</f>
        <v>3.25</v>
      </c>
      <c r="T1345" s="1">
        <f ca="1">IFERROR(__xludf.DUMMYFUNCTION("""COMPUTED_VALUE"""),489562)</f>
        <v>489562</v>
      </c>
      <c r="U1345" s="1">
        <f ca="1">IFERROR(__xludf.DUMMYFUNCTION("""COMPUTED_VALUE"""),3.25)</f>
        <v>3.25</v>
      </c>
    </row>
    <row r="1346" spans="1:21" ht="12.75" x14ac:dyDescent="0.2">
      <c r="A1346" s="3">
        <f ca="1">IFERROR(__xludf.DUMMYFUNCTION("""COMPUTED_VALUE"""),40148.5465277777)</f>
        <v>40148.546527777697</v>
      </c>
      <c r="B1346" s="1">
        <f ca="1">IFERROR(__xludf.DUMMYFUNCTION("""COMPUTED_VALUE"""),5.95)</f>
        <v>5.95</v>
      </c>
      <c r="J1346" s="1" t="str">
        <f ca="1">IFERROR(__xludf.DUMMYFUNCTION("""COMPUTED_VALUE"""),"PINK/BROWN DOTS RUFFLED UMBRELLA")</f>
        <v>PINK/BROWN DOTS RUFFLED UMBRELLA</v>
      </c>
      <c r="K1346" s="1">
        <f ca="1">IFERROR(__xludf.DUMMYFUNCTION("""COMPUTED_VALUE"""),1)</f>
        <v>1</v>
      </c>
      <c r="L1346" s="1">
        <f ca="1">IFERROR(__xludf.DUMMYFUNCTION("""COMPUTED_VALUE"""),5.95)</f>
        <v>5.95</v>
      </c>
      <c r="T1346" s="1">
        <f ca="1">IFERROR(__xludf.DUMMYFUNCTION("""COMPUTED_VALUE"""),489562)</f>
        <v>489562</v>
      </c>
      <c r="U1346" s="1">
        <f ca="1">IFERROR(__xludf.DUMMYFUNCTION("""COMPUTED_VALUE"""),5.95)</f>
        <v>5.95</v>
      </c>
    </row>
    <row r="1347" spans="1:21" ht="12.75" x14ac:dyDescent="0.2">
      <c r="A1347" s="3">
        <f ca="1">IFERROR(__xludf.DUMMYFUNCTION("""COMPUTED_VALUE"""),40148.5465277777)</f>
        <v>40148.546527777697</v>
      </c>
      <c r="B1347" s="1">
        <f ca="1">IFERROR(__xludf.DUMMYFUNCTION("""COMPUTED_VALUE"""),12.75)</f>
        <v>12.75</v>
      </c>
      <c r="J1347" s="1" t="str">
        <f ca="1">IFERROR(__xludf.DUMMYFUNCTION("""COMPUTED_VALUE"""),"WHITE SWEETHEARTS CABINET 4 DRAWERS")</f>
        <v>WHITE SWEETHEARTS CABINET 4 DRAWERS</v>
      </c>
      <c r="K1347" s="1">
        <f ca="1">IFERROR(__xludf.DUMMYFUNCTION("""COMPUTED_VALUE"""),1)</f>
        <v>1</v>
      </c>
      <c r="L1347" s="1">
        <f ca="1">IFERROR(__xludf.DUMMYFUNCTION("""COMPUTED_VALUE"""),12.75)</f>
        <v>12.75</v>
      </c>
      <c r="T1347" s="1">
        <f ca="1">IFERROR(__xludf.DUMMYFUNCTION("""COMPUTED_VALUE"""),489562)</f>
        <v>489562</v>
      </c>
      <c r="U1347" s="1">
        <f ca="1">IFERROR(__xludf.DUMMYFUNCTION("""COMPUTED_VALUE"""),12.75)</f>
        <v>12.75</v>
      </c>
    </row>
    <row r="1348" spans="1:21" ht="12.75" x14ac:dyDescent="0.2">
      <c r="A1348" s="3">
        <f ca="1">IFERROR(__xludf.DUMMYFUNCTION("""COMPUTED_VALUE"""),40148.5465277777)</f>
        <v>40148.546527777697</v>
      </c>
      <c r="B1348" s="1">
        <f ca="1">IFERROR(__xludf.DUMMYFUNCTION("""COMPUTED_VALUE"""),3.95)</f>
        <v>3.95</v>
      </c>
      <c r="J1348" s="1" t="str">
        <f ca="1">IFERROR(__xludf.DUMMYFUNCTION("""COMPUTED_VALUE"""),"ANT WHITE WIRE HEART SPIRAL")</f>
        <v>ANT WHITE WIRE HEART SPIRAL</v>
      </c>
      <c r="K1348" s="1">
        <f ca="1">IFERROR(__xludf.DUMMYFUNCTION("""COMPUTED_VALUE"""),1)</f>
        <v>1</v>
      </c>
      <c r="L1348" s="1">
        <f ca="1">IFERROR(__xludf.DUMMYFUNCTION("""COMPUTED_VALUE"""),3.95)</f>
        <v>3.95</v>
      </c>
      <c r="T1348" s="1">
        <f ca="1">IFERROR(__xludf.DUMMYFUNCTION("""COMPUTED_VALUE"""),489562)</f>
        <v>489562</v>
      </c>
      <c r="U1348" s="1">
        <f ca="1">IFERROR(__xludf.DUMMYFUNCTION("""COMPUTED_VALUE"""),3.95)</f>
        <v>3.95</v>
      </c>
    </row>
    <row r="1349" spans="1:21" ht="12.75" x14ac:dyDescent="0.2">
      <c r="A1349" s="3">
        <f ca="1">IFERROR(__xludf.DUMMYFUNCTION("""COMPUTED_VALUE"""),40148.5465277777)</f>
        <v>40148.546527777697</v>
      </c>
      <c r="B1349" s="1">
        <f ca="1">IFERROR(__xludf.DUMMYFUNCTION("""COMPUTED_VALUE"""),12.75)</f>
        <v>12.75</v>
      </c>
      <c r="J1349" s="1" t="str">
        <f ca="1">IFERROR(__xludf.DUMMYFUNCTION("""COMPUTED_VALUE"""),"NEW BAROQUE WALL MIRROR")</f>
        <v>NEW BAROQUE WALL MIRROR</v>
      </c>
      <c r="K1349" s="1">
        <f ca="1">IFERROR(__xludf.DUMMYFUNCTION("""COMPUTED_VALUE"""),1)</f>
        <v>1</v>
      </c>
      <c r="L1349" s="1">
        <f ca="1">IFERROR(__xludf.DUMMYFUNCTION("""COMPUTED_VALUE"""),12.75)</f>
        <v>12.75</v>
      </c>
      <c r="T1349" s="1">
        <f ca="1">IFERROR(__xludf.DUMMYFUNCTION("""COMPUTED_VALUE"""),489562)</f>
        <v>489562</v>
      </c>
      <c r="U1349" s="1">
        <f ca="1">IFERROR(__xludf.DUMMYFUNCTION("""COMPUTED_VALUE"""),12.75)</f>
        <v>12.75</v>
      </c>
    </row>
    <row r="1350" spans="1:21" ht="12.75" x14ac:dyDescent="0.2">
      <c r="A1350" s="3">
        <f ca="1">IFERROR(__xludf.DUMMYFUNCTION("""COMPUTED_VALUE"""),40148.5465277777)</f>
        <v>40148.546527777697</v>
      </c>
      <c r="B1350" s="1">
        <f ca="1">IFERROR(__xludf.DUMMYFUNCTION("""COMPUTED_VALUE"""),45.95)</f>
        <v>45.95</v>
      </c>
      <c r="J1350" s="1" t="str">
        <f ca="1">IFERROR(__xludf.DUMMYFUNCTION("""COMPUTED_VALUE"""),"PINK AND LILAC QUILTED THROW")</f>
        <v>PINK AND LILAC QUILTED THROW</v>
      </c>
      <c r="K1350" s="1">
        <f ca="1">IFERROR(__xludf.DUMMYFUNCTION("""COMPUTED_VALUE"""),1)</f>
        <v>1</v>
      </c>
      <c r="L1350" s="1">
        <f ca="1">IFERROR(__xludf.DUMMYFUNCTION("""COMPUTED_VALUE"""),45.95)</f>
        <v>45.95</v>
      </c>
      <c r="T1350" s="1">
        <f ca="1">IFERROR(__xludf.DUMMYFUNCTION("""COMPUTED_VALUE"""),489562)</f>
        <v>489562</v>
      </c>
      <c r="U1350" s="1">
        <f ca="1">IFERROR(__xludf.DUMMYFUNCTION("""COMPUTED_VALUE"""),45.95)</f>
        <v>45.95</v>
      </c>
    </row>
    <row r="1351" spans="1:21" ht="12.75" x14ac:dyDescent="0.2">
      <c r="A1351" s="3">
        <f ca="1">IFERROR(__xludf.DUMMYFUNCTION("""COMPUTED_VALUE"""),40148.5465277777)</f>
        <v>40148.546527777697</v>
      </c>
      <c r="B1351" s="1">
        <f ca="1">IFERROR(__xludf.DUMMYFUNCTION("""COMPUTED_VALUE"""),5.95)</f>
        <v>5.95</v>
      </c>
      <c r="J1351" s="1" t="str">
        <f ca="1">IFERROR(__xludf.DUMMYFUNCTION("""COMPUTED_VALUE"""),"PINK PAISLEY CUSHION COVER")</f>
        <v>PINK PAISLEY CUSHION COVER</v>
      </c>
      <c r="K1351" s="1">
        <f ca="1">IFERROR(__xludf.DUMMYFUNCTION("""COMPUTED_VALUE"""),1)</f>
        <v>1</v>
      </c>
      <c r="L1351" s="1">
        <f ca="1">IFERROR(__xludf.DUMMYFUNCTION("""COMPUTED_VALUE"""),5.95)</f>
        <v>5.95</v>
      </c>
      <c r="T1351" s="1">
        <f ca="1">IFERROR(__xludf.DUMMYFUNCTION("""COMPUTED_VALUE"""),489562)</f>
        <v>489562</v>
      </c>
      <c r="U1351" s="1">
        <f ca="1">IFERROR(__xludf.DUMMYFUNCTION("""COMPUTED_VALUE"""),5.95)</f>
        <v>5.95</v>
      </c>
    </row>
    <row r="1352" spans="1:21" ht="12.75" x14ac:dyDescent="0.2">
      <c r="A1352" s="3">
        <f ca="1">IFERROR(__xludf.DUMMYFUNCTION("""COMPUTED_VALUE"""),40148.5465277777)</f>
        <v>40148.546527777697</v>
      </c>
      <c r="B1352" s="1">
        <f ca="1">IFERROR(__xludf.DUMMYFUNCTION("""COMPUTED_VALUE"""),5.95)</f>
        <v>5.95</v>
      </c>
      <c r="J1352" s="1" t="str">
        <f ca="1">IFERROR(__xludf.DUMMYFUNCTION("""COMPUTED_VALUE"""),"WHITE ROSE C/COVER")</f>
        <v>WHITE ROSE C/COVER</v>
      </c>
      <c r="K1352" s="1">
        <f ca="1">IFERROR(__xludf.DUMMYFUNCTION("""COMPUTED_VALUE"""),1)</f>
        <v>1</v>
      </c>
      <c r="L1352" s="1">
        <f ca="1">IFERROR(__xludf.DUMMYFUNCTION("""COMPUTED_VALUE"""),5.95)</f>
        <v>5.95</v>
      </c>
      <c r="T1352" s="1">
        <f ca="1">IFERROR(__xludf.DUMMYFUNCTION("""COMPUTED_VALUE"""),489562)</f>
        <v>489562</v>
      </c>
      <c r="U1352" s="1">
        <f ca="1">IFERROR(__xludf.DUMMYFUNCTION("""COMPUTED_VALUE"""),5.95)</f>
        <v>5.95</v>
      </c>
    </row>
    <row r="1353" spans="1:21" ht="12.75" x14ac:dyDescent="0.2">
      <c r="A1353" s="3">
        <f ca="1">IFERROR(__xludf.DUMMYFUNCTION("""COMPUTED_VALUE"""),40148.5465277777)</f>
        <v>40148.546527777697</v>
      </c>
      <c r="B1353" s="1">
        <f ca="1">IFERROR(__xludf.DUMMYFUNCTION("""COMPUTED_VALUE"""),3.75)</f>
        <v>3.75</v>
      </c>
      <c r="J1353" s="1" t="str">
        <f ca="1">IFERROR(__xludf.DUMMYFUNCTION("""COMPUTED_VALUE"""),"MOUSE TOY WITH PINK T-SHIRT")</f>
        <v>MOUSE TOY WITH PINK T-SHIRT</v>
      </c>
      <c r="K1353" s="1">
        <f ca="1">IFERROR(__xludf.DUMMYFUNCTION("""COMPUTED_VALUE"""),1)</f>
        <v>1</v>
      </c>
      <c r="L1353" s="1">
        <f ca="1">IFERROR(__xludf.DUMMYFUNCTION("""COMPUTED_VALUE"""),3.75)</f>
        <v>3.75</v>
      </c>
      <c r="T1353" s="1">
        <f ca="1">IFERROR(__xludf.DUMMYFUNCTION("""COMPUTED_VALUE"""),489562)</f>
        <v>489562</v>
      </c>
      <c r="U1353" s="1">
        <f ca="1">IFERROR(__xludf.DUMMYFUNCTION("""COMPUTED_VALUE"""),3.75)</f>
        <v>3.75</v>
      </c>
    </row>
    <row r="1354" spans="1:21" ht="12.75" x14ac:dyDescent="0.2">
      <c r="A1354" s="3">
        <f ca="1">IFERROR(__xludf.DUMMYFUNCTION("""COMPUTED_VALUE"""),40148.5465277777)</f>
        <v>40148.546527777697</v>
      </c>
      <c r="B1354" s="1">
        <f ca="1">IFERROR(__xludf.DUMMYFUNCTION("""COMPUTED_VALUE"""),0.42)</f>
        <v>0.42</v>
      </c>
      <c r="J1354" s="1" t="str">
        <f ca="1">IFERROR(__xludf.DUMMYFUNCTION("""COMPUTED_VALUE"""),"SMALLFOLKART BAUBLE CHRISTMAS DEC")</f>
        <v>SMALLFOLKART BAUBLE CHRISTMAS DEC</v>
      </c>
      <c r="K1354" s="1">
        <f ca="1">IFERROR(__xludf.DUMMYFUNCTION("""COMPUTED_VALUE"""),1)</f>
        <v>1</v>
      </c>
      <c r="L1354" s="1">
        <f ca="1">IFERROR(__xludf.DUMMYFUNCTION("""COMPUTED_VALUE"""),0.42)</f>
        <v>0.42</v>
      </c>
      <c r="T1354" s="1">
        <f ca="1">IFERROR(__xludf.DUMMYFUNCTION("""COMPUTED_VALUE"""),489562)</f>
        <v>489562</v>
      </c>
      <c r="U1354" s="1">
        <f ca="1">IFERROR(__xludf.DUMMYFUNCTION("""COMPUTED_VALUE"""),0.42)</f>
        <v>0.42</v>
      </c>
    </row>
    <row r="1355" spans="1:21" ht="12.75" x14ac:dyDescent="0.2">
      <c r="A1355" s="3">
        <f ca="1">IFERROR(__xludf.DUMMYFUNCTION("""COMPUTED_VALUE"""),40148.5465277777)</f>
        <v>40148.546527777697</v>
      </c>
      <c r="B1355" s="1">
        <f ca="1">IFERROR(__xludf.DUMMYFUNCTION("""COMPUTED_VALUE"""),2.1)</f>
        <v>2.1</v>
      </c>
      <c r="J1355" s="1" t="str">
        <f ca="1">IFERROR(__xludf.DUMMYFUNCTION("""COMPUTED_VALUE"""),"12 ASS ZINC CHRISTMAS DECORATIONS")</f>
        <v>12 ASS ZINC CHRISTMAS DECORATIONS</v>
      </c>
      <c r="K1355" s="1">
        <f ca="1">IFERROR(__xludf.DUMMYFUNCTION("""COMPUTED_VALUE"""),1)</f>
        <v>1</v>
      </c>
      <c r="L1355" s="1">
        <f ca="1">IFERROR(__xludf.DUMMYFUNCTION("""COMPUTED_VALUE"""),2.1)</f>
        <v>2.1</v>
      </c>
      <c r="T1355" s="1">
        <f ca="1">IFERROR(__xludf.DUMMYFUNCTION("""COMPUTED_VALUE"""),489562)</f>
        <v>489562</v>
      </c>
      <c r="U1355" s="1">
        <f ca="1">IFERROR(__xludf.DUMMYFUNCTION("""COMPUTED_VALUE"""),2.1)</f>
        <v>2.1</v>
      </c>
    </row>
    <row r="1356" spans="1:21" ht="12.75" x14ac:dyDescent="0.2">
      <c r="A1356" s="3">
        <f ca="1">IFERROR(__xludf.DUMMYFUNCTION("""COMPUTED_VALUE"""),40148.5465277777)</f>
        <v>40148.546527777697</v>
      </c>
      <c r="B1356" s="1">
        <f ca="1">IFERROR(__xludf.DUMMYFUNCTION("""COMPUTED_VALUE"""),0.65)</f>
        <v>0.65</v>
      </c>
      <c r="J1356" s="1" t="str">
        <f ca="1">IFERROR(__xludf.DUMMYFUNCTION("""COMPUTED_VALUE"""),"ANGEL DECORATION PAINTED ZINC")</f>
        <v>ANGEL DECORATION PAINTED ZINC</v>
      </c>
      <c r="K1356" s="1">
        <f ca="1">IFERROR(__xludf.DUMMYFUNCTION("""COMPUTED_VALUE"""),1)</f>
        <v>1</v>
      </c>
      <c r="L1356" s="1">
        <f ca="1">IFERROR(__xludf.DUMMYFUNCTION("""COMPUTED_VALUE"""),0.65)</f>
        <v>0.65</v>
      </c>
      <c r="T1356" s="1">
        <f ca="1">IFERROR(__xludf.DUMMYFUNCTION("""COMPUTED_VALUE"""),489562)</f>
        <v>489562</v>
      </c>
      <c r="U1356" s="1">
        <f ca="1">IFERROR(__xludf.DUMMYFUNCTION("""COMPUTED_VALUE"""),0.65)</f>
        <v>0.65</v>
      </c>
    </row>
    <row r="1357" spans="1:21" ht="12.75" x14ac:dyDescent="0.2">
      <c r="A1357" s="3">
        <f ca="1">IFERROR(__xludf.DUMMYFUNCTION("""COMPUTED_VALUE"""),40148.5479166666)</f>
        <v>40148.547916666597</v>
      </c>
      <c r="B1357" s="1">
        <f ca="1">IFERROR(__xludf.DUMMYFUNCTION("""COMPUTED_VALUE"""),0.85)</f>
        <v>0.85</v>
      </c>
      <c r="J1357" s="1" t="str">
        <f ca="1">IFERROR(__xludf.DUMMYFUNCTION("""COMPUTED_VALUE"""),"BLUE CRYSTAL BOOT PHONE CHARM")</f>
        <v>BLUE CRYSTAL BOOT PHONE CHARM</v>
      </c>
      <c r="K1357" s="1">
        <f ca="1">IFERROR(__xludf.DUMMYFUNCTION("""COMPUTED_VALUE"""),-3)</f>
        <v>-3</v>
      </c>
      <c r="L1357" s="1">
        <f ca="1">IFERROR(__xludf.DUMMYFUNCTION("""COMPUTED_VALUE"""),0.85)</f>
        <v>0.85</v>
      </c>
      <c r="T1357" s="1"/>
      <c r="U1357" s="1">
        <f ca="1">IFERROR(__xludf.DUMMYFUNCTION("""COMPUTED_VALUE"""),-2.55)</f>
        <v>-2.5499999999999998</v>
      </c>
    </row>
    <row r="1358" spans="1:21" ht="12.75" x14ac:dyDescent="0.2">
      <c r="A1358" s="3">
        <f ca="1">IFERROR(__xludf.DUMMYFUNCTION("""COMPUTED_VALUE"""),40148.5479166666)</f>
        <v>40148.547916666597</v>
      </c>
      <c r="B1358" s="1">
        <f ca="1">IFERROR(__xludf.DUMMYFUNCTION("""COMPUTED_VALUE"""),0.85)</f>
        <v>0.85</v>
      </c>
      <c r="J1358" s="1" t="str">
        <f ca="1">IFERROR(__xludf.DUMMYFUNCTION("""COMPUTED_VALUE"""),"PINK CRYSTAL GUITAR PHONE CHARM")</f>
        <v>PINK CRYSTAL GUITAR PHONE CHARM</v>
      </c>
      <c r="K1358" s="1">
        <f ca="1">IFERROR(__xludf.DUMMYFUNCTION("""COMPUTED_VALUE"""),-12)</f>
        <v>-12</v>
      </c>
      <c r="L1358" s="1">
        <f ca="1">IFERROR(__xludf.DUMMYFUNCTION("""COMPUTED_VALUE"""),0.85)</f>
        <v>0.85</v>
      </c>
      <c r="T1358" s="1"/>
      <c r="U1358" s="1">
        <f ca="1">IFERROR(__xludf.DUMMYFUNCTION("""COMPUTED_VALUE"""),-10.2)</f>
        <v>-10.199999999999999</v>
      </c>
    </row>
    <row r="1359" spans="1:21" ht="12.75" x14ac:dyDescent="0.2">
      <c r="A1359" s="3">
        <f ca="1">IFERROR(__xludf.DUMMYFUNCTION("""COMPUTED_VALUE"""),40148.5479166666)</f>
        <v>40148.547916666597</v>
      </c>
      <c r="B1359" s="1">
        <f ca="1">IFERROR(__xludf.DUMMYFUNCTION("""COMPUTED_VALUE"""),0.85)</f>
        <v>0.85</v>
      </c>
      <c r="J1359" s="1" t="str">
        <f ca="1">IFERROR(__xludf.DUMMYFUNCTION("""COMPUTED_VALUE"""),"PINK CRYSTAL HEART PHONE CHARM")</f>
        <v>PINK CRYSTAL HEART PHONE CHARM</v>
      </c>
      <c r="K1359" s="1">
        <f ca="1">IFERROR(__xludf.DUMMYFUNCTION("""COMPUTED_VALUE"""),-12)</f>
        <v>-12</v>
      </c>
      <c r="L1359" s="1">
        <f ca="1">IFERROR(__xludf.DUMMYFUNCTION("""COMPUTED_VALUE"""),0.85)</f>
        <v>0.85</v>
      </c>
      <c r="T1359" s="1"/>
      <c r="U1359" s="1">
        <f ca="1">IFERROR(__xludf.DUMMYFUNCTION("""COMPUTED_VALUE"""),-10.2)</f>
        <v>-10.199999999999999</v>
      </c>
    </row>
    <row r="1360" spans="1:21" ht="12.75" x14ac:dyDescent="0.2">
      <c r="A1360" s="3">
        <f ca="1">IFERROR(__xludf.DUMMYFUNCTION("""COMPUTED_VALUE"""),40148.5479166666)</f>
        <v>40148.547916666597</v>
      </c>
      <c r="B1360" s="1">
        <f ca="1">IFERROR(__xludf.DUMMYFUNCTION("""COMPUTED_VALUE"""),0.85)</f>
        <v>0.85</v>
      </c>
      <c r="J1360" s="1" t="str">
        <f ca="1">IFERROR(__xludf.DUMMYFUNCTION("""COMPUTED_VALUE"""),"CRYSTAL KEY+LOCK PHONE CHARM")</f>
        <v>CRYSTAL KEY+LOCK PHONE CHARM</v>
      </c>
      <c r="K1360" s="1">
        <f ca="1">IFERROR(__xludf.DUMMYFUNCTION("""COMPUTED_VALUE"""),-24)</f>
        <v>-24</v>
      </c>
      <c r="L1360" s="1">
        <f ca="1">IFERROR(__xludf.DUMMYFUNCTION("""COMPUTED_VALUE"""),0.85)</f>
        <v>0.85</v>
      </c>
      <c r="T1360" s="1"/>
      <c r="U1360" s="1">
        <f ca="1">IFERROR(__xludf.DUMMYFUNCTION("""COMPUTED_VALUE"""),-20.4)</f>
        <v>-20.399999999999999</v>
      </c>
    </row>
    <row r="1361" spans="1:21" ht="12.75" x14ac:dyDescent="0.2">
      <c r="A1361" s="3">
        <f ca="1">IFERROR(__xludf.DUMMYFUNCTION("""COMPUTED_VALUE"""),40148.5479166666)</f>
        <v>40148.547916666597</v>
      </c>
      <c r="B1361" s="1">
        <f ca="1">IFERROR(__xludf.DUMMYFUNCTION("""COMPUTED_VALUE"""),0.85)</f>
        <v>0.85</v>
      </c>
      <c r="J1361" s="1" t="str">
        <f ca="1">IFERROR(__xludf.DUMMYFUNCTION("""COMPUTED_VALUE"""),"PINK CRYSTAL HEART PHONE CHARM")</f>
        <v>PINK CRYSTAL HEART PHONE CHARM</v>
      </c>
      <c r="K1361" s="1">
        <f ca="1">IFERROR(__xludf.DUMMYFUNCTION("""COMPUTED_VALUE"""),-24)</f>
        <v>-24</v>
      </c>
      <c r="L1361" s="1">
        <f ca="1">IFERROR(__xludf.DUMMYFUNCTION("""COMPUTED_VALUE"""),0.85)</f>
        <v>0.85</v>
      </c>
      <c r="T1361" s="1"/>
      <c r="U1361" s="1">
        <f ca="1">IFERROR(__xludf.DUMMYFUNCTION("""COMPUTED_VALUE"""),-20.4)</f>
        <v>-20.399999999999999</v>
      </c>
    </row>
    <row r="1362" spans="1:21" ht="12.75" x14ac:dyDescent="0.2">
      <c r="A1362" s="3">
        <f ca="1">IFERROR(__xludf.DUMMYFUNCTION("""COMPUTED_VALUE"""),40148.5479166666)</f>
        <v>40148.547916666597</v>
      </c>
      <c r="B1362" s="1">
        <f ca="1">IFERROR(__xludf.DUMMYFUNCTION("""COMPUTED_VALUE"""),0.85)</f>
        <v>0.85</v>
      </c>
      <c r="J1362" s="1" t="str">
        <f ca="1">IFERROR(__xludf.DUMMYFUNCTION("""COMPUTED_VALUE"""),"CLEAR CRYSTAL STAR PHONE CHARM")</f>
        <v>CLEAR CRYSTAL STAR PHONE CHARM</v>
      </c>
      <c r="K1362" s="1">
        <f ca="1">IFERROR(__xludf.DUMMYFUNCTION("""COMPUTED_VALUE"""),-24)</f>
        <v>-24</v>
      </c>
      <c r="L1362" s="1">
        <f ca="1">IFERROR(__xludf.DUMMYFUNCTION("""COMPUTED_VALUE"""),0.85)</f>
        <v>0.85</v>
      </c>
      <c r="T1362" s="1"/>
      <c r="U1362" s="1">
        <f ca="1">IFERROR(__xludf.DUMMYFUNCTION("""COMPUTED_VALUE"""),-20.4)</f>
        <v>-20.399999999999999</v>
      </c>
    </row>
    <row r="1363" spans="1:21" ht="12.75" x14ac:dyDescent="0.2">
      <c r="A1363" s="3">
        <f ca="1">IFERROR(__xludf.DUMMYFUNCTION("""COMPUTED_VALUE"""),40148.5479166666)</f>
        <v>40148.547916666597</v>
      </c>
      <c r="B1363" s="1">
        <f ca="1">IFERROR(__xludf.DUMMYFUNCTION("""COMPUTED_VALUE"""),0.85)</f>
        <v>0.85</v>
      </c>
      <c r="J1363" s="1" t="str">
        <f ca="1">IFERROR(__xludf.DUMMYFUNCTION("""COMPUTED_VALUE"""),"BLUE CRYSTAL BOOT PHONE CHARM")</f>
        <v>BLUE CRYSTAL BOOT PHONE CHARM</v>
      </c>
      <c r="K1363" s="1">
        <f ca="1">IFERROR(__xludf.DUMMYFUNCTION("""COMPUTED_VALUE"""),-24)</f>
        <v>-24</v>
      </c>
      <c r="L1363" s="1">
        <f ca="1">IFERROR(__xludf.DUMMYFUNCTION("""COMPUTED_VALUE"""),0.85)</f>
        <v>0.85</v>
      </c>
      <c r="T1363" s="1"/>
      <c r="U1363" s="1">
        <f ca="1">IFERROR(__xludf.DUMMYFUNCTION("""COMPUTED_VALUE"""),-20.4)</f>
        <v>-20.399999999999999</v>
      </c>
    </row>
    <row r="1364" spans="1:21" ht="12.75" x14ac:dyDescent="0.2">
      <c r="A1364" s="3">
        <f ca="1">IFERROR(__xludf.DUMMYFUNCTION("""COMPUTED_VALUE"""),40148.5479166666)</f>
        <v>40148.547916666597</v>
      </c>
      <c r="B1364" s="1">
        <f ca="1">IFERROR(__xludf.DUMMYFUNCTION("""COMPUTED_VALUE"""),0.85)</f>
        <v>0.85</v>
      </c>
      <c r="J1364" s="1" t="str">
        <f ca="1">IFERROR(__xludf.DUMMYFUNCTION("""COMPUTED_VALUE"""),"CRYSTAL SEA HORSE PHONE CHARM")</f>
        <v>CRYSTAL SEA HORSE PHONE CHARM</v>
      </c>
      <c r="K1364" s="1">
        <f ca="1">IFERROR(__xludf.DUMMYFUNCTION("""COMPUTED_VALUE"""),-48)</f>
        <v>-48</v>
      </c>
      <c r="L1364" s="1">
        <f ca="1">IFERROR(__xludf.DUMMYFUNCTION("""COMPUTED_VALUE"""),0.85)</f>
        <v>0.85</v>
      </c>
      <c r="T1364" s="1"/>
      <c r="U1364" s="1">
        <f ca="1">IFERROR(__xludf.DUMMYFUNCTION("""COMPUTED_VALUE"""),-40.8)</f>
        <v>-40.799999999999997</v>
      </c>
    </row>
    <row r="1365" spans="1:21" ht="12.75" x14ac:dyDescent="0.2">
      <c r="A1365" s="3">
        <f ca="1">IFERROR(__xludf.DUMMYFUNCTION("""COMPUTED_VALUE"""),40148.5479166666)</f>
        <v>40148.547916666597</v>
      </c>
      <c r="B1365" s="1">
        <f ca="1">IFERROR(__xludf.DUMMYFUNCTION("""COMPUTED_VALUE"""),0.85)</f>
        <v>0.85</v>
      </c>
      <c r="J1365" s="1" t="str">
        <f ca="1">IFERROR(__xludf.DUMMYFUNCTION("""COMPUTED_VALUE"""),"CRYSTAL STILETTO PHONE CHARM")</f>
        <v>CRYSTAL STILETTO PHONE CHARM</v>
      </c>
      <c r="K1365" s="1">
        <f ca="1">IFERROR(__xludf.DUMMYFUNCTION("""COMPUTED_VALUE"""),-81)</f>
        <v>-81</v>
      </c>
      <c r="L1365" s="1">
        <f ca="1">IFERROR(__xludf.DUMMYFUNCTION("""COMPUTED_VALUE"""),0.85)</f>
        <v>0.85</v>
      </c>
      <c r="T1365" s="1"/>
      <c r="U1365" s="1">
        <f ca="1">IFERROR(__xludf.DUMMYFUNCTION("""COMPUTED_VALUE"""),-68.85)</f>
        <v>-68.849999999999994</v>
      </c>
    </row>
    <row r="1366" spans="1:21" ht="12.75" x14ac:dyDescent="0.2">
      <c r="A1366" s="3">
        <f ca="1">IFERROR(__xludf.DUMMYFUNCTION("""COMPUTED_VALUE"""),40148.5506944444)</f>
        <v>40148.550694444399</v>
      </c>
      <c r="B1366" s="1">
        <f ca="1">IFERROR(__xludf.DUMMYFUNCTION("""COMPUTED_VALUE"""),0.85)</f>
        <v>0.85</v>
      </c>
      <c r="J1366" s="1" t="str">
        <f ca="1">IFERROR(__xludf.DUMMYFUNCTION("""COMPUTED_VALUE"""),"CRYSTAL STILETTO PHONE CHARM")</f>
        <v>CRYSTAL STILETTO PHONE CHARM</v>
      </c>
      <c r="K1366" s="1">
        <f ca="1">IFERROR(__xludf.DUMMYFUNCTION("""COMPUTED_VALUE"""),81)</f>
        <v>81</v>
      </c>
      <c r="L1366" s="1">
        <f ca="1">IFERROR(__xludf.DUMMYFUNCTION("""COMPUTED_VALUE"""),0.85)</f>
        <v>0.85</v>
      </c>
      <c r="T1366" s="1">
        <f ca="1">IFERROR(__xludf.DUMMYFUNCTION("""COMPUTED_VALUE"""),489564)</f>
        <v>489564</v>
      </c>
      <c r="U1366" s="1">
        <f ca="1">IFERROR(__xludf.DUMMYFUNCTION("""COMPUTED_VALUE"""),68.85)</f>
        <v>68.849999999999994</v>
      </c>
    </row>
    <row r="1367" spans="1:21" ht="12.75" x14ac:dyDescent="0.2">
      <c r="A1367" s="3">
        <f ca="1">IFERROR(__xludf.DUMMYFUNCTION("""COMPUTED_VALUE"""),40148.5506944444)</f>
        <v>40148.550694444399</v>
      </c>
      <c r="B1367" s="1">
        <f ca="1">IFERROR(__xludf.DUMMYFUNCTION("""COMPUTED_VALUE"""),0.85)</f>
        <v>0.85</v>
      </c>
      <c r="J1367" s="1" t="str">
        <f ca="1">IFERROR(__xludf.DUMMYFUNCTION("""COMPUTED_VALUE"""),"CRYSTAL SEA HORSE PHONE CHARM")</f>
        <v>CRYSTAL SEA HORSE PHONE CHARM</v>
      </c>
      <c r="K1367" s="1">
        <f ca="1">IFERROR(__xludf.DUMMYFUNCTION("""COMPUTED_VALUE"""),48)</f>
        <v>48</v>
      </c>
      <c r="L1367" s="1">
        <f ca="1">IFERROR(__xludf.DUMMYFUNCTION("""COMPUTED_VALUE"""),0.85)</f>
        <v>0.85</v>
      </c>
      <c r="T1367" s="1">
        <f ca="1">IFERROR(__xludf.DUMMYFUNCTION("""COMPUTED_VALUE"""),489564)</f>
        <v>489564</v>
      </c>
      <c r="U1367" s="1">
        <f ca="1">IFERROR(__xludf.DUMMYFUNCTION("""COMPUTED_VALUE"""),40.8)</f>
        <v>40.799999999999997</v>
      </c>
    </row>
    <row r="1368" spans="1:21" ht="12.75" x14ac:dyDescent="0.2">
      <c r="A1368" s="3">
        <f ca="1">IFERROR(__xludf.DUMMYFUNCTION("""COMPUTED_VALUE"""),40148.5506944444)</f>
        <v>40148.550694444399</v>
      </c>
      <c r="B1368" s="1">
        <f ca="1">IFERROR(__xludf.DUMMYFUNCTION("""COMPUTED_VALUE"""),0.85)</f>
        <v>0.85</v>
      </c>
      <c r="J1368" s="1" t="str">
        <f ca="1">IFERROR(__xludf.DUMMYFUNCTION("""COMPUTED_VALUE"""),"PINK CRYSTAL HEART PHONE CHARM")</f>
        <v>PINK CRYSTAL HEART PHONE CHARM</v>
      </c>
      <c r="K1368" s="1">
        <f ca="1">IFERROR(__xludf.DUMMYFUNCTION("""COMPUTED_VALUE"""),36)</f>
        <v>36</v>
      </c>
      <c r="L1368" s="1">
        <f ca="1">IFERROR(__xludf.DUMMYFUNCTION("""COMPUTED_VALUE"""),0.85)</f>
        <v>0.85</v>
      </c>
      <c r="T1368" s="1">
        <f ca="1">IFERROR(__xludf.DUMMYFUNCTION("""COMPUTED_VALUE"""),489564)</f>
        <v>489564</v>
      </c>
      <c r="U1368" s="1">
        <f ca="1">IFERROR(__xludf.DUMMYFUNCTION("""COMPUTED_VALUE"""),30.5999999999999)</f>
        <v>30.599999999999898</v>
      </c>
    </row>
    <row r="1369" spans="1:21" ht="12.75" x14ac:dyDescent="0.2">
      <c r="A1369" s="3">
        <f ca="1">IFERROR(__xludf.DUMMYFUNCTION("""COMPUTED_VALUE"""),40148.5506944444)</f>
        <v>40148.550694444399</v>
      </c>
      <c r="B1369" s="1">
        <f ca="1">IFERROR(__xludf.DUMMYFUNCTION("""COMPUTED_VALUE"""),0.85)</f>
        <v>0.85</v>
      </c>
      <c r="J1369" s="1" t="str">
        <f ca="1">IFERROR(__xludf.DUMMYFUNCTION("""COMPUTED_VALUE"""),"BLUE CRYSTAL BOOT PHONE CHARM")</f>
        <v>BLUE CRYSTAL BOOT PHONE CHARM</v>
      </c>
      <c r="K1369" s="1">
        <f ca="1">IFERROR(__xludf.DUMMYFUNCTION("""COMPUTED_VALUE"""),24)</f>
        <v>24</v>
      </c>
      <c r="L1369" s="1">
        <f ca="1">IFERROR(__xludf.DUMMYFUNCTION("""COMPUTED_VALUE"""),0.85)</f>
        <v>0.85</v>
      </c>
      <c r="T1369" s="1">
        <f ca="1">IFERROR(__xludf.DUMMYFUNCTION("""COMPUTED_VALUE"""),489564)</f>
        <v>489564</v>
      </c>
      <c r="U1369" s="1">
        <f ca="1">IFERROR(__xludf.DUMMYFUNCTION("""COMPUTED_VALUE"""),20.4)</f>
        <v>20.399999999999999</v>
      </c>
    </row>
    <row r="1370" spans="1:21" ht="12.75" x14ac:dyDescent="0.2">
      <c r="A1370" s="3">
        <f ca="1">IFERROR(__xludf.DUMMYFUNCTION("""COMPUTED_VALUE"""),40148.5506944444)</f>
        <v>40148.550694444399</v>
      </c>
      <c r="B1370" s="1">
        <f ca="1">IFERROR(__xludf.DUMMYFUNCTION("""COMPUTED_VALUE"""),0.85)</f>
        <v>0.85</v>
      </c>
      <c r="J1370" s="1" t="str">
        <f ca="1">IFERROR(__xludf.DUMMYFUNCTION("""COMPUTED_VALUE"""),"CRYSTAL KEY+LOCK PHONE CHARM")</f>
        <v>CRYSTAL KEY+LOCK PHONE CHARM</v>
      </c>
      <c r="K1370" s="1">
        <f ca="1">IFERROR(__xludf.DUMMYFUNCTION("""COMPUTED_VALUE"""),24)</f>
        <v>24</v>
      </c>
      <c r="L1370" s="1">
        <f ca="1">IFERROR(__xludf.DUMMYFUNCTION("""COMPUTED_VALUE"""),0.85)</f>
        <v>0.85</v>
      </c>
      <c r="T1370" s="1">
        <f ca="1">IFERROR(__xludf.DUMMYFUNCTION("""COMPUTED_VALUE"""),489564)</f>
        <v>489564</v>
      </c>
      <c r="U1370" s="1">
        <f ca="1">IFERROR(__xludf.DUMMYFUNCTION("""COMPUTED_VALUE"""),20.4)</f>
        <v>20.399999999999999</v>
      </c>
    </row>
    <row r="1371" spans="1:21" ht="12.75" x14ac:dyDescent="0.2">
      <c r="A1371" s="3">
        <f ca="1">IFERROR(__xludf.DUMMYFUNCTION("""COMPUTED_VALUE"""),40148.5506944444)</f>
        <v>40148.550694444399</v>
      </c>
      <c r="B1371" s="1">
        <f ca="1">IFERROR(__xludf.DUMMYFUNCTION("""COMPUTED_VALUE"""),0.85)</f>
        <v>0.85</v>
      </c>
      <c r="J1371" s="1" t="str">
        <f ca="1">IFERROR(__xludf.DUMMYFUNCTION("""COMPUTED_VALUE"""),"PINK CRYSTAL HEART PHONE CHARM")</f>
        <v>PINK CRYSTAL HEART PHONE CHARM</v>
      </c>
      <c r="K1371" s="1">
        <f ca="1">IFERROR(__xludf.DUMMYFUNCTION("""COMPUTED_VALUE"""),24)</f>
        <v>24</v>
      </c>
      <c r="L1371" s="1">
        <f ca="1">IFERROR(__xludf.DUMMYFUNCTION("""COMPUTED_VALUE"""),0.85)</f>
        <v>0.85</v>
      </c>
      <c r="T1371" s="1">
        <f ca="1">IFERROR(__xludf.DUMMYFUNCTION("""COMPUTED_VALUE"""),489564)</f>
        <v>489564</v>
      </c>
      <c r="U1371" s="1">
        <f ca="1">IFERROR(__xludf.DUMMYFUNCTION("""COMPUTED_VALUE"""),20.4)</f>
        <v>20.399999999999999</v>
      </c>
    </row>
    <row r="1372" spans="1:21" ht="12.75" x14ac:dyDescent="0.2">
      <c r="A1372" s="3">
        <f ca="1">IFERROR(__xludf.DUMMYFUNCTION("""COMPUTED_VALUE"""),40148.5506944444)</f>
        <v>40148.550694444399</v>
      </c>
      <c r="B1372" s="1">
        <f ca="1">IFERROR(__xludf.DUMMYFUNCTION("""COMPUTED_VALUE"""),0.85)</f>
        <v>0.85</v>
      </c>
      <c r="J1372" s="1" t="str">
        <f ca="1">IFERROR(__xludf.DUMMYFUNCTION("""COMPUTED_VALUE"""),"CLEAR CRYSTAL STAR PHONE CHARM")</f>
        <v>CLEAR CRYSTAL STAR PHONE CHARM</v>
      </c>
      <c r="K1372" s="1">
        <f ca="1">IFERROR(__xludf.DUMMYFUNCTION("""COMPUTED_VALUE"""),24)</f>
        <v>24</v>
      </c>
      <c r="L1372" s="1">
        <f ca="1">IFERROR(__xludf.DUMMYFUNCTION("""COMPUTED_VALUE"""),0.85)</f>
        <v>0.85</v>
      </c>
      <c r="T1372" s="1">
        <f ca="1">IFERROR(__xludf.DUMMYFUNCTION("""COMPUTED_VALUE"""),489564)</f>
        <v>489564</v>
      </c>
      <c r="U1372" s="1">
        <f ca="1">IFERROR(__xludf.DUMMYFUNCTION("""COMPUTED_VALUE"""),20.4)</f>
        <v>20.399999999999999</v>
      </c>
    </row>
    <row r="1373" spans="1:21" ht="12.75" x14ac:dyDescent="0.2">
      <c r="A1373" s="3">
        <f ca="1">IFERROR(__xludf.DUMMYFUNCTION("""COMPUTED_VALUE"""),40148.5506944444)</f>
        <v>40148.550694444399</v>
      </c>
      <c r="B1373" s="1">
        <f ca="1">IFERROR(__xludf.DUMMYFUNCTION("""COMPUTED_VALUE"""),2.1)</f>
        <v>2.1</v>
      </c>
      <c r="J1373" s="1" t="str">
        <f ca="1">IFERROR(__xludf.DUMMYFUNCTION("""COMPUTED_VALUE"""),"TURQUOISE BERTIE GLASS BEAD CHARM")</f>
        <v>TURQUOISE BERTIE GLASS BEAD CHARM</v>
      </c>
      <c r="K1373" s="1">
        <f ca="1">IFERROR(__xludf.DUMMYFUNCTION("""COMPUTED_VALUE"""),12)</f>
        <v>12</v>
      </c>
      <c r="L1373" s="1">
        <f ca="1">IFERROR(__xludf.DUMMYFUNCTION("""COMPUTED_VALUE"""),2.1)</f>
        <v>2.1</v>
      </c>
      <c r="T1373" s="1">
        <f ca="1">IFERROR(__xludf.DUMMYFUNCTION("""COMPUTED_VALUE"""),489564)</f>
        <v>489564</v>
      </c>
      <c r="U1373" s="1">
        <f ca="1">IFERROR(__xludf.DUMMYFUNCTION("""COMPUTED_VALUE"""),25.2)</f>
        <v>25.2</v>
      </c>
    </row>
    <row r="1374" spans="1:21" ht="12.75" x14ac:dyDescent="0.2">
      <c r="A1374" s="3">
        <f ca="1">IFERROR(__xludf.DUMMYFUNCTION("""COMPUTED_VALUE"""),40148.5506944444)</f>
        <v>40148.550694444399</v>
      </c>
      <c r="B1374" s="1">
        <f ca="1">IFERROR(__xludf.DUMMYFUNCTION("""COMPUTED_VALUE"""),2.1)</f>
        <v>2.1</v>
      </c>
      <c r="J1374" s="1" t="str">
        <f ca="1">IFERROR(__xludf.DUMMYFUNCTION("""COMPUTED_VALUE"""),"PURPLE BERTIE GLASS BEAD BAG CHARM")</f>
        <v>PURPLE BERTIE GLASS BEAD BAG CHARM</v>
      </c>
      <c r="K1374" s="1">
        <f ca="1">IFERROR(__xludf.DUMMYFUNCTION("""COMPUTED_VALUE"""),12)</f>
        <v>12</v>
      </c>
      <c r="L1374" s="1">
        <f ca="1">IFERROR(__xludf.DUMMYFUNCTION("""COMPUTED_VALUE"""),2.1)</f>
        <v>2.1</v>
      </c>
      <c r="T1374" s="1">
        <f ca="1">IFERROR(__xludf.DUMMYFUNCTION("""COMPUTED_VALUE"""),489564)</f>
        <v>489564</v>
      </c>
      <c r="U1374" s="1">
        <f ca="1">IFERROR(__xludf.DUMMYFUNCTION("""COMPUTED_VALUE"""),25.2)</f>
        <v>25.2</v>
      </c>
    </row>
    <row r="1375" spans="1:21" ht="12.75" x14ac:dyDescent="0.2">
      <c r="A1375" s="3">
        <f ca="1">IFERROR(__xludf.DUMMYFUNCTION("""COMPUTED_VALUE"""),40148.5506944444)</f>
        <v>40148.550694444399</v>
      </c>
      <c r="B1375" s="1">
        <f ca="1">IFERROR(__xludf.DUMMYFUNCTION("""COMPUTED_VALUE"""),2.1)</f>
        <v>2.1</v>
      </c>
      <c r="J1375" s="1" t="str">
        <f ca="1">IFERROR(__xludf.DUMMYFUNCTION("""COMPUTED_VALUE"""),"PINK BERTIE GLASS BEAD BAG CHARM")</f>
        <v>PINK BERTIE GLASS BEAD BAG CHARM</v>
      </c>
      <c r="K1375" s="1">
        <f ca="1">IFERROR(__xludf.DUMMYFUNCTION("""COMPUTED_VALUE"""),12)</f>
        <v>12</v>
      </c>
      <c r="L1375" s="1">
        <f ca="1">IFERROR(__xludf.DUMMYFUNCTION("""COMPUTED_VALUE"""),2.1)</f>
        <v>2.1</v>
      </c>
      <c r="T1375" s="1">
        <f ca="1">IFERROR(__xludf.DUMMYFUNCTION("""COMPUTED_VALUE"""),489564)</f>
        <v>489564</v>
      </c>
      <c r="U1375" s="1">
        <f ca="1">IFERROR(__xludf.DUMMYFUNCTION("""COMPUTED_VALUE"""),25.2)</f>
        <v>25.2</v>
      </c>
    </row>
    <row r="1376" spans="1:21" ht="12.75" x14ac:dyDescent="0.2">
      <c r="A1376" s="3">
        <f ca="1">IFERROR(__xludf.DUMMYFUNCTION("""COMPUTED_VALUE"""),40148.5506944444)</f>
        <v>40148.550694444399</v>
      </c>
      <c r="B1376" s="1">
        <f ca="1">IFERROR(__xludf.DUMMYFUNCTION("""COMPUTED_VALUE"""),0.85)</f>
        <v>0.85</v>
      </c>
      <c r="J1376" s="1" t="str">
        <f ca="1">IFERROR(__xludf.DUMMYFUNCTION("""COMPUTED_VALUE"""),"PINK CRYSTAL HEART PHONE CHARM")</f>
        <v>PINK CRYSTAL HEART PHONE CHARM</v>
      </c>
      <c r="K1376" s="1">
        <f ca="1">IFERROR(__xludf.DUMMYFUNCTION("""COMPUTED_VALUE"""),12)</f>
        <v>12</v>
      </c>
      <c r="L1376" s="1">
        <f ca="1">IFERROR(__xludf.DUMMYFUNCTION("""COMPUTED_VALUE"""),0.85)</f>
        <v>0.85</v>
      </c>
      <c r="T1376" s="1">
        <f ca="1">IFERROR(__xludf.DUMMYFUNCTION("""COMPUTED_VALUE"""),489564)</f>
        <v>489564</v>
      </c>
      <c r="U1376" s="1">
        <f ca="1">IFERROR(__xludf.DUMMYFUNCTION("""COMPUTED_VALUE"""),10.2)</f>
        <v>10.199999999999999</v>
      </c>
    </row>
    <row r="1377" spans="1:21" ht="12.75" x14ac:dyDescent="0.2">
      <c r="A1377" s="3">
        <f ca="1">IFERROR(__xludf.DUMMYFUNCTION("""COMPUTED_VALUE"""),40148.5506944444)</f>
        <v>40148.550694444399</v>
      </c>
      <c r="B1377" s="1">
        <f ca="1">IFERROR(__xludf.DUMMYFUNCTION("""COMPUTED_VALUE"""),0.85)</f>
        <v>0.85</v>
      </c>
      <c r="J1377" s="1" t="str">
        <f ca="1">IFERROR(__xludf.DUMMYFUNCTION("""COMPUTED_VALUE"""),"PINK CRYSTAL GUITAR PHONE CHARM")</f>
        <v>PINK CRYSTAL GUITAR PHONE CHARM</v>
      </c>
      <c r="K1377" s="1">
        <f ca="1">IFERROR(__xludf.DUMMYFUNCTION("""COMPUTED_VALUE"""),12)</f>
        <v>12</v>
      </c>
      <c r="L1377" s="1">
        <f ca="1">IFERROR(__xludf.DUMMYFUNCTION("""COMPUTED_VALUE"""),0.85)</f>
        <v>0.85</v>
      </c>
      <c r="T1377" s="1">
        <f ca="1">IFERROR(__xludf.DUMMYFUNCTION("""COMPUTED_VALUE"""),489564)</f>
        <v>489564</v>
      </c>
      <c r="U1377" s="1">
        <f ca="1">IFERROR(__xludf.DUMMYFUNCTION("""COMPUTED_VALUE"""),10.2)</f>
        <v>10.199999999999999</v>
      </c>
    </row>
    <row r="1378" spans="1:21" ht="12.75" x14ac:dyDescent="0.2">
      <c r="A1378" s="3">
        <f ca="1">IFERROR(__xludf.DUMMYFUNCTION("""COMPUTED_VALUE"""),40148.5506944444)</f>
        <v>40148.550694444399</v>
      </c>
      <c r="B1378" s="1">
        <f ca="1">IFERROR(__xludf.DUMMYFUNCTION("""COMPUTED_VALUE"""),0.85)</f>
        <v>0.85</v>
      </c>
      <c r="J1378" s="1" t="str">
        <f ca="1">IFERROR(__xludf.DUMMYFUNCTION("""COMPUTED_VALUE"""),"BLUE CRYSTAL BOOT PHONE CHARM")</f>
        <v>BLUE CRYSTAL BOOT PHONE CHARM</v>
      </c>
      <c r="K1378" s="1">
        <f ca="1">IFERROR(__xludf.DUMMYFUNCTION("""COMPUTED_VALUE"""),3)</f>
        <v>3</v>
      </c>
      <c r="L1378" s="1">
        <f ca="1">IFERROR(__xludf.DUMMYFUNCTION("""COMPUTED_VALUE"""),0.85)</f>
        <v>0.85</v>
      </c>
      <c r="T1378" s="1">
        <f ca="1">IFERROR(__xludf.DUMMYFUNCTION("""COMPUTED_VALUE"""),489564)</f>
        <v>489564</v>
      </c>
      <c r="U1378" s="1">
        <f ca="1">IFERROR(__xludf.DUMMYFUNCTION("""COMPUTED_VALUE"""),2.55)</f>
        <v>2.5499999999999998</v>
      </c>
    </row>
    <row r="1379" spans="1:21" ht="12.75" x14ac:dyDescent="0.2">
      <c r="A1379" s="3">
        <f ca="1">IFERROR(__xludf.DUMMYFUNCTION("""COMPUTED_VALUE"""),40148.5506944444)</f>
        <v>40148.550694444399</v>
      </c>
      <c r="B1379" s="1">
        <f ca="1">IFERROR(__xludf.DUMMYFUNCTION("""COMPUTED_VALUE"""),1.25)</f>
        <v>1.25</v>
      </c>
      <c r="J1379" s="1" t="str">
        <f ca="1">IFERROR(__xludf.DUMMYFUNCTION("""COMPUTED_VALUE"""),"LETTER ""H"" BLING KEY RING")</f>
        <v>LETTER "H" BLING KEY RING</v>
      </c>
      <c r="K1379" s="1">
        <f ca="1">IFERROR(__xludf.DUMMYFUNCTION("""COMPUTED_VALUE"""),2)</f>
        <v>2</v>
      </c>
      <c r="L1379" s="1">
        <f ca="1">IFERROR(__xludf.DUMMYFUNCTION("""COMPUTED_VALUE"""),1.25)</f>
        <v>1.25</v>
      </c>
      <c r="T1379" s="1">
        <f ca="1">IFERROR(__xludf.DUMMYFUNCTION("""COMPUTED_VALUE"""),489564)</f>
        <v>489564</v>
      </c>
      <c r="U1379" s="1">
        <f ca="1">IFERROR(__xludf.DUMMYFUNCTION("""COMPUTED_VALUE"""),2.5)</f>
        <v>2.5</v>
      </c>
    </row>
    <row r="1380" spans="1:21" ht="12.75" x14ac:dyDescent="0.2">
      <c r="A1380" s="3">
        <f ca="1">IFERROR(__xludf.DUMMYFUNCTION("""COMPUTED_VALUE"""),40148.5513888888)</f>
        <v>40148.551388888802</v>
      </c>
      <c r="B1380" s="1">
        <f ca="1">IFERROR(__xludf.DUMMYFUNCTION("""COMPUTED_VALUE"""),2.1)</f>
        <v>2.1</v>
      </c>
      <c r="J1380" s="1" t="str">
        <f ca="1">IFERROR(__xludf.DUMMYFUNCTION("""COMPUTED_VALUE"""),"PINK BERTIE GLASS BEAD BAG CHARM")</f>
        <v>PINK BERTIE GLASS BEAD BAG CHARM</v>
      </c>
      <c r="K1380" s="1">
        <f ca="1">IFERROR(__xludf.DUMMYFUNCTION("""COMPUTED_VALUE"""),-12)</f>
        <v>-12</v>
      </c>
      <c r="L1380" s="1">
        <f ca="1">IFERROR(__xludf.DUMMYFUNCTION("""COMPUTED_VALUE"""),2.1)</f>
        <v>2.1</v>
      </c>
      <c r="T1380" s="1"/>
      <c r="U1380" s="1">
        <f ca="1">IFERROR(__xludf.DUMMYFUNCTION("""COMPUTED_VALUE"""),-25.2)</f>
        <v>-25.2</v>
      </c>
    </row>
    <row r="1381" spans="1:21" ht="12.75" x14ac:dyDescent="0.2">
      <c r="A1381" s="3">
        <f ca="1">IFERROR(__xludf.DUMMYFUNCTION("""COMPUTED_VALUE"""),40148.5527777777)</f>
        <v>40148.552777777702</v>
      </c>
      <c r="B1381" s="1">
        <f ca="1">IFERROR(__xludf.DUMMYFUNCTION("""COMPUTED_VALUE"""),1.95)</f>
        <v>1.95</v>
      </c>
      <c r="J1381" s="1" t="str">
        <f ca="1">IFERROR(__xludf.DUMMYFUNCTION("""COMPUTED_VALUE"""),"RED SPOTTY CHILDS APRON")</f>
        <v>RED SPOTTY CHILDS APRON</v>
      </c>
      <c r="K1381" s="1">
        <f ca="1">IFERROR(__xludf.DUMMYFUNCTION("""COMPUTED_VALUE"""),8)</f>
        <v>8</v>
      </c>
      <c r="L1381" s="1">
        <f ca="1">IFERROR(__xludf.DUMMYFUNCTION("""COMPUTED_VALUE"""),1.95)</f>
        <v>1.95</v>
      </c>
      <c r="T1381" s="1">
        <f ca="1">IFERROR(__xludf.DUMMYFUNCTION("""COMPUTED_VALUE"""),489566)</f>
        <v>489566</v>
      </c>
      <c r="U1381" s="1">
        <f ca="1">IFERROR(__xludf.DUMMYFUNCTION("""COMPUTED_VALUE"""),15.6)</f>
        <v>15.6</v>
      </c>
    </row>
    <row r="1382" spans="1:21" ht="12.75" x14ac:dyDescent="0.2">
      <c r="A1382" s="3">
        <f ca="1">IFERROR(__xludf.DUMMYFUNCTION("""COMPUTED_VALUE"""),40148.5527777777)</f>
        <v>40148.552777777702</v>
      </c>
      <c r="B1382" s="1">
        <f ca="1">IFERROR(__xludf.DUMMYFUNCTION("""COMPUTED_VALUE"""),1.95)</f>
        <v>1.95</v>
      </c>
      <c r="J1382" s="1" t="str">
        <f ca="1">IFERROR(__xludf.DUMMYFUNCTION("""COMPUTED_VALUE"""),"PINK FAIRY CAKE CHILD'S APRON")</f>
        <v>PINK FAIRY CAKE CHILD'S APRON</v>
      </c>
      <c r="K1382" s="1">
        <f ca="1">IFERROR(__xludf.DUMMYFUNCTION("""COMPUTED_VALUE"""),8)</f>
        <v>8</v>
      </c>
      <c r="L1382" s="1">
        <f ca="1">IFERROR(__xludf.DUMMYFUNCTION("""COMPUTED_VALUE"""),1.95)</f>
        <v>1.95</v>
      </c>
      <c r="T1382" s="1">
        <f ca="1">IFERROR(__xludf.DUMMYFUNCTION("""COMPUTED_VALUE"""),489566)</f>
        <v>489566</v>
      </c>
      <c r="U1382" s="1">
        <f ca="1">IFERROR(__xludf.DUMMYFUNCTION("""COMPUTED_VALUE"""),15.6)</f>
        <v>15.6</v>
      </c>
    </row>
    <row r="1383" spans="1:21" ht="12.75" x14ac:dyDescent="0.2">
      <c r="A1383" s="3">
        <f ca="1">IFERROR(__xludf.DUMMYFUNCTION("""COMPUTED_VALUE"""),40148.5527777777)</f>
        <v>40148.552777777702</v>
      </c>
      <c r="B1383" s="1">
        <f ca="1">IFERROR(__xludf.DUMMYFUNCTION("""COMPUTED_VALUE"""),6.35)</f>
        <v>6.35</v>
      </c>
      <c r="J1383" s="1" t="str">
        <f ca="1">IFERROR(__xludf.DUMMYFUNCTION("""COMPUTED_VALUE"""),"VINTAGE KEEPSAKE BOX PINK FLOWER")</f>
        <v>VINTAGE KEEPSAKE BOX PINK FLOWER</v>
      </c>
      <c r="K1383" s="1">
        <f ca="1">IFERROR(__xludf.DUMMYFUNCTION("""COMPUTED_VALUE"""),6)</f>
        <v>6</v>
      </c>
      <c r="L1383" s="1">
        <f ca="1">IFERROR(__xludf.DUMMYFUNCTION("""COMPUTED_VALUE"""),6.35)</f>
        <v>6.35</v>
      </c>
      <c r="T1383" s="1">
        <f ca="1">IFERROR(__xludf.DUMMYFUNCTION("""COMPUTED_VALUE"""),489566)</f>
        <v>489566</v>
      </c>
      <c r="U1383" s="1">
        <f ca="1">IFERROR(__xludf.DUMMYFUNCTION("""COMPUTED_VALUE"""),38.0999999999999)</f>
        <v>38.099999999999902</v>
      </c>
    </row>
    <row r="1384" spans="1:21" ht="12.75" x14ac:dyDescent="0.2">
      <c r="A1384" s="3">
        <f ca="1">IFERROR(__xludf.DUMMYFUNCTION("""COMPUTED_VALUE"""),40148.5527777777)</f>
        <v>40148.552777777702</v>
      </c>
      <c r="B1384" s="1">
        <f ca="1">IFERROR(__xludf.DUMMYFUNCTION("""COMPUTED_VALUE"""),12.75)</f>
        <v>12.75</v>
      </c>
      <c r="J1384" s="1" t="str">
        <f ca="1">IFERROR(__xludf.DUMMYFUNCTION("""COMPUTED_VALUE"""),"12 EGG HOUSE PAINTED WOOD")</f>
        <v>12 EGG HOUSE PAINTED WOOD</v>
      </c>
      <c r="K1384" s="1">
        <f ca="1">IFERROR(__xludf.DUMMYFUNCTION("""COMPUTED_VALUE"""),4)</f>
        <v>4</v>
      </c>
      <c r="L1384" s="1">
        <f ca="1">IFERROR(__xludf.DUMMYFUNCTION("""COMPUTED_VALUE"""),12.75)</f>
        <v>12.75</v>
      </c>
      <c r="T1384" s="1">
        <f ca="1">IFERROR(__xludf.DUMMYFUNCTION("""COMPUTED_VALUE"""),489566)</f>
        <v>489566</v>
      </c>
      <c r="U1384" s="1">
        <f ca="1">IFERROR(__xludf.DUMMYFUNCTION("""COMPUTED_VALUE"""),51)</f>
        <v>51</v>
      </c>
    </row>
    <row r="1385" spans="1:21" ht="12.75" x14ac:dyDescent="0.2">
      <c r="A1385" s="3">
        <f ca="1">IFERROR(__xludf.DUMMYFUNCTION("""COMPUTED_VALUE"""),40148.5527777777)</f>
        <v>40148.552777777702</v>
      </c>
      <c r="B1385" s="1">
        <f ca="1">IFERROR(__xludf.DUMMYFUNCTION("""COMPUTED_VALUE"""),5.95)</f>
        <v>5.95</v>
      </c>
      <c r="J1385" s="1" t="str">
        <f ca="1">IFERROR(__xludf.DUMMYFUNCTION("""COMPUTED_VALUE"""),"WOOD 2 DRAWER CABINET WHITE FINISH")</f>
        <v>WOOD 2 DRAWER CABINET WHITE FINISH</v>
      </c>
      <c r="K1385" s="1">
        <f ca="1">IFERROR(__xludf.DUMMYFUNCTION("""COMPUTED_VALUE"""),3)</f>
        <v>3</v>
      </c>
      <c r="L1385" s="1">
        <f ca="1">IFERROR(__xludf.DUMMYFUNCTION("""COMPUTED_VALUE"""),5.95)</f>
        <v>5.95</v>
      </c>
      <c r="T1385" s="1">
        <f ca="1">IFERROR(__xludf.DUMMYFUNCTION("""COMPUTED_VALUE"""),489566)</f>
        <v>489566</v>
      </c>
      <c r="U1385" s="1">
        <f ca="1">IFERROR(__xludf.DUMMYFUNCTION("""COMPUTED_VALUE"""),17.85)</f>
        <v>17.850000000000001</v>
      </c>
    </row>
    <row r="1386" spans="1:21" ht="12.75" x14ac:dyDescent="0.2">
      <c r="A1386" s="3">
        <f ca="1">IFERROR(__xludf.DUMMYFUNCTION("""COMPUTED_VALUE"""),40148.5527777777)</f>
        <v>40148.552777777702</v>
      </c>
      <c r="B1386" s="1">
        <f ca="1">IFERROR(__xludf.DUMMYFUNCTION("""COMPUTED_VALUE"""),8.5)</f>
        <v>8.5</v>
      </c>
      <c r="J1386" s="1" t="str">
        <f ca="1">IFERROR(__xludf.DUMMYFUNCTION("""COMPUTED_VALUE"""),"METAL SHELF WITH RAIL")</f>
        <v>METAL SHELF WITH RAIL</v>
      </c>
      <c r="K1386" s="1">
        <f ca="1">IFERROR(__xludf.DUMMYFUNCTION("""COMPUTED_VALUE"""),2)</f>
        <v>2</v>
      </c>
      <c r="L1386" s="1">
        <f ca="1">IFERROR(__xludf.DUMMYFUNCTION("""COMPUTED_VALUE"""),8.5)</f>
        <v>8.5</v>
      </c>
      <c r="T1386" s="1">
        <f ca="1">IFERROR(__xludf.DUMMYFUNCTION("""COMPUTED_VALUE"""),489566)</f>
        <v>489566</v>
      </c>
      <c r="U1386" s="1">
        <f ca="1">IFERROR(__xludf.DUMMYFUNCTION("""COMPUTED_VALUE"""),17)</f>
        <v>17</v>
      </c>
    </row>
    <row r="1387" spans="1:21" ht="12.75" x14ac:dyDescent="0.2">
      <c r="A1387" s="3">
        <f ca="1">IFERROR(__xludf.DUMMYFUNCTION("""COMPUTED_VALUE"""),40148.5527777777)</f>
        <v>40148.552777777702</v>
      </c>
      <c r="B1387" s="1">
        <f ca="1">IFERROR(__xludf.DUMMYFUNCTION("""COMPUTED_VALUE"""),18.95)</f>
        <v>18.95</v>
      </c>
      <c r="J1387" s="1" t="str">
        <f ca="1">IFERROR(__xludf.DUMMYFUNCTION("""COMPUTED_VALUE"""),"CREAM SWEETHEART WALL CABINET")</f>
        <v>CREAM SWEETHEART WALL CABINET</v>
      </c>
      <c r="K1387" s="1">
        <f ca="1">IFERROR(__xludf.DUMMYFUNCTION("""COMPUTED_VALUE"""),2)</f>
        <v>2</v>
      </c>
      <c r="L1387" s="1">
        <f ca="1">IFERROR(__xludf.DUMMYFUNCTION("""COMPUTED_VALUE"""),18.95)</f>
        <v>18.95</v>
      </c>
      <c r="T1387" s="1">
        <f ca="1">IFERROR(__xludf.DUMMYFUNCTION("""COMPUTED_VALUE"""),489566)</f>
        <v>489566</v>
      </c>
      <c r="U1387" s="1">
        <f ca="1">IFERROR(__xludf.DUMMYFUNCTION("""COMPUTED_VALUE"""),37.9)</f>
        <v>37.9</v>
      </c>
    </row>
    <row r="1388" spans="1:21" ht="12.75" x14ac:dyDescent="0.2">
      <c r="A1388" s="3">
        <f ca="1">IFERROR(__xludf.DUMMYFUNCTION("""COMPUTED_VALUE"""),40148.5527777777)</f>
        <v>40148.552777777702</v>
      </c>
      <c r="B1388" s="1">
        <f ca="1">IFERROR(__xludf.DUMMYFUNCTION("""COMPUTED_VALUE"""),12.75)</f>
        <v>12.75</v>
      </c>
      <c r="J1388" s="1" t="str">
        <f ca="1">IFERROR(__xludf.DUMMYFUNCTION("""COMPUTED_VALUE"""),"EDWARDIAN TOILET ROLL UNIT")</f>
        <v>EDWARDIAN TOILET ROLL UNIT</v>
      </c>
      <c r="K1388" s="1">
        <f ca="1">IFERROR(__xludf.DUMMYFUNCTION("""COMPUTED_VALUE"""),2)</f>
        <v>2</v>
      </c>
      <c r="L1388" s="1">
        <f ca="1">IFERROR(__xludf.DUMMYFUNCTION("""COMPUTED_VALUE"""),12.75)</f>
        <v>12.75</v>
      </c>
      <c r="T1388" s="1">
        <f ca="1">IFERROR(__xludf.DUMMYFUNCTION("""COMPUTED_VALUE"""),489566)</f>
        <v>489566</v>
      </c>
      <c r="U1388" s="1">
        <f ca="1">IFERROR(__xludf.DUMMYFUNCTION("""COMPUTED_VALUE"""),25.5)</f>
        <v>25.5</v>
      </c>
    </row>
    <row r="1389" spans="1:21" ht="12.75" x14ac:dyDescent="0.2">
      <c r="A1389" s="3">
        <f ca="1">IFERROR(__xludf.DUMMYFUNCTION("""COMPUTED_VALUE"""),40148.5548611111)</f>
        <v>40148.554861111101</v>
      </c>
      <c r="B1389" s="1">
        <f ca="1">IFERROR(__xludf.DUMMYFUNCTION("""COMPUTED_VALUE"""),0.55)</f>
        <v>0.55000000000000004</v>
      </c>
      <c r="J1389" s="1" t="str">
        <f ca="1">IFERROR(__xludf.DUMMYFUNCTION("""COMPUTED_VALUE"""),"PACK OF 60 MUSHROOM CAKE CASES")</f>
        <v>PACK OF 60 MUSHROOM CAKE CASES</v>
      </c>
      <c r="K1389" s="1">
        <f ca="1">IFERROR(__xludf.DUMMYFUNCTION("""COMPUTED_VALUE"""),24)</f>
        <v>24</v>
      </c>
      <c r="L1389" s="1">
        <f ca="1">IFERROR(__xludf.DUMMYFUNCTION("""COMPUTED_VALUE"""),0.55)</f>
        <v>0.55000000000000004</v>
      </c>
      <c r="T1389" s="1">
        <f ca="1">IFERROR(__xludf.DUMMYFUNCTION("""COMPUTED_VALUE"""),489567)</f>
        <v>489567</v>
      </c>
      <c r="U1389" s="1">
        <f ca="1">IFERROR(__xludf.DUMMYFUNCTION("""COMPUTED_VALUE"""),13.2)</f>
        <v>13.2</v>
      </c>
    </row>
    <row r="1390" spans="1:21" ht="12.75" x14ac:dyDescent="0.2">
      <c r="A1390" s="3">
        <f ca="1">IFERROR(__xludf.DUMMYFUNCTION("""COMPUTED_VALUE"""),40148.5548611111)</f>
        <v>40148.554861111101</v>
      </c>
      <c r="B1390" s="1">
        <f ca="1">IFERROR(__xludf.DUMMYFUNCTION("""COMPUTED_VALUE"""),0.55)</f>
        <v>0.55000000000000004</v>
      </c>
      <c r="J1390" s="1" t="str">
        <f ca="1">IFERROR(__xludf.DUMMYFUNCTION("""COMPUTED_VALUE"""),"72 SWEETHEART FAIRY CAKE CASES")</f>
        <v>72 SWEETHEART FAIRY CAKE CASES</v>
      </c>
      <c r="K1390" s="1">
        <f ca="1">IFERROR(__xludf.DUMMYFUNCTION("""COMPUTED_VALUE"""),24)</f>
        <v>24</v>
      </c>
      <c r="L1390" s="1">
        <f ca="1">IFERROR(__xludf.DUMMYFUNCTION("""COMPUTED_VALUE"""),0.55)</f>
        <v>0.55000000000000004</v>
      </c>
      <c r="T1390" s="1">
        <f ca="1">IFERROR(__xludf.DUMMYFUNCTION("""COMPUTED_VALUE"""),489567)</f>
        <v>489567</v>
      </c>
      <c r="U1390" s="1">
        <f ca="1">IFERROR(__xludf.DUMMYFUNCTION("""COMPUTED_VALUE"""),13.2)</f>
        <v>13.2</v>
      </c>
    </row>
    <row r="1391" spans="1:21" ht="12.75" x14ac:dyDescent="0.2">
      <c r="A1391" s="3">
        <f ca="1">IFERROR(__xludf.DUMMYFUNCTION("""COMPUTED_VALUE"""),40148.5548611111)</f>
        <v>40148.554861111101</v>
      </c>
      <c r="B1391" s="1">
        <f ca="1">IFERROR(__xludf.DUMMYFUNCTION("""COMPUTED_VALUE"""),0.55)</f>
        <v>0.55000000000000004</v>
      </c>
      <c r="J1391" s="1" t="str">
        <f ca="1">IFERROR(__xludf.DUMMYFUNCTION("""COMPUTED_VALUE"""),"ASSTD FRUIT+FLOWERS FRIDGE MAGNETS")</f>
        <v>ASSTD FRUIT+FLOWERS FRIDGE MAGNETS</v>
      </c>
      <c r="K1391" s="1">
        <f ca="1">IFERROR(__xludf.DUMMYFUNCTION("""COMPUTED_VALUE"""),24)</f>
        <v>24</v>
      </c>
      <c r="L1391" s="1">
        <f ca="1">IFERROR(__xludf.DUMMYFUNCTION("""COMPUTED_VALUE"""),0.55)</f>
        <v>0.55000000000000004</v>
      </c>
      <c r="T1391" s="1">
        <f ca="1">IFERROR(__xludf.DUMMYFUNCTION("""COMPUTED_VALUE"""),489567)</f>
        <v>489567</v>
      </c>
      <c r="U1391" s="1">
        <f ca="1">IFERROR(__xludf.DUMMYFUNCTION("""COMPUTED_VALUE"""),13.2)</f>
        <v>13.2</v>
      </c>
    </row>
    <row r="1392" spans="1:21" ht="12.75" x14ac:dyDescent="0.2">
      <c r="A1392" s="3">
        <f ca="1">IFERROR(__xludf.DUMMYFUNCTION("""COMPUTED_VALUE"""),40148.5548611111)</f>
        <v>40148.554861111101</v>
      </c>
      <c r="B1392" s="1">
        <f ca="1">IFERROR(__xludf.DUMMYFUNCTION("""COMPUTED_VALUE"""),1.45)</f>
        <v>1.45</v>
      </c>
      <c r="J1392" s="1" t="str">
        <f ca="1">IFERROR(__xludf.DUMMYFUNCTION("""COMPUTED_VALUE"""),"PARTY METAL SIGN")</f>
        <v>PARTY METAL SIGN</v>
      </c>
      <c r="K1392" s="1">
        <f ca="1">IFERROR(__xludf.DUMMYFUNCTION("""COMPUTED_VALUE"""),12)</f>
        <v>12</v>
      </c>
      <c r="L1392" s="1">
        <f ca="1">IFERROR(__xludf.DUMMYFUNCTION("""COMPUTED_VALUE"""),1.45)</f>
        <v>1.45</v>
      </c>
      <c r="T1392" s="1">
        <f ca="1">IFERROR(__xludf.DUMMYFUNCTION("""COMPUTED_VALUE"""),489567)</f>
        <v>489567</v>
      </c>
      <c r="U1392" s="1">
        <f ca="1">IFERROR(__xludf.DUMMYFUNCTION("""COMPUTED_VALUE"""),17.4)</f>
        <v>17.399999999999999</v>
      </c>
    </row>
    <row r="1393" spans="1:21" ht="12.75" x14ac:dyDescent="0.2">
      <c r="A1393" s="3">
        <f ca="1">IFERROR(__xludf.DUMMYFUNCTION("""COMPUTED_VALUE"""),40148.5548611111)</f>
        <v>40148.554861111101</v>
      </c>
      <c r="B1393" s="1">
        <f ca="1">IFERROR(__xludf.DUMMYFUNCTION("""COMPUTED_VALUE"""),0.65)</f>
        <v>0.65</v>
      </c>
      <c r="J1393" s="1" t="str">
        <f ca="1">IFERROR(__xludf.DUMMYFUNCTION("""COMPUTED_VALUE"""),"ASSORTED CAKES FRIDGE MAGNETS")</f>
        <v>ASSORTED CAKES FRIDGE MAGNETS</v>
      </c>
      <c r="K1393" s="1">
        <f ca="1">IFERROR(__xludf.DUMMYFUNCTION("""COMPUTED_VALUE"""),12)</f>
        <v>12</v>
      </c>
      <c r="L1393" s="1">
        <f ca="1">IFERROR(__xludf.DUMMYFUNCTION("""COMPUTED_VALUE"""),0.65)</f>
        <v>0.65</v>
      </c>
      <c r="T1393" s="1">
        <f ca="1">IFERROR(__xludf.DUMMYFUNCTION("""COMPUTED_VALUE"""),489567)</f>
        <v>489567</v>
      </c>
      <c r="U1393" s="1">
        <f ca="1">IFERROR(__xludf.DUMMYFUNCTION("""COMPUTED_VALUE"""),7.8)</f>
        <v>7.8</v>
      </c>
    </row>
    <row r="1394" spans="1:21" ht="12.75" x14ac:dyDescent="0.2">
      <c r="A1394" s="3">
        <f ca="1">IFERROR(__xludf.DUMMYFUNCTION("""COMPUTED_VALUE"""),40148.5548611111)</f>
        <v>40148.554861111101</v>
      </c>
      <c r="B1394" s="1">
        <f ca="1">IFERROR(__xludf.DUMMYFUNCTION("""COMPUTED_VALUE"""),2.55)</f>
        <v>2.5499999999999998</v>
      </c>
      <c r="J1394" s="1" t="str">
        <f ca="1">IFERROR(__xludf.DUMMYFUNCTION("""COMPUTED_VALUE"""),"LADIES &amp; GENTLEMEN METAL SIGN")</f>
        <v>LADIES &amp; GENTLEMEN METAL SIGN</v>
      </c>
      <c r="K1394" s="1">
        <f ca="1">IFERROR(__xludf.DUMMYFUNCTION("""COMPUTED_VALUE"""),6)</f>
        <v>6</v>
      </c>
      <c r="L1394" s="1">
        <f ca="1">IFERROR(__xludf.DUMMYFUNCTION("""COMPUTED_VALUE"""),2.55)</f>
        <v>2.5499999999999998</v>
      </c>
      <c r="T1394" s="1">
        <f ca="1">IFERROR(__xludf.DUMMYFUNCTION("""COMPUTED_VALUE"""),489567)</f>
        <v>489567</v>
      </c>
      <c r="U1394" s="1">
        <f ca="1">IFERROR(__xludf.DUMMYFUNCTION("""COMPUTED_VALUE"""),15.2999999999999)</f>
        <v>15.299999999999899</v>
      </c>
    </row>
    <row r="1395" spans="1:21" ht="12.75" x14ac:dyDescent="0.2">
      <c r="A1395" s="3">
        <f ca="1">IFERROR(__xludf.DUMMYFUNCTION("""COMPUTED_VALUE"""),40148.5548611111)</f>
        <v>40148.554861111101</v>
      </c>
      <c r="B1395" s="1">
        <f ca="1">IFERROR(__xludf.DUMMYFUNCTION("""COMPUTED_VALUE"""),2.1)</f>
        <v>2.1</v>
      </c>
      <c r="J1395" s="1" t="str">
        <f ca="1">IFERROR(__xludf.DUMMYFUNCTION("""COMPUTED_VALUE"""),"CHOCOLATE THIS WAY METAL SIGN")</f>
        <v>CHOCOLATE THIS WAY METAL SIGN</v>
      </c>
      <c r="K1395" s="1">
        <f ca="1">IFERROR(__xludf.DUMMYFUNCTION("""COMPUTED_VALUE"""),6)</f>
        <v>6</v>
      </c>
      <c r="L1395" s="1">
        <f ca="1">IFERROR(__xludf.DUMMYFUNCTION("""COMPUTED_VALUE"""),2.1)</f>
        <v>2.1</v>
      </c>
      <c r="T1395" s="1">
        <f ca="1">IFERROR(__xludf.DUMMYFUNCTION("""COMPUTED_VALUE"""),489567)</f>
        <v>489567</v>
      </c>
      <c r="U1395" s="1">
        <f ca="1">IFERROR(__xludf.DUMMYFUNCTION("""COMPUTED_VALUE"""),12.6)</f>
        <v>12.6</v>
      </c>
    </row>
    <row r="1396" spans="1:21" ht="12.75" x14ac:dyDescent="0.2">
      <c r="A1396" s="3">
        <f ca="1">IFERROR(__xludf.DUMMYFUNCTION("""COMPUTED_VALUE"""),40148.5548611111)</f>
        <v>40148.554861111101</v>
      </c>
      <c r="B1396" s="1">
        <f ca="1">IFERROR(__xludf.DUMMYFUNCTION("""COMPUTED_VALUE"""),2.95)</f>
        <v>2.95</v>
      </c>
      <c r="J1396" s="1" t="str">
        <f ca="1">IFERROR(__xludf.DUMMYFUNCTION("""COMPUTED_VALUE"""),"PINK STRIPE HOT WATER BOTTLE")</f>
        <v>PINK STRIPE HOT WATER BOTTLE</v>
      </c>
      <c r="K1396" s="1">
        <f ca="1">IFERROR(__xludf.DUMMYFUNCTION("""COMPUTED_VALUE"""),6)</f>
        <v>6</v>
      </c>
      <c r="L1396" s="1">
        <f ca="1">IFERROR(__xludf.DUMMYFUNCTION("""COMPUTED_VALUE"""),2.95)</f>
        <v>2.95</v>
      </c>
      <c r="T1396" s="1">
        <f ca="1">IFERROR(__xludf.DUMMYFUNCTION("""COMPUTED_VALUE"""),489567)</f>
        <v>489567</v>
      </c>
      <c r="U1396" s="1">
        <f ca="1">IFERROR(__xludf.DUMMYFUNCTION("""COMPUTED_VALUE"""),17.7)</f>
        <v>17.7</v>
      </c>
    </row>
    <row r="1397" spans="1:21" ht="12.75" x14ac:dyDescent="0.2">
      <c r="A1397" s="3">
        <f ca="1">IFERROR(__xludf.DUMMYFUNCTION("""COMPUTED_VALUE"""),40148.5548611111)</f>
        <v>40148.554861111101</v>
      </c>
      <c r="B1397" s="1">
        <f ca="1">IFERROR(__xludf.DUMMYFUNCTION("""COMPUTED_VALUE"""),1.25)</f>
        <v>1.25</v>
      </c>
      <c r="J1397" s="1" t="str">
        <f ca="1">IFERROR(__xludf.DUMMYFUNCTION("""COMPUTED_VALUE"""),"COLUMBIAN CANDLE ROUND")</f>
        <v>COLUMBIAN CANDLE ROUND</v>
      </c>
      <c r="K1397" s="1">
        <f ca="1">IFERROR(__xludf.DUMMYFUNCTION("""COMPUTED_VALUE"""),6)</f>
        <v>6</v>
      </c>
      <c r="L1397" s="1">
        <f ca="1">IFERROR(__xludf.DUMMYFUNCTION("""COMPUTED_VALUE"""),1.25)</f>
        <v>1.25</v>
      </c>
      <c r="T1397" s="1">
        <f ca="1">IFERROR(__xludf.DUMMYFUNCTION("""COMPUTED_VALUE"""),489567)</f>
        <v>489567</v>
      </c>
      <c r="U1397" s="1">
        <f ca="1">IFERROR(__xludf.DUMMYFUNCTION("""COMPUTED_VALUE"""),7.5)</f>
        <v>7.5</v>
      </c>
    </row>
    <row r="1398" spans="1:21" ht="12.75" x14ac:dyDescent="0.2">
      <c r="A1398" s="3">
        <f ca="1">IFERROR(__xludf.DUMMYFUNCTION("""COMPUTED_VALUE"""),40148.5548611111)</f>
        <v>40148.554861111101</v>
      </c>
      <c r="B1398" s="1">
        <f ca="1">IFERROR(__xludf.DUMMYFUNCTION("""COMPUTED_VALUE"""),2.95)</f>
        <v>2.95</v>
      </c>
      <c r="J1398" s="1" t="str">
        <f ca="1">IFERROR(__xludf.DUMMYFUNCTION("""COMPUTED_VALUE"""),"ASSORTED TUTTI FRUTTI PHOTO FRAME")</f>
        <v>ASSORTED TUTTI FRUTTI PHOTO FRAME</v>
      </c>
      <c r="K1398" s="1">
        <f ca="1">IFERROR(__xludf.DUMMYFUNCTION("""COMPUTED_VALUE"""),6)</f>
        <v>6</v>
      </c>
      <c r="L1398" s="1">
        <f ca="1">IFERROR(__xludf.DUMMYFUNCTION("""COMPUTED_VALUE"""),2.95)</f>
        <v>2.95</v>
      </c>
      <c r="T1398" s="1">
        <f ca="1">IFERROR(__xludf.DUMMYFUNCTION("""COMPUTED_VALUE"""),489567)</f>
        <v>489567</v>
      </c>
      <c r="U1398" s="1">
        <f ca="1">IFERROR(__xludf.DUMMYFUNCTION("""COMPUTED_VALUE"""),17.7)</f>
        <v>17.7</v>
      </c>
    </row>
    <row r="1399" spans="1:21" ht="12.75" x14ac:dyDescent="0.2">
      <c r="A1399" s="3">
        <f ca="1">IFERROR(__xludf.DUMMYFUNCTION("""COMPUTED_VALUE"""),40148.5548611111)</f>
        <v>40148.554861111101</v>
      </c>
      <c r="B1399" s="1">
        <f ca="1">IFERROR(__xludf.DUMMYFUNCTION("""COMPUTED_VALUE"""),3.45)</f>
        <v>3.45</v>
      </c>
      <c r="J1399" s="1" t="str">
        <f ca="1">IFERROR(__xludf.DUMMYFUNCTION("""COMPUTED_VALUE"""),"GREY HEART HOT WATER BOTTLE")</f>
        <v>GREY HEART HOT WATER BOTTLE</v>
      </c>
      <c r="K1399" s="1">
        <f ca="1">IFERROR(__xludf.DUMMYFUNCTION("""COMPUTED_VALUE"""),4)</f>
        <v>4</v>
      </c>
      <c r="L1399" s="1">
        <f ca="1">IFERROR(__xludf.DUMMYFUNCTION("""COMPUTED_VALUE"""),3.45)</f>
        <v>3.45</v>
      </c>
      <c r="T1399" s="1">
        <f ca="1">IFERROR(__xludf.DUMMYFUNCTION("""COMPUTED_VALUE"""),489567)</f>
        <v>489567</v>
      </c>
      <c r="U1399" s="1">
        <f ca="1">IFERROR(__xludf.DUMMYFUNCTION("""COMPUTED_VALUE"""),13.8)</f>
        <v>13.8</v>
      </c>
    </row>
    <row r="1400" spans="1:21" ht="12.75" x14ac:dyDescent="0.2">
      <c r="A1400" s="3">
        <f ca="1">IFERROR(__xludf.DUMMYFUNCTION("""COMPUTED_VALUE"""),40148.5548611111)</f>
        <v>40148.554861111101</v>
      </c>
      <c r="B1400" s="1">
        <f ca="1">IFERROR(__xludf.DUMMYFUNCTION("""COMPUTED_VALUE"""),3.75)</f>
        <v>3.75</v>
      </c>
      <c r="J1400" s="1" t="str">
        <f ca="1">IFERROR(__xludf.DUMMYFUNCTION("""COMPUTED_VALUE"""),"RED WOOLLY HOTTIE WHITE HEART.")</f>
        <v>RED WOOLLY HOTTIE WHITE HEART.</v>
      </c>
      <c r="K1400" s="1">
        <f ca="1">IFERROR(__xludf.DUMMYFUNCTION("""COMPUTED_VALUE"""),4)</f>
        <v>4</v>
      </c>
      <c r="L1400" s="1">
        <f ca="1">IFERROR(__xludf.DUMMYFUNCTION("""COMPUTED_VALUE"""),3.75)</f>
        <v>3.75</v>
      </c>
      <c r="T1400" s="1">
        <f ca="1">IFERROR(__xludf.DUMMYFUNCTION("""COMPUTED_VALUE"""),489567)</f>
        <v>489567</v>
      </c>
      <c r="U1400" s="1">
        <f ca="1">IFERROR(__xludf.DUMMYFUNCTION("""COMPUTED_VALUE"""),15)</f>
        <v>15</v>
      </c>
    </row>
    <row r="1401" spans="1:21" ht="12.75" x14ac:dyDescent="0.2">
      <c r="A1401" s="3">
        <f ca="1">IFERROR(__xludf.DUMMYFUNCTION("""COMPUTED_VALUE"""),40148.5548611111)</f>
        <v>40148.554861111101</v>
      </c>
      <c r="B1401" s="1">
        <f ca="1">IFERROR(__xludf.DUMMYFUNCTION("""COMPUTED_VALUE"""),4.95)</f>
        <v>4.95</v>
      </c>
      <c r="J1401" s="1" t="str">
        <f ca="1">IFERROR(__xludf.DUMMYFUNCTION("""COMPUTED_VALUE"""),"ANTIQUE LILY FAIRY LIGHTS")</f>
        <v>ANTIQUE LILY FAIRY LIGHTS</v>
      </c>
      <c r="K1401" s="1">
        <f ca="1">IFERROR(__xludf.DUMMYFUNCTION("""COMPUTED_VALUE"""),4)</f>
        <v>4</v>
      </c>
      <c r="L1401" s="1">
        <f ca="1">IFERROR(__xludf.DUMMYFUNCTION("""COMPUTED_VALUE"""),4.95)</f>
        <v>4.95</v>
      </c>
      <c r="T1401" s="1">
        <f ca="1">IFERROR(__xludf.DUMMYFUNCTION("""COMPUTED_VALUE"""),489567)</f>
        <v>489567</v>
      </c>
      <c r="U1401" s="1">
        <f ca="1">IFERROR(__xludf.DUMMYFUNCTION("""COMPUTED_VALUE"""),19.8)</f>
        <v>19.8</v>
      </c>
    </row>
    <row r="1402" spans="1:21" ht="12.75" x14ac:dyDescent="0.2">
      <c r="A1402" s="3">
        <f ca="1">IFERROR(__xludf.DUMMYFUNCTION("""COMPUTED_VALUE"""),40148.5548611111)</f>
        <v>40148.554861111101</v>
      </c>
      <c r="B1402" s="1">
        <f ca="1">IFERROR(__xludf.DUMMYFUNCTION("""COMPUTED_VALUE"""),16.95)</f>
        <v>16.95</v>
      </c>
      <c r="J1402" s="1" t="str">
        <f ca="1">IFERROR(__xludf.DUMMYFUNCTION("""COMPUTED_VALUE"""),"SILVER CHRISTMAS TREE BAUBLE STAND")</f>
        <v>SILVER CHRISTMAS TREE BAUBLE STAND</v>
      </c>
      <c r="K1402" s="1">
        <f ca="1">IFERROR(__xludf.DUMMYFUNCTION("""COMPUTED_VALUE"""),2)</f>
        <v>2</v>
      </c>
      <c r="L1402" s="1">
        <f ca="1">IFERROR(__xludf.DUMMYFUNCTION("""COMPUTED_VALUE"""),16.95)</f>
        <v>16.95</v>
      </c>
      <c r="T1402" s="1">
        <f ca="1">IFERROR(__xludf.DUMMYFUNCTION("""COMPUTED_VALUE"""),489567)</f>
        <v>489567</v>
      </c>
      <c r="U1402" s="1">
        <f ca="1">IFERROR(__xludf.DUMMYFUNCTION("""COMPUTED_VALUE"""),33.9)</f>
        <v>33.9</v>
      </c>
    </row>
    <row r="1403" spans="1:21" ht="12.75" x14ac:dyDescent="0.2">
      <c r="A1403" s="3">
        <f ca="1">IFERROR(__xludf.DUMMYFUNCTION("""COMPUTED_VALUE"""),40148.5548611111)</f>
        <v>40148.554861111101</v>
      </c>
      <c r="B1403" s="1">
        <f ca="1">IFERROR(__xludf.DUMMYFUNCTION("""COMPUTED_VALUE"""),6.75)</f>
        <v>6.75</v>
      </c>
      <c r="J1403" s="1" t="str">
        <f ca="1">IFERROR(__xludf.DUMMYFUNCTION("""COMPUTED_VALUE"""),"DOOR MAT GREEN PAISLEY")</f>
        <v>DOOR MAT GREEN PAISLEY</v>
      </c>
      <c r="K1403" s="1">
        <f ca="1">IFERROR(__xludf.DUMMYFUNCTION("""COMPUTED_VALUE"""),2)</f>
        <v>2</v>
      </c>
      <c r="L1403" s="1">
        <f ca="1">IFERROR(__xludf.DUMMYFUNCTION("""COMPUTED_VALUE"""),6.75)</f>
        <v>6.75</v>
      </c>
      <c r="T1403" s="1">
        <f ca="1">IFERROR(__xludf.DUMMYFUNCTION("""COMPUTED_VALUE"""),489567)</f>
        <v>489567</v>
      </c>
      <c r="U1403" s="1">
        <f ca="1">IFERROR(__xludf.DUMMYFUNCTION("""COMPUTED_VALUE"""),13.5)</f>
        <v>13.5</v>
      </c>
    </row>
    <row r="1404" spans="1:21" ht="12.75" x14ac:dyDescent="0.2">
      <c r="A1404" s="3">
        <f ca="1">IFERROR(__xludf.DUMMYFUNCTION("""COMPUTED_VALUE"""),40148.5548611111)</f>
        <v>40148.554861111101</v>
      </c>
      <c r="B1404" s="1">
        <f ca="1">IFERROR(__xludf.DUMMYFUNCTION("""COMPUTED_VALUE"""),5.95)</f>
        <v>5.95</v>
      </c>
      <c r="J1404" s="1" t="str">
        <f ca="1">IFERROR(__xludf.DUMMYFUNCTION("""COMPUTED_VALUE"""),"MIRRORED DISCO BALL")</f>
        <v>MIRRORED DISCO BALL</v>
      </c>
      <c r="K1404" s="1">
        <f ca="1">IFERROR(__xludf.DUMMYFUNCTION("""COMPUTED_VALUE"""),2)</f>
        <v>2</v>
      </c>
      <c r="L1404" s="1">
        <f ca="1">IFERROR(__xludf.DUMMYFUNCTION("""COMPUTED_VALUE"""),5.95)</f>
        <v>5.95</v>
      </c>
      <c r="T1404" s="1">
        <f ca="1">IFERROR(__xludf.DUMMYFUNCTION("""COMPUTED_VALUE"""),489567)</f>
        <v>489567</v>
      </c>
      <c r="U1404" s="1">
        <f ca="1">IFERROR(__xludf.DUMMYFUNCTION("""COMPUTED_VALUE"""),11.9)</f>
        <v>11.9</v>
      </c>
    </row>
    <row r="1405" spans="1:21" ht="12.75" x14ac:dyDescent="0.2">
      <c r="A1405" s="3">
        <f ca="1">IFERROR(__xludf.DUMMYFUNCTION("""COMPUTED_VALUE"""),40148.5548611111)</f>
        <v>40148.554861111101</v>
      </c>
      <c r="B1405" s="1">
        <f ca="1">IFERROR(__xludf.DUMMYFUNCTION("""COMPUTED_VALUE"""),6.75)</f>
        <v>6.75</v>
      </c>
      <c r="J1405" s="1" t="str">
        <f ca="1">IFERROR(__xludf.DUMMYFUNCTION("""COMPUTED_VALUE"""),"SWEETHEART KEY CABINET")</f>
        <v>SWEETHEART KEY CABINET</v>
      </c>
      <c r="K1405" s="1">
        <f ca="1">IFERROR(__xludf.DUMMYFUNCTION("""COMPUTED_VALUE"""),2)</f>
        <v>2</v>
      </c>
      <c r="L1405" s="1">
        <f ca="1">IFERROR(__xludf.DUMMYFUNCTION("""COMPUTED_VALUE"""),6.75)</f>
        <v>6.75</v>
      </c>
      <c r="T1405" s="1">
        <f ca="1">IFERROR(__xludf.DUMMYFUNCTION("""COMPUTED_VALUE"""),489567)</f>
        <v>489567</v>
      </c>
      <c r="U1405" s="1">
        <f ca="1">IFERROR(__xludf.DUMMYFUNCTION("""COMPUTED_VALUE"""),13.5)</f>
        <v>13.5</v>
      </c>
    </row>
    <row r="1406" spans="1:21" ht="12.75" x14ac:dyDescent="0.2">
      <c r="A1406" s="3">
        <f ca="1">IFERROR(__xludf.DUMMYFUNCTION("""COMPUTED_VALUE"""),40148.5548611111)</f>
        <v>40148.554861111101</v>
      </c>
      <c r="B1406" s="1">
        <f ca="1">IFERROR(__xludf.DUMMYFUNCTION("""COMPUTED_VALUE"""),5.45)</f>
        <v>5.45</v>
      </c>
      <c r="J1406" s="1" t="str">
        <f ca="1">IFERROR(__xludf.DUMMYFUNCTION("""COMPUTED_VALUE"""),"CREAM SWEETHEART LETTER RACK")</f>
        <v>CREAM SWEETHEART LETTER RACK</v>
      </c>
      <c r="K1406" s="1">
        <f ca="1">IFERROR(__xludf.DUMMYFUNCTION("""COMPUTED_VALUE"""),2)</f>
        <v>2</v>
      </c>
      <c r="L1406" s="1">
        <f ca="1">IFERROR(__xludf.DUMMYFUNCTION("""COMPUTED_VALUE"""),5.45)</f>
        <v>5.45</v>
      </c>
      <c r="T1406" s="1">
        <f ca="1">IFERROR(__xludf.DUMMYFUNCTION("""COMPUTED_VALUE"""),489567)</f>
        <v>489567</v>
      </c>
      <c r="U1406" s="1">
        <f ca="1">IFERROR(__xludf.DUMMYFUNCTION("""COMPUTED_VALUE"""),10.9)</f>
        <v>10.9</v>
      </c>
    </row>
    <row r="1407" spans="1:21" ht="12.75" x14ac:dyDescent="0.2">
      <c r="A1407" s="3">
        <f ca="1">IFERROR(__xludf.DUMMYFUNCTION("""COMPUTED_VALUE"""),40148.5548611111)</f>
        <v>40148.554861111101</v>
      </c>
      <c r="B1407" s="1">
        <f ca="1">IFERROR(__xludf.DUMMYFUNCTION("""COMPUTED_VALUE"""),9.95)</f>
        <v>9.9499999999999993</v>
      </c>
      <c r="J1407" s="1" t="str">
        <f ca="1">IFERROR(__xludf.DUMMYFUNCTION("""COMPUTED_VALUE"""),"SILVER RETRODISC LAMPSHADE")</f>
        <v>SILVER RETRODISC LAMPSHADE</v>
      </c>
      <c r="K1407" s="1">
        <f ca="1">IFERROR(__xludf.DUMMYFUNCTION("""COMPUTED_VALUE"""),1)</f>
        <v>1</v>
      </c>
      <c r="L1407" s="1">
        <f ca="1">IFERROR(__xludf.DUMMYFUNCTION("""COMPUTED_VALUE"""),9.95)</f>
        <v>9.9499999999999993</v>
      </c>
      <c r="T1407" s="1">
        <f ca="1">IFERROR(__xludf.DUMMYFUNCTION("""COMPUTED_VALUE"""),489567)</f>
        <v>489567</v>
      </c>
      <c r="U1407" s="1">
        <f ca="1">IFERROR(__xludf.DUMMYFUNCTION("""COMPUTED_VALUE"""),9.95)</f>
        <v>9.9499999999999993</v>
      </c>
    </row>
    <row r="1408" spans="1:21" ht="12.75" x14ac:dyDescent="0.2">
      <c r="A1408" s="3">
        <f ca="1">IFERROR(__xludf.DUMMYFUNCTION("""COMPUTED_VALUE"""),40148.5548611111)</f>
        <v>40148.554861111101</v>
      </c>
      <c r="B1408" s="1">
        <f ca="1">IFERROR(__xludf.DUMMYFUNCTION("""COMPUTED_VALUE"""),29.95)</f>
        <v>29.95</v>
      </c>
      <c r="J1408" s="1" t="str">
        <f ca="1">IFERROR(__xludf.DUMMYFUNCTION("""COMPUTED_VALUE"""),"WOOD AND GLASS MEDICINE CABINET")</f>
        <v>WOOD AND GLASS MEDICINE CABINET</v>
      </c>
      <c r="K1408" s="1">
        <f ca="1">IFERROR(__xludf.DUMMYFUNCTION("""COMPUTED_VALUE"""),1)</f>
        <v>1</v>
      </c>
      <c r="L1408" s="1">
        <f ca="1">IFERROR(__xludf.DUMMYFUNCTION("""COMPUTED_VALUE"""),29.95)</f>
        <v>29.95</v>
      </c>
      <c r="T1408" s="1">
        <f ca="1">IFERROR(__xludf.DUMMYFUNCTION("""COMPUTED_VALUE"""),489567)</f>
        <v>489567</v>
      </c>
      <c r="U1408" s="1">
        <f ca="1">IFERROR(__xludf.DUMMYFUNCTION("""COMPUTED_VALUE"""),29.95)</f>
        <v>29.95</v>
      </c>
    </row>
    <row r="1409" spans="1:21" ht="12.75" x14ac:dyDescent="0.2">
      <c r="A1409" s="3">
        <f ca="1">IFERROR(__xludf.DUMMYFUNCTION("""COMPUTED_VALUE"""),40148.5555555555)</f>
        <v>40148.555555555497</v>
      </c>
      <c r="B1409" s="1">
        <f ca="1">IFERROR(__xludf.DUMMYFUNCTION("""COMPUTED_VALUE"""),0.42)</f>
        <v>0.42</v>
      </c>
      <c r="J1409" s="1" t="str">
        <f ca="1">IFERROR(__xludf.DUMMYFUNCTION("""COMPUTED_VALUE"""),"ANGEL DECORATION 3 BUTTONS")</f>
        <v>ANGEL DECORATION 3 BUTTONS</v>
      </c>
      <c r="K1409" s="1">
        <f ca="1">IFERROR(__xludf.DUMMYFUNCTION("""COMPUTED_VALUE"""),48)</f>
        <v>48</v>
      </c>
      <c r="L1409" s="1">
        <f ca="1">IFERROR(__xludf.DUMMYFUNCTION("""COMPUTED_VALUE"""),0.42)</f>
        <v>0.42</v>
      </c>
      <c r="T1409" s="1">
        <f ca="1">IFERROR(__xludf.DUMMYFUNCTION("""COMPUTED_VALUE"""),489569)</f>
        <v>489569</v>
      </c>
      <c r="U1409" s="1">
        <f ca="1">IFERROR(__xludf.DUMMYFUNCTION("""COMPUTED_VALUE"""),20.16)</f>
        <v>20.16</v>
      </c>
    </row>
    <row r="1410" spans="1:21" ht="12.75" x14ac:dyDescent="0.2">
      <c r="A1410" s="3">
        <f ca="1">IFERROR(__xludf.DUMMYFUNCTION("""COMPUTED_VALUE"""),40148.5555555555)</f>
        <v>40148.555555555497</v>
      </c>
      <c r="B1410" s="1">
        <f ca="1">IFERROR(__xludf.DUMMYFUNCTION("""COMPUTED_VALUE"""),0.42)</f>
        <v>0.42</v>
      </c>
      <c r="J1410" s="1" t="str">
        <f ca="1">IFERROR(__xludf.DUMMYFUNCTION("""COMPUTED_VALUE"""),"STAR DECORATION RUSTIC")</f>
        <v>STAR DECORATION RUSTIC</v>
      </c>
      <c r="K1410" s="1">
        <f ca="1">IFERROR(__xludf.DUMMYFUNCTION("""COMPUTED_VALUE"""),48)</f>
        <v>48</v>
      </c>
      <c r="L1410" s="1">
        <f ca="1">IFERROR(__xludf.DUMMYFUNCTION("""COMPUTED_VALUE"""),0.42)</f>
        <v>0.42</v>
      </c>
      <c r="T1410" s="1">
        <f ca="1">IFERROR(__xludf.DUMMYFUNCTION("""COMPUTED_VALUE"""),489569)</f>
        <v>489569</v>
      </c>
      <c r="U1410" s="1">
        <f ca="1">IFERROR(__xludf.DUMMYFUNCTION("""COMPUTED_VALUE"""),20.16)</f>
        <v>20.16</v>
      </c>
    </row>
    <row r="1411" spans="1:21" ht="12.75" x14ac:dyDescent="0.2">
      <c r="A1411" s="3">
        <f ca="1">IFERROR(__xludf.DUMMYFUNCTION("""COMPUTED_VALUE"""),40148.5555555555)</f>
        <v>40148.555555555497</v>
      </c>
      <c r="B1411" s="1">
        <f ca="1">IFERROR(__xludf.DUMMYFUNCTION("""COMPUTED_VALUE"""),0.85)</f>
        <v>0.85</v>
      </c>
      <c r="J1411" s="1" t="str">
        <f ca="1">IFERROR(__xludf.DUMMYFUNCTION("""COMPUTED_VALUE"""),"HEART DECORATION WITH PEARLS")</f>
        <v>HEART DECORATION WITH PEARLS</v>
      </c>
      <c r="K1411" s="1">
        <f ca="1">IFERROR(__xludf.DUMMYFUNCTION("""COMPUTED_VALUE"""),36)</f>
        <v>36</v>
      </c>
      <c r="L1411" s="1">
        <f ca="1">IFERROR(__xludf.DUMMYFUNCTION("""COMPUTED_VALUE"""),0.85)</f>
        <v>0.85</v>
      </c>
      <c r="T1411" s="1">
        <f ca="1">IFERROR(__xludf.DUMMYFUNCTION("""COMPUTED_VALUE"""),489569)</f>
        <v>489569</v>
      </c>
      <c r="U1411" s="1">
        <f ca="1">IFERROR(__xludf.DUMMYFUNCTION("""COMPUTED_VALUE"""),30.5999999999999)</f>
        <v>30.599999999999898</v>
      </c>
    </row>
    <row r="1412" spans="1:21" ht="12.75" x14ac:dyDescent="0.2">
      <c r="A1412" s="3">
        <f ca="1">IFERROR(__xludf.DUMMYFUNCTION("""COMPUTED_VALUE"""),40148.5555555555)</f>
        <v>40148.555555555497</v>
      </c>
      <c r="B1412" s="1">
        <f ca="1">IFERROR(__xludf.DUMMYFUNCTION("""COMPUTED_VALUE"""),0.42)</f>
        <v>0.42</v>
      </c>
      <c r="J1412" s="1" t="str">
        <f ca="1">IFERROR(__xludf.DUMMYFUNCTION("""COMPUTED_VALUE"""),"WHITE CHRISTMAS STAR DECORATION")</f>
        <v>WHITE CHRISTMAS STAR DECORATION</v>
      </c>
      <c r="K1412" s="1">
        <f ca="1">IFERROR(__xludf.DUMMYFUNCTION("""COMPUTED_VALUE"""),36)</f>
        <v>36</v>
      </c>
      <c r="L1412" s="1">
        <f ca="1">IFERROR(__xludf.DUMMYFUNCTION("""COMPUTED_VALUE"""),0.42)</f>
        <v>0.42</v>
      </c>
      <c r="T1412" s="1">
        <f ca="1">IFERROR(__xludf.DUMMYFUNCTION("""COMPUTED_VALUE"""),489569)</f>
        <v>489569</v>
      </c>
      <c r="U1412" s="1">
        <f ca="1">IFERROR(__xludf.DUMMYFUNCTION("""COMPUTED_VALUE"""),15.12)</f>
        <v>15.12</v>
      </c>
    </row>
    <row r="1413" spans="1:21" ht="12.75" x14ac:dyDescent="0.2">
      <c r="A1413" s="3">
        <f ca="1">IFERROR(__xludf.DUMMYFUNCTION("""COMPUTED_VALUE"""),40148.5555555555)</f>
        <v>40148.555555555497</v>
      </c>
      <c r="B1413" s="1">
        <f ca="1">IFERROR(__xludf.DUMMYFUNCTION("""COMPUTED_VALUE"""),0.42)</f>
        <v>0.42</v>
      </c>
      <c r="J1413" s="1" t="str">
        <f ca="1">IFERROR(__xludf.DUMMYFUNCTION("""COMPUTED_VALUE"""),"WHITE CHRISTMAS TREE DECORATION")</f>
        <v>WHITE CHRISTMAS TREE DECORATION</v>
      </c>
      <c r="K1413" s="1">
        <f ca="1">IFERROR(__xludf.DUMMYFUNCTION("""COMPUTED_VALUE"""),36)</f>
        <v>36</v>
      </c>
      <c r="L1413" s="1">
        <f ca="1">IFERROR(__xludf.DUMMYFUNCTION("""COMPUTED_VALUE"""),0.42)</f>
        <v>0.42</v>
      </c>
      <c r="T1413" s="1">
        <f ca="1">IFERROR(__xludf.DUMMYFUNCTION("""COMPUTED_VALUE"""),489569)</f>
        <v>489569</v>
      </c>
      <c r="U1413" s="1">
        <f ca="1">IFERROR(__xludf.DUMMYFUNCTION("""COMPUTED_VALUE"""),15.12)</f>
        <v>15.12</v>
      </c>
    </row>
    <row r="1414" spans="1:21" ht="12.75" x14ac:dyDescent="0.2">
      <c r="A1414" s="3">
        <f ca="1">IFERROR(__xludf.DUMMYFUNCTION("""COMPUTED_VALUE"""),40148.5555555555)</f>
        <v>40148.555555555497</v>
      </c>
      <c r="B1414" s="1">
        <f ca="1">IFERROR(__xludf.DUMMYFUNCTION("""COMPUTED_VALUE"""),0.42)</f>
        <v>0.42</v>
      </c>
      <c r="J1414" s="1" t="str">
        <f ca="1">IFERROR(__xludf.DUMMYFUNCTION("""COMPUTED_VALUE"""),"WHITE CHRISTMAS HEART DECORATION")</f>
        <v>WHITE CHRISTMAS HEART DECORATION</v>
      </c>
      <c r="K1414" s="1">
        <f ca="1">IFERROR(__xludf.DUMMYFUNCTION("""COMPUTED_VALUE"""),36)</f>
        <v>36</v>
      </c>
      <c r="L1414" s="1">
        <f ca="1">IFERROR(__xludf.DUMMYFUNCTION("""COMPUTED_VALUE"""),0.42)</f>
        <v>0.42</v>
      </c>
      <c r="T1414" s="1">
        <f ca="1">IFERROR(__xludf.DUMMYFUNCTION("""COMPUTED_VALUE"""),489569)</f>
        <v>489569</v>
      </c>
      <c r="U1414" s="1">
        <f ca="1">IFERROR(__xludf.DUMMYFUNCTION("""COMPUTED_VALUE"""),15.12)</f>
        <v>15.12</v>
      </c>
    </row>
    <row r="1415" spans="1:21" ht="12.75" x14ac:dyDescent="0.2">
      <c r="A1415" s="3">
        <f ca="1">IFERROR(__xludf.DUMMYFUNCTION("""COMPUTED_VALUE"""),40148.5555555555)</f>
        <v>40148.555555555497</v>
      </c>
      <c r="B1415" s="1">
        <f ca="1">IFERROR(__xludf.DUMMYFUNCTION("""COMPUTED_VALUE"""),1.25)</f>
        <v>1.25</v>
      </c>
      <c r="J1415" s="1" t="str">
        <f ca="1">IFERROR(__xludf.DUMMYFUNCTION("""COMPUTED_VALUE"""),"HEART FILIGREE DOVE  SMALL")</f>
        <v>HEART FILIGREE DOVE  SMALL</v>
      </c>
      <c r="K1415" s="1">
        <f ca="1">IFERROR(__xludf.DUMMYFUNCTION("""COMPUTED_VALUE"""),24)</f>
        <v>24</v>
      </c>
      <c r="L1415" s="1">
        <f ca="1">IFERROR(__xludf.DUMMYFUNCTION("""COMPUTED_VALUE"""),1.25)</f>
        <v>1.25</v>
      </c>
      <c r="T1415" s="1">
        <f ca="1">IFERROR(__xludf.DUMMYFUNCTION("""COMPUTED_VALUE"""),489569)</f>
        <v>489569</v>
      </c>
      <c r="U1415" s="1">
        <f ca="1">IFERROR(__xludf.DUMMYFUNCTION("""COMPUTED_VALUE"""),30)</f>
        <v>30</v>
      </c>
    </row>
    <row r="1416" spans="1:21" ht="12.75" x14ac:dyDescent="0.2">
      <c r="A1416" s="3">
        <f ca="1">IFERROR(__xludf.DUMMYFUNCTION("""COMPUTED_VALUE"""),40148.5555555555)</f>
        <v>40148.555555555497</v>
      </c>
      <c r="B1416" s="1">
        <f ca="1">IFERROR(__xludf.DUMMYFUNCTION("""COMPUTED_VALUE"""),1.25)</f>
        <v>1.25</v>
      </c>
      <c r="J1416" s="1" t="str">
        <f ca="1">IFERROR(__xludf.DUMMYFUNCTION("""COMPUTED_VALUE"""),"VICTORIAN GLASS HANGING T-LIGHT")</f>
        <v>VICTORIAN GLASS HANGING T-LIGHT</v>
      </c>
      <c r="K1416" s="1">
        <f ca="1">IFERROR(__xludf.DUMMYFUNCTION("""COMPUTED_VALUE"""),12)</f>
        <v>12</v>
      </c>
      <c r="L1416" s="1">
        <f ca="1">IFERROR(__xludf.DUMMYFUNCTION("""COMPUTED_VALUE"""),1.25)</f>
        <v>1.25</v>
      </c>
      <c r="T1416" s="1">
        <f ca="1">IFERROR(__xludf.DUMMYFUNCTION("""COMPUTED_VALUE"""),489569)</f>
        <v>489569</v>
      </c>
      <c r="U1416" s="1">
        <f ca="1">IFERROR(__xludf.DUMMYFUNCTION("""COMPUTED_VALUE"""),15)</f>
        <v>15</v>
      </c>
    </row>
    <row r="1417" spans="1:21" ht="12.75" x14ac:dyDescent="0.2">
      <c r="A1417" s="3">
        <f ca="1">IFERROR(__xludf.DUMMYFUNCTION("""COMPUTED_VALUE"""),40148.5555555555)</f>
        <v>40148.555555555497</v>
      </c>
      <c r="B1417" s="1">
        <f ca="1">IFERROR(__xludf.DUMMYFUNCTION("""COMPUTED_VALUE"""),3.75)</f>
        <v>3.75</v>
      </c>
      <c r="J1417" s="1" t="str">
        <f ca="1">IFERROR(__xludf.DUMMYFUNCTION("""COMPUTED_VALUE"""),"WHITE CHRISTMAS GARLAND STARS TREES")</f>
        <v>WHITE CHRISTMAS GARLAND STARS TREES</v>
      </c>
      <c r="K1417" s="1">
        <f ca="1">IFERROR(__xludf.DUMMYFUNCTION("""COMPUTED_VALUE"""),12)</f>
        <v>12</v>
      </c>
      <c r="L1417" s="1">
        <f ca="1">IFERROR(__xludf.DUMMYFUNCTION("""COMPUTED_VALUE"""),3.75)</f>
        <v>3.75</v>
      </c>
      <c r="T1417" s="1">
        <f ca="1">IFERROR(__xludf.DUMMYFUNCTION("""COMPUTED_VALUE"""),489569)</f>
        <v>489569</v>
      </c>
      <c r="U1417" s="1">
        <f ca="1">IFERROR(__xludf.DUMMYFUNCTION("""COMPUTED_VALUE"""),45)</f>
        <v>45</v>
      </c>
    </row>
    <row r="1418" spans="1:21" ht="12.75" x14ac:dyDescent="0.2">
      <c r="A1418" s="3">
        <f ca="1">IFERROR(__xludf.DUMMYFUNCTION("""COMPUTED_VALUE"""),40148.5555555555)</f>
        <v>40148.555555555497</v>
      </c>
      <c r="B1418" s="1">
        <f ca="1">IFERROR(__xludf.DUMMYFUNCTION("""COMPUTED_VALUE"""),1.25)</f>
        <v>1.25</v>
      </c>
      <c r="J1418" s="1" t="str">
        <f ca="1">IFERROR(__xludf.DUMMYFUNCTION("""COMPUTED_VALUE"""),"S/4 FESTIVE RED DINNER CANDLES")</f>
        <v>S/4 FESTIVE RED DINNER CANDLES</v>
      </c>
      <c r="K1418" s="1">
        <f ca="1">IFERROR(__xludf.DUMMYFUNCTION("""COMPUTED_VALUE"""),6)</f>
        <v>6</v>
      </c>
      <c r="L1418" s="1">
        <f ca="1">IFERROR(__xludf.DUMMYFUNCTION("""COMPUTED_VALUE"""),1.25)</f>
        <v>1.25</v>
      </c>
      <c r="T1418" s="1">
        <f ca="1">IFERROR(__xludf.DUMMYFUNCTION("""COMPUTED_VALUE"""),489569)</f>
        <v>489569</v>
      </c>
      <c r="U1418" s="1">
        <f ca="1">IFERROR(__xludf.DUMMYFUNCTION("""COMPUTED_VALUE"""),7.5)</f>
        <v>7.5</v>
      </c>
    </row>
    <row r="1419" spans="1:21" ht="12.75" x14ac:dyDescent="0.2">
      <c r="A1419" s="3">
        <f ca="1">IFERROR(__xludf.DUMMYFUNCTION("""COMPUTED_VALUE"""),40148.5555555555)</f>
        <v>40148.555555555497</v>
      </c>
      <c r="B1419" s="1">
        <f ca="1">IFERROR(__xludf.DUMMYFUNCTION("""COMPUTED_VALUE"""),1.25)</f>
        <v>1.25</v>
      </c>
      <c r="J1419" s="1" t="str">
        <f ca="1">IFERROR(__xludf.DUMMYFUNCTION("""COMPUTED_VALUE"""),"POTTING SHED TEA MUG")</f>
        <v>POTTING SHED TEA MUG</v>
      </c>
      <c r="K1419" s="1">
        <f ca="1">IFERROR(__xludf.DUMMYFUNCTION("""COMPUTED_VALUE"""),6)</f>
        <v>6</v>
      </c>
      <c r="L1419" s="1">
        <f ca="1">IFERROR(__xludf.DUMMYFUNCTION("""COMPUTED_VALUE"""),1.25)</f>
        <v>1.25</v>
      </c>
      <c r="T1419" s="1">
        <f ca="1">IFERROR(__xludf.DUMMYFUNCTION("""COMPUTED_VALUE"""),489569)</f>
        <v>489569</v>
      </c>
      <c r="U1419" s="1">
        <f ca="1">IFERROR(__xludf.DUMMYFUNCTION("""COMPUTED_VALUE"""),7.5)</f>
        <v>7.5</v>
      </c>
    </row>
    <row r="1420" spans="1:21" ht="12.75" x14ac:dyDescent="0.2">
      <c r="A1420" s="3">
        <f ca="1">IFERROR(__xludf.DUMMYFUNCTION("""COMPUTED_VALUE"""),40148.5555555555)</f>
        <v>40148.555555555497</v>
      </c>
      <c r="B1420" s="1">
        <f ca="1">IFERROR(__xludf.DUMMYFUNCTION("""COMPUTED_VALUE"""),2.95)</f>
        <v>2.95</v>
      </c>
      <c r="J1420" s="1" t="str">
        <f ca="1">IFERROR(__xludf.DUMMYFUNCTION("""COMPUTED_VALUE"""),"PAPER CHAIN KIT 50'S CHRISTMAS")</f>
        <v>PAPER CHAIN KIT 50'S CHRISTMAS</v>
      </c>
      <c r="K1420" s="1">
        <f ca="1">IFERROR(__xludf.DUMMYFUNCTION("""COMPUTED_VALUE"""),5)</f>
        <v>5</v>
      </c>
      <c r="L1420" s="1">
        <f ca="1">IFERROR(__xludf.DUMMYFUNCTION("""COMPUTED_VALUE"""),2.95)</f>
        <v>2.95</v>
      </c>
      <c r="T1420" s="1">
        <f ca="1">IFERROR(__xludf.DUMMYFUNCTION("""COMPUTED_VALUE"""),489569)</f>
        <v>489569</v>
      </c>
      <c r="U1420" s="1">
        <f ca="1">IFERROR(__xludf.DUMMYFUNCTION("""COMPUTED_VALUE"""),14.75)</f>
        <v>14.75</v>
      </c>
    </row>
    <row r="1421" spans="1:21" ht="12.75" x14ac:dyDescent="0.2">
      <c r="A1421" s="3">
        <f ca="1">IFERROR(__xludf.DUMMYFUNCTION("""COMPUTED_VALUE"""),40148.5555555555)</f>
        <v>40148.555555555497</v>
      </c>
      <c r="B1421" s="1">
        <f ca="1">IFERROR(__xludf.DUMMYFUNCTION("""COMPUTED_VALUE"""),6.75)</f>
        <v>6.75</v>
      </c>
      <c r="J1421" s="1" t="str">
        <f ca="1">IFERROR(__xludf.DUMMYFUNCTION("""COMPUTED_VALUE"""),"SWEETHEART KEY CABINET")</f>
        <v>SWEETHEART KEY CABINET</v>
      </c>
      <c r="K1421" s="1">
        <f ca="1">IFERROR(__xludf.DUMMYFUNCTION("""COMPUTED_VALUE"""),2)</f>
        <v>2</v>
      </c>
      <c r="L1421" s="1">
        <f ca="1">IFERROR(__xludf.DUMMYFUNCTION("""COMPUTED_VALUE"""),6.75)</f>
        <v>6.75</v>
      </c>
      <c r="T1421" s="1">
        <f ca="1">IFERROR(__xludf.DUMMYFUNCTION("""COMPUTED_VALUE"""),489569)</f>
        <v>489569</v>
      </c>
      <c r="U1421" s="1">
        <f ca="1">IFERROR(__xludf.DUMMYFUNCTION("""COMPUTED_VALUE"""),13.5)</f>
        <v>13.5</v>
      </c>
    </row>
    <row r="1422" spans="1:21" ht="12.75" x14ac:dyDescent="0.2">
      <c r="A1422" s="3">
        <f ca="1">IFERROR(__xludf.DUMMYFUNCTION("""COMPUTED_VALUE"""),40148.5555555555)</f>
        <v>40148.555555555497</v>
      </c>
      <c r="B1422" s="1">
        <f ca="1">IFERROR(__xludf.DUMMYFUNCTION("""COMPUTED_VALUE"""),7.95)</f>
        <v>7.95</v>
      </c>
      <c r="J1422" s="1" t="str">
        <f ca="1">IFERROR(__xludf.DUMMYFUNCTION("""COMPUTED_VALUE"""),"WHITE TISSUE REAM")</f>
        <v>WHITE TISSUE REAM</v>
      </c>
      <c r="K1422" s="1">
        <f ca="1">IFERROR(__xludf.DUMMYFUNCTION("""COMPUTED_VALUE"""),1)</f>
        <v>1</v>
      </c>
      <c r="L1422" s="1">
        <f ca="1">IFERROR(__xludf.DUMMYFUNCTION("""COMPUTED_VALUE"""),7.95)</f>
        <v>7.95</v>
      </c>
      <c r="T1422" s="1">
        <f ca="1">IFERROR(__xludf.DUMMYFUNCTION("""COMPUTED_VALUE"""),489569)</f>
        <v>489569</v>
      </c>
      <c r="U1422" s="1">
        <f ca="1">IFERROR(__xludf.DUMMYFUNCTION("""COMPUTED_VALUE"""),7.95)</f>
        <v>7.95</v>
      </c>
    </row>
    <row r="1423" spans="1:21" ht="12.75" x14ac:dyDescent="0.2">
      <c r="A1423" s="3">
        <f ca="1">IFERROR(__xludf.DUMMYFUNCTION("""COMPUTED_VALUE"""),40148.5555555555)</f>
        <v>40148.555555555497</v>
      </c>
      <c r="B1423" s="1">
        <f ca="1">IFERROR(__xludf.DUMMYFUNCTION("""COMPUTED_VALUE"""),8.95)</f>
        <v>8.9499999999999993</v>
      </c>
      <c r="J1423" s="1" t="str">
        <f ca="1">IFERROR(__xludf.DUMMYFUNCTION("""COMPUTED_VALUE"""),"PINK FLOCK TABLE CLOCK")</f>
        <v>PINK FLOCK TABLE CLOCK</v>
      </c>
      <c r="K1423" s="1">
        <f ca="1">IFERROR(__xludf.DUMMYFUNCTION("""COMPUTED_VALUE"""),1)</f>
        <v>1</v>
      </c>
      <c r="L1423" s="1">
        <f ca="1">IFERROR(__xludf.DUMMYFUNCTION("""COMPUTED_VALUE"""),8.95)</f>
        <v>8.9499999999999993</v>
      </c>
      <c r="T1423" s="1">
        <f ca="1">IFERROR(__xludf.DUMMYFUNCTION("""COMPUTED_VALUE"""),489569)</f>
        <v>489569</v>
      </c>
      <c r="U1423" s="1">
        <f ca="1">IFERROR(__xludf.DUMMYFUNCTION("""COMPUTED_VALUE"""),8.95)</f>
        <v>8.9499999999999993</v>
      </c>
    </row>
    <row r="1424" spans="1:21" ht="12.75" x14ac:dyDescent="0.2">
      <c r="A1424" s="3">
        <f ca="1">IFERROR(__xludf.DUMMYFUNCTION("""COMPUTED_VALUE"""),40148.5555555555)</f>
        <v>40148.555555555497</v>
      </c>
      <c r="B1424" s="1">
        <f ca="1">IFERROR(__xludf.DUMMYFUNCTION("""COMPUTED_VALUE"""),9.95)</f>
        <v>9.9499999999999993</v>
      </c>
      <c r="J1424" s="1" t="str">
        <f ca="1">IFERROR(__xludf.DUMMYFUNCTION("""COMPUTED_VALUE"""),"VINTAGE CREAM 3 BASKET CAKE STAND")</f>
        <v>VINTAGE CREAM 3 BASKET CAKE STAND</v>
      </c>
      <c r="K1424" s="1">
        <f ca="1">IFERROR(__xludf.DUMMYFUNCTION("""COMPUTED_VALUE"""),1)</f>
        <v>1</v>
      </c>
      <c r="L1424" s="1">
        <f ca="1">IFERROR(__xludf.DUMMYFUNCTION("""COMPUTED_VALUE"""),9.95)</f>
        <v>9.9499999999999993</v>
      </c>
      <c r="T1424" s="1">
        <f ca="1">IFERROR(__xludf.DUMMYFUNCTION("""COMPUTED_VALUE"""),489569)</f>
        <v>489569</v>
      </c>
      <c r="U1424" s="1">
        <f ca="1">IFERROR(__xludf.DUMMYFUNCTION("""COMPUTED_VALUE"""),9.95)</f>
        <v>9.9499999999999993</v>
      </c>
    </row>
    <row r="1425" spans="1:21" ht="12.75" x14ac:dyDescent="0.2">
      <c r="A1425" s="3">
        <f ca="1">IFERROR(__xludf.DUMMYFUNCTION("""COMPUTED_VALUE"""),40148.5555555555)</f>
        <v>40148.555555555497</v>
      </c>
      <c r="B1425" s="1">
        <f ca="1">IFERROR(__xludf.DUMMYFUNCTION("""COMPUTED_VALUE"""),4.95)</f>
        <v>4.95</v>
      </c>
      <c r="J1425" s="1" t="str">
        <f ca="1">IFERROR(__xludf.DUMMYFUNCTION("""COMPUTED_VALUE"""),"FOLDING UMBRELLA , BLACK/BLUE  SPOT")</f>
        <v>FOLDING UMBRELLA , BLACK/BLUE  SPOT</v>
      </c>
      <c r="K1425" s="1">
        <f ca="1">IFERROR(__xludf.DUMMYFUNCTION("""COMPUTED_VALUE"""),1)</f>
        <v>1</v>
      </c>
      <c r="L1425" s="1">
        <f ca="1">IFERROR(__xludf.DUMMYFUNCTION("""COMPUTED_VALUE"""),4.95)</f>
        <v>4.95</v>
      </c>
      <c r="T1425" s="1">
        <f ca="1">IFERROR(__xludf.DUMMYFUNCTION("""COMPUTED_VALUE"""),489569)</f>
        <v>489569</v>
      </c>
      <c r="U1425" s="1">
        <f ca="1">IFERROR(__xludf.DUMMYFUNCTION("""COMPUTED_VALUE"""),4.95)</f>
        <v>4.95</v>
      </c>
    </row>
    <row r="1426" spans="1:21" ht="12.75" x14ac:dyDescent="0.2">
      <c r="A1426" s="3">
        <f ca="1">IFERROR(__xludf.DUMMYFUNCTION("""COMPUTED_VALUE"""),40148.5555555555)</f>
        <v>40148.555555555497</v>
      </c>
      <c r="B1426" s="1">
        <f ca="1">IFERROR(__xludf.DUMMYFUNCTION("""COMPUTED_VALUE"""),0.95)</f>
        <v>0.95</v>
      </c>
      <c r="J1426" s="1" t="str">
        <f ca="1">IFERROR(__xludf.DUMMYFUNCTION("""COMPUTED_VALUE"""),"REX CASH+CARRY JUMBO SHOPPER")</f>
        <v>REX CASH+CARRY JUMBO SHOPPER</v>
      </c>
      <c r="K1426" s="1">
        <f ca="1">IFERROR(__xludf.DUMMYFUNCTION("""COMPUTED_VALUE"""),1)</f>
        <v>1</v>
      </c>
      <c r="L1426" s="1">
        <f ca="1">IFERROR(__xludf.DUMMYFUNCTION("""COMPUTED_VALUE"""),0.95)</f>
        <v>0.95</v>
      </c>
      <c r="T1426" s="1">
        <f ca="1">IFERROR(__xludf.DUMMYFUNCTION("""COMPUTED_VALUE"""),489569)</f>
        <v>489569</v>
      </c>
      <c r="U1426" s="1">
        <f ca="1">IFERROR(__xludf.DUMMYFUNCTION("""COMPUTED_VALUE"""),0.95)</f>
        <v>0.95</v>
      </c>
    </row>
    <row r="1427" spans="1:21" ht="12.75" x14ac:dyDescent="0.2">
      <c r="A1427" s="3">
        <f ca="1">IFERROR(__xludf.DUMMYFUNCTION("""COMPUTED_VALUE"""),40148.5555555555)</f>
        <v>40148.555555555497</v>
      </c>
      <c r="B1427" s="1">
        <f ca="1">IFERROR(__xludf.DUMMYFUNCTION("""COMPUTED_VALUE"""),3.75)</f>
        <v>3.75</v>
      </c>
      <c r="J1427" s="1" t="str">
        <f ca="1">IFERROR(__xludf.DUMMYFUNCTION("""COMPUTED_VALUE"""),"PIZZA PLATE IN BOX")</f>
        <v>PIZZA PLATE IN BOX</v>
      </c>
      <c r="K1427" s="1">
        <f ca="1">IFERROR(__xludf.DUMMYFUNCTION("""COMPUTED_VALUE"""),-1)</f>
        <v>-1</v>
      </c>
      <c r="L1427" s="1">
        <f ca="1">IFERROR(__xludf.DUMMYFUNCTION("""COMPUTED_VALUE"""),3.75)</f>
        <v>3.75</v>
      </c>
      <c r="T1427" s="1"/>
      <c r="U1427" s="1">
        <f ca="1">IFERROR(__xludf.DUMMYFUNCTION("""COMPUTED_VALUE"""),-3.75)</f>
        <v>-3.75</v>
      </c>
    </row>
    <row r="1428" spans="1:21" ht="12.75" x14ac:dyDescent="0.2">
      <c r="A1428" s="3">
        <f ca="1">IFERROR(__xludf.DUMMYFUNCTION("""COMPUTED_VALUE"""),40148.5555555555)</f>
        <v>40148.555555555497</v>
      </c>
      <c r="B1428" s="1">
        <f ca="1">IFERROR(__xludf.DUMMYFUNCTION("""COMPUTED_VALUE"""),5.95)</f>
        <v>5.95</v>
      </c>
      <c r="J1428" s="1" t="str">
        <f ca="1">IFERROR(__xludf.DUMMYFUNCTION("""COMPUTED_VALUE"""),"WOOD 2 DRAWER CABINET WHITE FINISH")</f>
        <v>WOOD 2 DRAWER CABINET WHITE FINISH</v>
      </c>
      <c r="K1428" s="1">
        <f ca="1">IFERROR(__xludf.DUMMYFUNCTION("""COMPUTED_VALUE"""),-1)</f>
        <v>-1</v>
      </c>
      <c r="L1428" s="1">
        <f ca="1">IFERROR(__xludf.DUMMYFUNCTION("""COMPUTED_VALUE"""),5.95)</f>
        <v>5.95</v>
      </c>
      <c r="T1428" s="1"/>
      <c r="U1428" s="1">
        <f ca="1">IFERROR(__xludf.DUMMYFUNCTION("""COMPUTED_VALUE"""),-5.95)</f>
        <v>-5.95</v>
      </c>
    </row>
    <row r="1429" spans="1:21" ht="12.75" x14ac:dyDescent="0.2">
      <c r="A1429" s="3">
        <f ca="1">IFERROR(__xludf.DUMMYFUNCTION("""COMPUTED_VALUE"""),40148.5555555555)</f>
        <v>40148.555555555497</v>
      </c>
      <c r="B1429" s="1">
        <f ca="1">IFERROR(__xludf.DUMMYFUNCTION("""COMPUTED_VALUE"""),4.95)</f>
        <v>4.95</v>
      </c>
      <c r="J1429" s="1" t="str">
        <f ca="1">IFERROR(__xludf.DUMMYFUNCTION("""COMPUTED_VALUE"""),"BAKING SET 9 PIECE RETROSPOT")</f>
        <v>BAKING SET 9 PIECE RETROSPOT</v>
      </c>
      <c r="K1429" s="1">
        <f ca="1">IFERROR(__xludf.DUMMYFUNCTION("""COMPUTED_VALUE"""),-1)</f>
        <v>-1</v>
      </c>
      <c r="L1429" s="1">
        <f ca="1">IFERROR(__xludf.DUMMYFUNCTION("""COMPUTED_VALUE"""),4.95)</f>
        <v>4.95</v>
      </c>
      <c r="T1429" s="1"/>
      <c r="U1429" s="1">
        <f ca="1">IFERROR(__xludf.DUMMYFUNCTION("""COMPUTED_VALUE"""),-4.95)</f>
        <v>-4.95</v>
      </c>
    </row>
    <row r="1430" spans="1:21" ht="12.75" x14ac:dyDescent="0.2">
      <c r="A1430" s="3">
        <f ca="1">IFERROR(__xludf.DUMMYFUNCTION("""COMPUTED_VALUE"""),40148.5555555555)</f>
        <v>40148.555555555497</v>
      </c>
      <c r="B1430" s="1">
        <f ca="1">IFERROR(__xludf.DUMMYFUNCTION("""COMPUTED_VALUE"""),3.75)</f>
        <v>3.75</v>
      </c>
      <c r="J1430" s="1" t="str">
        <f ca="1">IFERROR(__xludf.DUMMYFUNCTION("""COMPUTED_VALUE"""),"RED SPOTTY BISCUIT TIN")</f>
        <v>RED SPOTTY BISCUIT TIN</v>
      </c>
      <c r="K1430" s="1">
        <f ca="1">IFERROR(__xludf.DUMMYFUNCTION("""COMPUTED_VALUE"""),-1)</f>
        <v>-1</v>
      </c>
      <c r="L1430" s="1">
        <f ca="1">IFERROR(__xludf.DUMMYFUNCTION("""COMPUTED_VALUE"""),3.75)</f>
        <v>3.75</v>
      </c>
      <c r="T1430" s="1"/>
      <c r="U1430" s="1">
        <f ca="1">IFERROR(__xludf.DUMMYFUNCTION("""COMPUTED_VALUE"""),-3.75)</f>
        <v>-3.75</v>
      </c>
    </row>
    <row r="1431" spans="1:21" ht="12.75" x14ac:dyDescent="0.2">
      <c r="A1431" s="3">
        <f ca="1">IFERROR(__xludf.DUMMYFUNCTION("""COMPUTED_VALUE"""),40148.5611111111)</f>
        <v>40148.561111111099</v>
      </c>
      <c r="B1431" s="1">
        <f ca="1">IFERROR(__xludf.DUMMYFUNCTION("""COMPUTED_VALUE"""),6.75)</f>
        <v>6.75</v>
      </c>
      <c r="J1431" s="1" t="str">
        <f ca="1">IFERROR(__xludf.DUMMYFUNCTION("""COMPUTED_VALUE"""),"WHITE CHERRY LIGHTS")</f>
        <v>WHITE CHERRY LIGHTS</v>
      </c>
      <c r="K1431" s="1">
        <f ca="1">IFERROR(__xludf.DUMMYFUNCTION("""COMPUTED_VALUE"""),-1)</f>
        <v>-1</v>
      </c>
      <c r="L1431" s="1">
        <f ca="1">IFERROR(__xludf.DUMMYFUNCTION("""COMPUTED_VALUE"""),6.75)</f>
        <v>6.75</v>
      </c>
      <c r="T1431" s="1"/>
      <c r="U1431" s="1">
        <f ca="1">IFERROR(__xludf.DUMMYFUNCTION("""COMPUTED_VALUE"""),-6.75)</f>
        <v>-6.75</v>
      </c>
    </row>
    <row r="1432" spans="1:21" ht="12.75" x14ac:dyDescent="0.2">
      <c r="A1432" s="3">
        <f ca="1">IFERROR(__xludf.DUMMYFUNCTION("""COMPUTED_VALUE"""),40148.5611111111)</f>
        <v>40148.561111111099</v>
      </c>
      <c r="B1432" s="1">
        <f ca="1">IFERROR(__xludf.DUMMYFUNCTION("""COMPUTED_VALUE"""),5.95)</f>
        <v>5.95</v>
      </c>
      <c r="J1432" s="1" t="str">
        <f ca="1">IFERROR(__xludf.DUMMYFUNCTION("""COMPUTED_VALUE"""),"EDWARDIAN PARASOL NATURAL")</f>
        <v>EDWARDIAN PARASOL NATURAL</v>
      </c>
      <c r="K1432" s="1">
        <f ca="1">IFERROR(__xludf.DUMMYFUNCTION("""COMPUTED_VALUE"""),-1)</f>
        <v>-1</v>
      </c>
      <c r="L1432" s="1">
        <f ca="1">IFERROR(__xludf.DUMMYFUNCTION("""COMPUTED_VALUE"""),5.95)</f>
        <v>5.95</v>
      </c>
      <c r="T1432" s="1"/>
      <c r="U1432" s="1">
        <f ca="1">IFERROR(__xludf.DUMMYFUNCTION("""COMPUTED_VALUE"""),-5.95)</f>
        <v>-5.95</v>
      </c>
    </row>
    <row r="1433" spans="1:21" ht="12.75" x14ac:dyDescent="0.2">
      <c r="A1433" s="3">
        <f ca="1">IFERROR(__xludf.DUMMYFUNCTION("""COMPUTED_VALUE"""),40148.5611111111)</f>
        <v>40148.561111111099</v>
      </c>
      <c r="B1433" s="1">
        <f ca="1">IFERROR(__xludf.DUMMYFUNCTION("""COMPUTED_VALUE"""),6.75)</f>
        <v>6.75</v>
      </c>
      <c r="J1433" s="1" t="str">
        <f ca="1">IFERROR(__xludf.DUMMYFUNCTION("""COMPUTED_VALUE"""),"SILVER T-LIGHT SETTING")</f>
        <v>SILVER T-LIGHT SETTING</v>
      </c>
      <c r="K1433" s="1">
        <f ca="1">IFERROR(__xludf.DUMMYFUNCTION("""COMPUTED_VALUE"""),-1)</f>
        <v>-1</v>
      </c>
      <c r="L1433" s="1">
        <f ca="1">IFERROR(__xludf.DUMMYFUNCTION("""COMPUTED_VALUE"""),6.75)</f>
        <v>6.75</v>
      </c>
      <c r="T1433" s="1"/>
      <c r="U1433" s="1">
        <f ca="1">IFERROR(__xludf.DUMMYFUNCTION("""COMPUTED_VALUE"""),-6.75)</f>
        <v>-6.75</v>
      </c>
    </row>
    <row r="1434" spans="1:21" ht="12.75" x14ac:dyDescent="0.2">
      <c r="A1434" s="3">
        <f ca="1">IFERROR(__xludf.DUMMYFUNCTION("""COMPUTED_VALUE"""),40148.5611111111)</f>
        <v>40148.561111111099</v>
      </c>
      <c r="B1434" s="1">
        <f ca="1">IFERROR(__xludf.DUMMYFUNCTION("""COMPUTED_VALUE"""),2.95)</f>
        <v>2.95</v>
      </c>
      <c r="J1434" s="1" t="str">
        <f ca="1">IFERROR(__xludf.DUMMYFUNCTION("""COMPUTED_VALUE"""),"HANGING BAUBLE T-LIGHT HOLDER LARGE")</f>
        <v>HANGING BAUBLE T-LIGHT HOLDER LARGE</v>
      </c>
      <c r="K1434" s="1">
        <f ca="1">IFERROR(__xludf.DUMMYFUNCTION("""COMPUTED_VALUE"""),-1)</f>
        <v>-1</v>
      </c>
      <c r="L1434" s="1">
        <f ca="1">IFERROR(__xludf.DUMMYFUNCTION("""COMPUTED_VALUE"""),2.95)</f>
        <v>2.95</v>
      </c>
      <c r="T1434" s="1"/>
      <c r="U1434" s="1">
        <f ca="1">IFERROR(__xludf.DUMMYFUNCTION("""COMPUTED_VALUE"""),-2.95)</f>
        <v>-2.95</v>
      </c>
    </row>
    <row r="1435" spans="1:21" ht="12.75" x14ac:dyDescent="0.2">
      <c r="A1435" s="3">
        <f ca="1">IFERROR(__xludf.DUMMYFUNCTION("""COMPUTED_VALUE"""),40148.5618055555)</f>
        <v>40148.561805555502</v>
      </c>
      <c r="B1435" s="1">
        <f ca="1">IFERROR(__xludf.DUMMYFUNCTION("""COMPUTED_VALUE"""),1.25)</f>
        <v>1.25</v>
      </c>
      <c r="J1435" s="1" t="str">
        <f ca="1">IFERROR(__xludf.DUMMYFUNCTION("""COMPUTED_VALUE"""),"HEART IVORY TRELLIS SMALL")</f>
        <v>HEART IVORY TRELLIS SMALL</v>
      </c>
      <c r="K1435" s="1">
        <f ca="1">IFERROR(__xludf.DUMMYFUNCTION("""COMPUTED_VALUE"""),8)</f>
        <v>8</v>
      </c>
      <c r="L1435" s="1">
        <f ca="1">IFERROR(__xludf.DUMMYFUNCTION("""COMPUTED_VALUE"""),1.25)</f>
        <v>1.25</v>
      </c>
      <c r="T1435" s="1">
        <f ca="1">IFERROR(__xludf.DUMMYFUNCTION("""COMPUTED_VALUE"""),489571)</f>
        <v>489571</v>
      </c>
      <c r="U1435" s="1">
        <f ca="1">IFERROR(__xludf.DUMMYFUNCTION("""COMPUTED_VALUE"""),10)</f>
        <v>10</v>
      </c>
    </row>
    <row r="1436" spans="1:21" ht="12.75" x14ac:dyDescent="0.2">
      <c r="A1436" s="3">
        <f ca="1">IFERROR(__xludf.DUMMYFUNCTION("""COMPUTED_VALUE"""),40148.5618055555)</f>
        <v>40148.561805555502</v>
      </c>
      <c r="B1436" s="1">
        <f ca="1">IFERROR(__xludf.DUMMYFUNCTION("""COMPUTED_VALUE"""),2.95)</f>
        <v>2.95</v>
      </c>
      <c r="J1436" s="1" t="str">
        <f ca="1">IFERROR(__xludf.DUMMYFUNCTION("""COMPUTED_VALUE"""),"HEART GARLAND RUSTIC PADDED")</f>
        <v>HEART GARLAND RUSTIC PADDED</v>
      </c>
      <c r="K1436" s="1">
        <f ca="1">IFERROR(__xludf.DUMMYFUNCTION("""COMPUTED_VALUE"""),5)</f>
        <v>5</v>
      </c>
      <c r="L1436" s="1">
        <f ca="1">IFERROR(__xludf.DUMMYFUNCTION("""COMPUTED_VALUE"""),2.95)</f>
        <v>2.95</v>
      </c>
      <c r="T1436" s="1">
        <f ca="1">IFERROR(__xludf.DUMMYFUNCTION("""COMPUTED_VALUE"""),489571)</f>
        <v>489571</v>
      </c>
      <c r="U1436" s="1">
        <f ca="1">IFERROR(__xludf.DUMMYFUNCTION("""COMPUTED_VALUE"""),14.75)</f>
        <v>14.75</v>
      </c>
    </row>
    <row r="1437" spans="1:21" ht="12.75" x14ac:dyDescent="0.2">
      <c r="A1437" s="3">
        <f ca="1">IFERROR(__xludf.DUMMYFUNCTION("""COMPUTED_VALUE"""),40148.5618055555)</f>
        <v>40148.561805555502</v>
      </c>
      <c r="B1437" s="1">
        <f ca="1">IFERROR(__xludf.DUMMYFUNCTION("""COMPUTED_VALUE"""),1.65)</f>
        <v>1.65</v>
      </c>
      <c r="J1437" s="1" t="str">
        <f ca="1">IFERROR(__xludf.DUMMYFUNCTION("""COMPUTED_VALUE"""),"HEART IVORY TRELLIS LARGE")</f>
        <v>HEART IVORY TRELLIS LARGE</v>
      </c>
      <c r="K1437" s="1">
        <f ca="1">IFERROR(__xludf.DUMMYFUNCTION("""COMPUTED_VALUE"""),4)</f>
        <v>4</v>
      </c>
      <c r="L1437" s="1">
        <f ca="1">IFERROR(__xludf.DUMMYFUNCTION("""COMPUTED_VALUE"""),1.65)</f>
        <v>1.65</v>
      </c>
      <c r="T1437" s="1">
        <f ca="1">IFERROR(__xludf.DUMMYFUNCTION("""COMPUTED_VALUE"""),489571)</f>
        <v>489571</v>
      </c>
      <c r="U1437" s="1">
        <f ca="1">IFERROR(__xludf.DUMMYFUNCTION("""COMPUTED_VALUE"""),6.6)</f>
        <v>6.6</v>
      </c>
    </row>
    <row r="1438" spans="1:21" ht="12.75" x14ac:dyDescent="0.2">
      <c r="A1438" s="3">
        <f ca="1">IFERROR(__xludf.DUMMYFUNCTION("""COMPUTED_VALUE"""),40148.5618055555)</f>
        <v>40148.561805555502</v>
      </c>
      <c r="B1438" s="1">
        <f ca="1">IFERROR(__xludf.DUMMYFUNCTION("""COMPUTED_VALUE"""),3.95)</f>
        <v>3.95</v>
      </c>
      <c r="J1438" s="1" t="str">
        <f ca="1">IFERROR(__xludf.DUMMYFUNCTION("""COMPUTED_VALUE"""),"CREAM HEART CARD HOLDER")</f>
        <v>CREAM HEART CARD HOLDER</v>
      </c>
      <c r="K1438" s="1">
        <f ca="1">IFERROR(__xludf.DUMMYFUNCTION("""COMPUTED_VALUE"""),2)</f>
        <v>2</v>
      </c>
      <c r="L1438" s="1">
        <f ca="1">IFERROR(__xludf.DUMMYFUNCTION("""COMPUTED_VALUE"""),3.95)</f>
        <v>3.95</v>
      </c>
      <c r="T1438" s="1">
        <f ca="1">IFERROR(__xludf.DUMMYFUNCTION("""COMPUTED_VALUE"""),489571)</f>
        <v>489571</v>
      </c>
      <c r="U1438" s="1">
        <f ca="1">IFERROR(__xludf.DUMMYFUNCTION("""COMPUTED_VALUE"""),7.9)</f>
        <v>7.9</v>
      </c>
    </row>
    <row r="1439" spans="1:21" ht="12.75" x14ac:dyDescent="0.2">
      <c r="A1439" s="3">
        <f ca="1">IFERROR(__xludf.DUMMYFUNCTION("""COMPUTED_VALUE"""),40148.5618055555)</f>
        <v>40148.561805555502</v>
      </c>
      <c r="B1439" s="1">
        <f ca="1">IFERROR(__xludf.DUMMYFUNCTION("""COMPUTED_VALUE"""),1.95)</f>
        <v>1.95</v>
      </c>
      <c r="J1439" s="1" t="str">
        <f ca="1">IFERROR(__xludf.DUMMYFUNCTION("""COMPUTED_VALUE"""),"JUMBO  BAG BAROQUE BLACK WHITE")</f>
        <v>JUMBO  BAG BAROQUE BLACK WHITE</v>
      </c>
      <c r="K1439" s="1">
        <f ca="1">IFERROR(__xludf.DUMMYFUNCTION("""COMPUTED_VALUE"""),2)</f>
        <v>2</v>
      </c>
      <c r="L1439" s="1">
        <f ca="1">IFERROR(__xludf.DUMMYFUNCTION("""COMPUTED_VALUE"""),1.95)</f>
        <v>1.95</v>
      </c>
      <c r="T1439" s="1">
        <f ca="1">IFERROR(__xludf.DUMMYFUNCTION("""COMPUTED_VALUE"""),489571)</f>
        <v>489571</v>
      </c>
      <c r="U1439" s="1">
        <f ca="1">IFERROR(__xludf.DUMMYFUNCTION("""COMPUTED_VALUE"""),3.9)</f>
        <v>3.9</v>
      </c>
    </row>
    <row r="1440" spans="1:21" ht="12.75" x14ac:dyDescent="0.2">
      <c r="A1440" s="3">
        <f ca="1">IFERROR(__xludf.DUMMYFUNCTION("""COMPUTED_VALUE"""),40148.5618055555)</f>
        <v>40148.561805555502</v>
      </c>
      <c r="B1440" s="1">
        <f ca="1">IFERROR(__xludf.DUMMYFUNCTION("""COMPUTED_VALUE"""),1.25)</f>
        <v>1.25</v>
      </c>
      <c r="J1440" s="1" t="str">
        <f ca="1">IFERROR(__xludf.DUMMYFUNCTION("""COMPUTED_VALUE"""),"ZINC METAL HEART DECORATION")</f>
        <v>ZINC METAL HEART DECORATION</v>
      </c>
      <c r="K1440" s="1">
        <f ca="1">IFERROR(__xludf.DUMMYFUNCTION("""COMPUTED_VALUE"""),2)</f>
        <v>2</v>
      </c>
      <c r="L1440" s="1">
        <f ca="1">IFERROR(__xludf.DUMMYFUNCTION("""COMPUTED_VALUE"""),1.25)</f>
        <v>1.25</v>
      </c>
      <c r="T1440" s="1">
        <f ca="1">IFERROR(__xludf.DUMMYFUNCTION("""COMPUTED_VALUE"""),489571)</f>
        <v>489571</v>
      </c>
      <c r="U1440" s="1">
        <f ca="1">IFERROR(__xludf.DUMMYFUNCTION("""COMPUTED_VALUE"""),2.5)</f>
        <v>2.5</v>
      </c>
    </row>
    <row r="1441" spans="1:21" ht="12.75" x14ac:dyDescent="0.2">
      <c r="A1441" s="3">
        <f ca="1">IFERROR(__xludf.DUMMYFUNCTION("""COMPUTED_VALUE"""),40148.5618055555)</f>
        <v>40148.561805555502</v>
      </c>
      <c r="B1441" s="1">
        <f ca="1">IFERROR(__xludf.DUMMYFUNCTION("""COMPUTED_VALUE"""),12.75)</f>
        <v>12.75</v>
      </c>
      <c r="J1441" s="1" t="str">
        <f ca="1">IFERROR(__xludf.DUMMYFUNCTION("""COMPUTED_VALUE"""),"SET OF 4 DIAMOND NAPKIN RINGS")</f>
        <v>SET OF 4 DIAMOND NAPKIN RINGS</v>
      </c>
      <c r="K1441" s="1">
        <f ca="1">IFERROR(__xludf.DUMMYFUNCTION("""COMPUTED_VALUE"""),2)</f>
        <v>2</v>
      </c>
      <c r="L1441" s="1">
        <f ca="1">IFERROR(__xludf.DUMMYFUNCTION("""COMPUTED_VALUE"""),12.75)</f>
        <v>12.75</v>
      </c>
      <c r="T1441" s="1">
        <f ca="1">IFERROR(__xludf.DUMMYFUNCTION("""COMPUTED_VALUE"""),489571)</f>
        <v>489571</v>
      </c>
      <c r="U1441" s="1">
        <f ca="1">IFERROR(__xludf.DUMMYFUNCTION("""COMPUTED_VALUE"""),25.5)</f>
        <v>25.5</v>
      </c>
    </row>
    <row r="1442" spans="1:21" ht="12.75" x14ac:dyDescent="0.2">
      <c r="A1442" s="3">
        <f ca="1">IFERROR(__xludf.DUMMYFUNCTION("""COMPUTED_VALUE"""),40148.5618055555)</f>
        <v>40148.561805555502</v>
      </c>
      <c r="B1442" s="1">
        <f ca="1">IFERROR(__xludf.DUMMYFUNCTION("""COMPUTED_VALUE"""),8.5)</f>
        <v>8.5</v>
      </c>
      <c r="J1442" s="1" t="str">
        <f ca="1">IFERROR(__xludf.DUMMYFUNCTION("""COMPUTED_VALUE"""),"VINTAGE UNION JACK BUNTING")</f>
        <v>VINTAGE UNION JACK BUNTING</v>
      </c>
      <c r="K1442" s="1">
        <f ca="1">IFERROR(__xludf.DUMMYFUNCTION("""COMPUTED_VALUE"""),2)</f>
        <v>2</v>
      </c>
      <c r="L1442" s="1">
        <f ca="1">IFERROR(__xludf.DUMMYFUNCTION("""COMPUTED_VALUE"""),8.5)</f>
        <v>8.5</v>
      </c>
      <c r="T1442" s="1">
        <f ca="1">IFERROR(__xludf.DUMMYFUNCTION("""COMPUTED_VALUE"""),489571)</f>
        <v>489571</v>
      </c>
      <c r="U1442" s="1">
        <f ca="1">IFERROR(__xludf.DUMMYFUNCTION("""COMPUTED_VALUE"""),17)</f>
        <v>17</v>
      </c>
    </row>
    <row r="1443" spans="1:21" ht="12.75" x14ac:dyDescent="0.2">
      <c r="A1443" s="3">
        <f ca="1">IFERROR(__xludf.DUMMYFUNCTION("""COMPUTED_VALUE"""),40148.5618055555)</f>
        <v>40148.561805555502</v>
      </c>
      <c r="B1443" s="1">
        <f ca="1">IFERROR(__xludf.DUMMYFUNCTION("""COMPUTED_VALUE"""),2.95)</f>
        <v>2.95</v>
      </c>
      <c r="J1443" s="1" t="str">
        <f ca="1">IFERROR(__xludf.DUMMYFUNCTION("""COMPUTED_VALUE"""),"BLUE PILLAR CANDLE SILVER FLOCK")</f>
        <v>BLUE PILLAR CANDLE SILVER FLOCK</v>
      </c>
      <c r="K1443" s="1">
        <f ca="1">IFERROR(__xludf.DUMMYFUNCTION("""COMPUTED_VALUE"""),2)</f>
        <v>2</v>
      </c>
      <c r="L1443" s="1">
        <f ca="1">IFERROR(__xludf.DUMMYFUNCTION("""COMPUTED_VALUE"""),2.95)</f>
        <v>2.95</v>
      </c>
      <c r="T1443" s="1">
        <f ca="1">IFERROR(__xludf.DUMMYFUNCTION("""COMPUTED_VALUE"""),489571)</f>
        <v>489571</v>
      </c>
      <c r="U1443" s="1">
        <f ca="1">IFERROR(__xludf.DUMMYFUNCTION("""COMPUTED_VALUE"""),5.9)</f>
        <v>5.9</v>
      </c>
    </row>
    <row r="1444" spans="1:21" ht="12.75" x14ac:dyDescent="0.2">
      <c r="A1444" s="3">
        <f ca="1">IFERROR(__xludf.DUMMYFUNCTION("""COMPUTED_VALUE"""),40148.5618055555)</f>
        <v>40148.561805555502</v>
      </c>
      <c r="B1444" s="1">
        <f ca="1">IFERROR(__xludf.DUMMYFUNCTION("""COMPUTED_VALUE"""),4.25)</f>
        <v>4.25</v>
      </c>
      <c r="J1444" s="1" t="str">
        <f ca="1">IFERROR(__xludf.DUMMYFUNCTION("""COMPUTED_VALUE"""),"ROSE 1 WICK MORRIS BOXED CANDLE")</f>
        <v>ROSE 1 WICK MORRIS BOXED CANDLE</v>
      </c>
      <c r="K1444" s="1">
        <f ca="1">IFERROR(__xludf.DUMMYFUNCTION("""COMPUTED_VALUE"""),1)</f>
        <v>1</v>
      </c>
      <c r="L1444" s="1">
        <f ca="1">IFERROR(__xludf.DUMMYFUNCTION("""COMPUTED_VALUE"""),4.25)</f>
        <v>4.25</v>
      </c>
      <c r="T1444" s="1">
        <f ca="1">IFERROR(__xludf.DUMMYFUNCTION("""COMPUTED_VALUE"""),489571)</f>
        <v>489571</v>
      </c>
      <c r="U1444" s="1">
        <f ca="1">IFERROR(__xludf.DUMMYFUNCTION("""COMPUTED_VALUE"""),4.25)</f>
        <v>4.25</v>
      </c>
    </row>
    <row r="1445" spans="1:21" ht="12.75" x14ac:dyDescent="0.2">
      <c r="A1445" s="3">
        <f ca="1">IFERROR(__xludf.DUMMYFUNCTION("""COMPUTED_VALUE"""),40148.5618055555)</f>
        <v>40148.561805555502</v>
      </c>
      <c r="B1445" s="1">
        <f ca="1">IFERROR(__xludf.DUMMYFUNCTION("""COMPUTED_VALUE"""),3.75)</f>
        <v>3.75</v>
      </c>
      <c r="J1445" s="1" t="str">
        <f ca="1">IFERROR(__xludf.DUMMYFUNCTION("""COMPUTED_VALUE"""),"GREY FLORAL FELTCRAFT SHOULDER BAG")</f>
        <v>GREY FLORAL FELTCRAFT SHOULDER BAG</v>
      </c>
      <c r="K1445" s="1">
        <f ca="1">IFERROR(__xludf.DUMMYFUNCTION("""COMPUTED_VALUE"""),1)</f>
        <v>1</v>
      </c>
      <c r="L1445" s="1">
        <f ca="1">IFERROR(__xludf.DUMMYFUNCTION("""COMPUTED_VALUE"""),3.75)</f>
        <v>3.75</v>
      </c>
      <c r="T1445" s="1">
        <f ca="1">IFERROR(__xludf.DUMMYFUNCTION("""COMPUTED_VALUE"""),489571)</f>
        <v>489571</v>
      </c>
      <c r="U1445" s="1">
        <f ca="1">IFERROR(__xludf.DUMMYFUNCTION("""COMPUTED_VALUE"""),3.75)</f>
        <v>3.75</v>
      </c>
    </row>
    <row r="1446" spans="1:21" ht="12.75" x14ac:dyDescent="0.2">
      <c r="A1446" s="3">
        <f ca="1">IFERROR(__xludf.DUMMYFUNCTION("""COMPUTED_VALUE"""),40148.5618055555)</f>
        <v>40148.561805555502</v>
      </c>
      <c r="B1446" s="1">
        <f ca="1">IFERROR(__xludf.DUMMYFUNCTION("""COMPUTED_VALUE"""),0.65)</f>
        <v>0.65</v>
      </c>
      <c r="J1446" s="1" t="str">
        <f ca="1">IFERROR(__xludf.DUMMYFUNCTION("""COMPUTED_VALUE"""),"12 PENCILS SMALL TUBE RED SPOTTY")</f>
        <v>12 PENCILS SMALL TUBE RED SPOTTY</v>
      </c>
      <c r="K1446" s="1">
        <f ca="1">IFERROR(__xludf.DUMMYFUNCTION("""COMPUTED_VALUE"""),1)</f>
        <v>1</v>
      </c>
      <c r="L1446" s="1">
        <f ca="1">IFERROR(__xludf.DUMMYFUNCTION("""COMPUTED_VALUE"""),0.65)</f>
        <v>0.65</v>
      </c>
      <c r="T1446" s="1">
        <f ca="1">IFERROR(__xludf.DUMMYFUNCTION("""COMPUTED_VALUE"""),489571)</f>
        <v>489571</v>
      </c>
      <c r="U1446" s="1">
        <f ca="1">IFERROR(__xludf.DUMMYFUNCTION("""COMPUTED_VALUE"""),0.65)</f>
        <v>0.65</v>
      </c>
    </row>
    <row r="1447" spans="1:21" ht="12.75" x14ac:dyDescent="0.2">
      <c r="A1447" s="3">
        <f ca="1">IFERROR(__xludf.DUMMYFUNCTION("""COMPUTED_VALUE"""),40148.5618055555)</f>
        <v>40148.561805555502</v>
      </c>
      <c r="B1447" s="1">
        <f ca="1">IFERROR(__xludf.DUMMYFUNCTION("""COMPUTED_VALUE"""),6.75)</f>
        <v>6.75</v>
      </c>
      <c r="J1447" s="1" t="str">
        <f ca="1">IFERROR(__xludf.DUMMYFUNCTION("""COMPUTED_VALUE"""),"WHITE CHERRY LIGHTS")</f>
        <v>WHITE CHERRY LIGHTS</v>
      </c>
      <c r="K1447" s="1">
        <f ca="1">IFERROR(__xludf.DUMMYFUNCTION("""COMPUTED_VALUE"""),1)</f>
        <v>1</v>
      </c>
      <c r="L1447" s="1">
        <f ca="1">IFERROR(__xludf.DUMMYFUNCTION("""COMPUTED_VALUE"""),6.75)</f>
        <v>6.75</v>
      </c>
      <c r="T1447" s="1">
        <f ca="1">IFERROR(__xludf.DUMMYFUNCTION("""COMPUTED_VALUE"""),489571)</f>
        <v>489571</v>
      </c>
      <c r="U1447" s="1">
        <f ca="1">IFERROR(__xludf.DUMMYFUNCTION("""COMPUTED_VALUE"""),6.75)</f>
        <v>6.75</v>
      </c>
    </row>
    <row r="1448" spans="1:21" ht="12.75" x14ac:dyDescent="0.2">
      <c r="A1448" s="3">
        <f ca="1">IFERROR(__xludf.DUMMYFUNCTION("""COMPUTED_VALUE"""),40148.5618055555)</f>
        <v>40148.561805555502</v>
      </c>
      <c r="B1448" s="1">
        <f ca="1">IFERROR(__xludf.DUMMYFUNCTION("""COMPUTED_VALUE"""),0.21)</f>
        <v>0.21</v>
      </c>
      <c r="J1448" s="1" t="str">
        <f ca="1">IFERROR(__xludf.DUMMYFUNCTION("""COMPUTED_VALUE"""),"SLEEPING CAT ERASERS")</f>
        <v>SLEEPING CAT ERASERS</v>
      </c>
      <c r="K1448" s="1">
        <f ca="1">IFERROR(__xludf.DUMMYFUNCTION("""COMPUTED_VALUE"""),1)</f>
        <v>1</v>
      </c>
      <c r="L1448" s="1">
        <f ca="1">IFERROR(__xludf.DUMMYFUNCTION("""COMPUTED_VALUE"""),0.21)</f>
        <v>0.21</v>
      </c>
      <c r="T1448" s="1">
        <f ca="1">IFERROR(__xludf.DUMMYFUNCTION("""COMPUTED_VALUE"""),489571)</f>
        <v>489571</v>
      </c>
      <c r="U1448" s="1">
        <f ca="1">IFERROR(__xludf.DUMMYFUNCTION("""COMPUTED_VALUE"""),0.21)</f>
        <v>0.21</v>
      </c>
    </row>
    <row r="1449" spans="1:21" ht="12.75" x14ac:dyDescent="0.2">
      <c r="A1449" s="3">
        <f ca="1">IFERROR(__xludf.DUMMYFUNCTION("""COMPUTED_VALUE"""),40148.5618055555)</f>
        <v>40148.561805555502</v>
      </c>
      <c r="B1449" s="1">
        <f ca="1">IFERROR(__xludf.DUMMYFUNCTION("""COMPUTED_VALUE"""),2.95)</f>
        <v>2.95</v>
      </c>
      <c r="J1449" s="1" t="str">
        <f ca="1">IFERROR(__xludf.DUMMYFUNCTION("""COMPUTED_VALUE"""),"SILVER GLASS T-LIGHT SET")</f>
        <v>SILVER GLASS T-LIGHT SET</v>
      </c>
      <c r="K1449" s="1">
        <f ca="1">IFERROR(__xludf.DUMMYFUNCTION("""COMPUTED_VALUE"""),1)</f>
        <v>1</v>
      </c>
      <c r="L1449" s="1">
        <f ca="1">IFERROR(__xludf.DUMMYFUNCTION("""COMPUTED_VALUE"""),2.95)</f>
        <v>2.95</v>
      </c>
      <c r="T1449" s="1">
        <f ca="1">IFERROR(__xludf.DUMMYFUNCTION("""COMPUTED_VALUE"""),489571)</f>
        <v>489571</v>
      </c>
      <c r="U1449" s="1">
        <f ca="1">IFERROR(__xludf.DUMMYFUNCTION("""COMPUTED_VALUE"""),2.95)</f>
        <v>2.95</v>
      </c>
    </row>
    <row r="1450" spans="1:21" ht="12.75" x14ac:dyDescent="0.2">
      <c r="A1450" s="3">
        <f ca="1">IFERROR(__xludf.DUMMYFUNCTION("""COMPUTED_VALUE"""),40148.5618055555)</f>
        <v>40148.561805555502</v>
      </c>
      <c r="B1450" s="1">
        <f ca="1">IFERROR(__xludf.DUMMYFUNCTION("""COMPUTED_VALUE"""),2.95)</f>
        <v>2.95</v>
      </c>
      <c r="J1450" s="1" t="str">
        <f ca="1">IFERROR(__xludf.DUMMYFUNCTION("""COMPUTED_VALUE"""),"FELTCRAFT DOLL MOLLY")</f>
        <v>FELTCRAFT DOLL MOLLY</v>
      </c>
      <c r="K1450" s="1">
        <f ca="1">IFERROR(__xludf.DUMMYFUNCTION("""COMPUTED_VALUE"""),1)</f>
        <v>1</v>
      </c>
      <c r="L1450" s="1">
        <f ca="1">IFERROR(__xludf.DUMMYFUNCTION("""COMPUTED_VALUE"""),2.95)</f>
        <v>2.95</v>
      </c>
      <c r="T1450" s="1">
        <f ca="1">IFERROR(__xludf.DUMMYFUNCTION("""COMPUTED_VALUE"""),489571)</f>
        <v>489571</v>
      </c>
      <c r="U1450" s="1">
        <f ca="1">IFERROR(__xludf.DUMMYFUNCTION("""COMPUTED_VALUE"""),2.95)</f>
        <v>2.95</v>
      </c>
    </row>
    <row r="1451" spans="1:21" ht="12.75" x14ac:dyDescent="0.2">
      <c r="A1451" s="3">
        <f ca="1">IFERROR(__xludf.DUMMYFUNCTION("""COMPUTED_VALUE"""),40148.5618055555)</f>
        <v>40148.561805555502</v>
      </c>
      <c r="B1451" s="1">
        <f ca="1">IFERROR(__xludf.DUMMYFUNCTION("""COMPUTED_VALUE"""),2.95)</f>
        <v>2.95</v>
      </c>
      <c r="J1451" s="1" t="str">
        <f ca="1">IFERROR(__xludf.DUMMYFUNCTION("""COMPUTED_VALUE"""),"FELTCRAFT DOLL MARIA")</f>
        <v>FELTCRAFT DOLL MARIA</v>
      </c>
      <c r="K1451" s="1">
        <f ca="1">IFERROR(__xludf.DUMMYFUNCTION("""COMPUTED_VALUE"""),1)</f>
        <v>1</v>
      </c>
      <c r="L1451" s="1">
        <f ca="1">IFERROR(__xludf.DUMMYFUNCTION("""COMPUTED_VALUE"""),2.95)</f>
        <v>2.95</v>
      </c>
      <c r="T1451" s="1">
        <f ca="1">IFERROR(__xludf.DUMMYFUNCTION("""COMPUTED_VALUE"""),489571)</f>
        <v>489571</v>
      </c>
      <c r="U1451" s="1">
        <f ca="1">IFERROR(__xludf.DUMMYFUNCTION("""COMPUTED_VALUE"""),2.95)</f>
        <v>2.95</v>
      </c>
    </row>
    <row r="1452" spans="1:21" ht="12.75" x14ac:dyDescent="0.2">
      <c r="A1452" s="3">
        <f ca="1">IFERROR(__xludf.DUMMYFUNCTION("""COMPUTED_VALUE"""),40148.5618055555)</f>
        <v>40148.561805555502</v>
      </c>
      <c r="B1452" s="1">
        <f ca="1">IFERROR(__xludf.DUMMYFUNCTION("""COMPUTED_VALUE"""),2.95)</f>
        <v>2.95</v>
      </c>
      <c r="J1452" s="1" t="str">
        <f ca="1">IFERROR(__xludf.DUMMYFUNCTION("""COMPUTED_VALUE"""),"FELTCRAFT DOLL ROSIE")</f>
        <v>FELTCRAFT DOLL ROSIE</v>
      </c>
      <c r="K1452" s="1">
        <f ca="1">IFERROR(__xludf.DUMMYFUNCTION("""COMPUTED_VALUE"""),1)</f>
        <v>1</v>
      </c>
      <c r="L1452" s="1">
        <f ca="1">IFERROR(__xludf.DUMMYFUNCTION("""COMPUTED_VALUE"""),2.95)</f>
        <v>2.95</v>
      </c>
      <c r="T1452" s="1">
        <f ca="1">IFERROR(__xludf.DUMMYFUNCTION("""COMPUTED_VALUE"""),489571)</f>
        <v>489571</v>
      </c>
      <c r="U1452" s="1">
        <f ca="1">IFERROR(__xludf.DUMMYFUNCTION("""COMPUTED_VALUE"""),2.95)</f>
        <v>2.95</v>
      </c>
    </row>
    <row r="1453" spans="1:21" ht="12.75" x14ac:dyDescent="0.2">
      <c r="A1453" s="3">
        <f ca="1">IFERROR(__xludf.DUMMYFUNCTION("""COMPUTED_VALUE"""),40148.5618055555)</f>
        <v>40148.561805555502</v>
      </c>
      <c r="B1453" s="1">
        <f ca="1">IFERROR(__xludf.DUMMYFUNCTION("""COMPUTED_VALUE"""),2.1)</f>
        <v>2.1</v>
      </c>
      <c r="J1453" s="1" t="str">
        <f ca="1">IFERROR(__xludf.DUMMYFUNCTION("""COMPUTED_VALUE"""),"PLEASE ONE PERSON  METAL SIGN")</f>
        <v>PLEASE ONE PERSON  METAL SIGN</v>
      </c>
      <c r="K1453" s="1">
        <f ca="1">IFERROR(__xludf.DUMMYFUNCTION("""COMPUTED_VALUE"""),1)</f>
        <v>1</v>
      </c>
      <c r="L1453" s="1">
        <f ca="1">IFERROR(__xludf.DUMMYFUNCTION("""COMPUTED_VALUE"""),2.1)</f>
        <v>2.1</v>
      </c>
      <c r="T1453" s="1">
        <f ca="1">IFERROR(__xludf.DUMMYFUNCTION("""COMPUTED_VALUE"""),489571)</f>
        <v>489571</v>
      </c>
      <c r="U1453" s="1">
        <f ca="1">IFERROR(__xludf.DUMMYFUNCTION("""COMPUTED_VALUE"""),2.1)</f>
        <v>2.1</v>
      </c>
    </row>
    <row r="1454" spans="1:21" ht="12.75" x14ac:dyDescent="0.2">
      <c r="A1454" s="3">
        <f ca="1">IFERROR(__xludf.DUMMYFUNCTION("""COMPUTED_VALUE"""),40148.5618055555)</f>
        <v>40148.561805555502</v>
      </c>
      <c r="B1454" s="1">
        <f ca="1">IFERROR(__xludf.DUMMYFUNCTION("""COMPUTED_VALUE"""),3.45)</f>
        <v>3.45</v>
      </c>
      <c r="J1454" s="1" t="str">
        <f ca="1">IFERROR(__xludf.DUMMYFUNCTION("""COMPUTED_VALUE"""),"CHICK GREY HOT WATER BOTTLE")</f>
        <v>CHICK GREY HOT WATER BOTTLE</v>
      </c>
      <c r="K1454" s="1">
        <f ca="1">IFERROR(__xludf.DUMMYFUNCTION("""COMPUTED_VALUE"""),1)</f>
        <v>1</v>
      </c>
      <c r="L1454" s="1">
        <f ca="1">IFERROR(__xludf.DUMMYFUNCTION("""COMPUTED_VALUE"""),3.45)</f>
        <v>3.45</v>
      </c>
      <c r="T1454" s="1">
        <f ca="1">IFERROR(__xludf.DUMMYFUNCTION("""COMPUTED_VALUE"""),489571)</f>
        <v>489571</v>
      </c>
      <c r="U1454" s="1">
        <f ca="1">IFERROR(__xludf.DUMMYFUNCTION("""COMPUTED_VALUE"""),3.45)</f>
        <v>3.45</v>
      </c>
    </row>
    <row r="1455" spans="1:21" ht="12.75" x14ac:dyDescent="0.2">
      <c r="A1455" s="3">
        <f ca="1">IFERROR(__xludf.DUMMYFUNCTION("""COMPUTED_VALUE"""),40148.5618055555)</f>
        <v>40148.561805555502</v>
      </c>
      <c r="B1455" s="1">
        <f ca="1">IFERROR(__xludf.DUMMYFUNCTION("""COMPUTED_VALUE"""),3.75)</f>
        <v>3.75</v>
      </c>
      <c r="J1455" s="1" t="str">
        <f ca="1">IFERROR(__xludf.DUMMYFUNCTION("""COMPUTED_VALUE"""),"WHITE SKULL HOT WATER BOTTLE")</f>
        <v>WHITE SKULL HOT WATER BOTTLE</v>
      </c>
      <c r="K1455" s="1">
        <f ca="1">IFERROR(__xludf.DUMMYFUNCTION("""COMPUTED_VALUE"""),1)</f>
        <v>1</v>
      </c>
      <c r="L1455" s="1">
        <f ca="1">IFERROR(__xludf.DUMMYFUNCTION("""COMPUTED_VALUE"""),3.75)</f>
        <v>3.75</v>
      </c>
      <c r="T1455" s="1">
        <f ca="1">IFERROR(__xludf.DUMMYFUNCTION("""COMPUTED_VALUE"""),489571)</f>
        <v>489571</v>
      </c>
      <c r="U1455" s="1">
        <f ca="1">IFERROR(__xludf.DUMMYFUNCTION("""COMPUTED_VALUE"""),3.75)</f>
        <v>3.75</v>
      </c>
    </row>
    <row r="1456" spans="1:21" ht="12.75" x14ac:dyDescent="0.2">
      <c r="A1456" s="3">
        <f ca="1">IFERROR(__xludf.DUMMYFUNCTION("""COMPUTED_VALUE"""),40148.5618055555)</f>
        <v>40148.561805555502</v>
      </c>
      <c r="B1456" s="1">
        <f ca="1">IFERROR(__xludf.DUMMYFUNCTION("""COMPUTED_VALUE"""),1.25)</f>
        <v>1.25</v>
      </c>
      <c r="J1456" s="1" t="str">
        <f ca="1">IFERROR(__xludf.DUMMYFUNCTION("""COMPUTED_VALUE"""),"KINGS CHOICE CIGAR BOX MATCHES")</f>
        <v>KINGS CHOICE CIGAR BOX MATCHES</v>
      </c>
      <c r="K1456" s="1">
        <f ca="1">IFERROR(__xludf.DUMMYFUNCTION("""COMPUTED_VALUE"""),1)</f>
        <v>1</v>
      </c>
      <c r="L1456" s="1">
        <f ca="1">IFERROR(__xludf.DUMMYFUNCTION("""COMPUTED_VALUE"""),1.25)</f>
        <v>1.25</v>
      </c>
      <c r="T1456" s="1">
        <f ca="1">IFERROR(__xludf.DUMMYFUNCTION("""COMPUTED_VALUE"""),489571)</f>
        <v>489571</v>
      </c>
      <c r="U1456" s="1">
        <f ca="1">IFERROR(__xludf.DUMMYFUNCTION("""COMPUTED_VALUE"""),1.25)</f>
        <v>1.25</v>
      </c>
    </row>
    <row r="1457" spans="1:21" ht="12.75" x14ac:dyDescent="0.2">
      <c r="A1457" s="3">
        <f ca="1">IFERROR(__xludf.DUMMYFUNCTION("""COMPUTED_VALUE"""),40148.5618055555)</f>
        <v>40148.561805555502</v>
      </c>
      <c r="B1457" s="1">
        <f ca="1">IFERROR(__xludf.DUMMYFUNCTION("""COMPUTED_VALUE"""),2.55)</f>
        <v>2.5499999999999998</v>
      </c>
      <c r="J1457" s="1" t="str">
        <f ca="1">IFERROR(__xludf.DUMMYFUNCTION("""COMPUTED_VALUE"""),"COSY HOUR GIANT TUBE MATCHES")</f>
        <v>COSY HOUR GIANT TUBE MATCHES</v>
      </c>
      <c r="K1457" s="1">
        <f ca="1">IFERROR(__xludf.DUMMYFUNCTION("""COMPUTED_VALUE"""),1)</f>
        <v>1</v>
      </c>
      <c r="L1457" s="1">
        <f ca="1">IFERROR(__xludf.DUMMYFUNCTION("""COMPUTED_VALUE"""),2.55)</f>
        <v>2.5499999999999998</v>
      </c>
      <c r="T1457" s="1">
        <f ca="1">IFERROR(__xludf.DUMMYFUNCTION("""COMPUTED_VALUE"""),489571)</f>
        <v>489571</v>
      </c>
      <c r="U1457" s="1">
        <f ca="1">IFERROR(__xludf.DUMMYFUNCTION("""COMPUTED_VALUE"""),2.55)</f>
        <v>2.5499999999999998</v>
      </c>
    </row>
    <row r="1458" spans="1:21" ht="12.75" x14ac:dyDescent="0.2">
      <c r="A1458" s="3">
        <f ca="1">IFERROR(__xludf.DUMMYFUNCTION("""COMPUTED_VALUE"""),40148.5618055555)</f>
        <v>40148.561805555502</v>
      </c>
      <c r="B1458" s="1">
        <f ca="1">IFERROR(__xludf.DUMMYFUNCTION("""COMPUTED_VALUE"""),4.95)</f>
        <v>4.95</v>
      </c>
      <c r="J1458" s="1" t="str">
        <f ca="1">IFERROR(__xludf.DUMMYFUNCTION("""COMPUTED_VALUE"""),"GLASS STAR FROSTED T-LIGHT HOLDER")</f>
        <v>GLASS STAR FROSTED T-LIGHT HOLDER</v>
      </c>
      <c r="K1458" s="1">
        <f ca="1">IFERROR(__xludf.DUMMYFUNCTION("""COMPUTED_VALUE"""),1)</f>
        <v>1</v>
      </c>
      <c r="L1458" s="1">
        <f ca="1">IFERROR(__xludf.DUMMYFUNCTION("""COMPUTED_VALUE"""),4.95)</f>
        <v>4.95</v>
      </c>
      <c r="T1458" s="1">
        <f ca="1">IFERROR(__xludf.DUMMYFUNCTION("""COMPUTED_VALUE"""),489571)</f>
        <v>489571</v>
      </c>
      <c r="U1458" s="1">
        <f ca="1">IFERROR(__xludf.DUMMYFUNCTION("""COMPUTED_VALUE"""),4.95)</f>
        <v>4.95</v>
      </c>
    </row>
    <row r="1459" spans="1:21" ht="12.75" x14ac:dyDescent="0.2">
      <c r="A1459" s="3">
        <f ca="1">IFERROR(__xludf.DUMMYFUNCTION("""COMPUTED_VALUE"""),40148.5618055555)</f>
        <v>40148.561805555502</v>
      </c>
      <c r="B1459" s="1">
        <f ca="1">IFERROR(__xludf.DUMMYFUNCTION("""COMPUTED_VALUE"""),4.95)</f>
        <v>4.95</v>
      </c>
      <c r="J1459" s="1" t="str">
        <f ca="1">IFERROR(__xludf.DUMMYFUNCTION("""COMPUTED_VALUE"""),"BAKING SET 9 PIECE RETROSPOT")</f>
        <v>BAKING SET 9 PIECE RETROSPOT</v>
      </c>
      <c r="K1459" s="1">
        <f ca="1">IFERROR(__xludf.DUMMYFUNCTION("""COMPUTED_VALUE"""),1)</f>
        <v>1</v>
      </c>
      <c r="L1459" s="1">
        <f ca="1">IFERROR(__xludf.DUMMYFUNCTION("""COMPUTED_VALUE"""),4.95)</f>
        <v>4.95</v>
      </c>
      <c r="T1459" s="1">
        <f ca="1">IFERROR(__xludf.DUMMYFUNCTION("""COMPUTED_VALUE"""),489571)</f>
        <v>489571</v>
      </c>
      <c r="U1459" s="1">
        <f ca="1">IFERROR(__xludf.DUMMYFUNCTION("""COMPUTED_VALUE"""),4.95)</f>
        <v>4.95</v>
      </c>
    </row>
    <row r="1460" spans="1:21" ht="12.75" x14ac:dyDescent="0.2">
      <c r="A1460" s="3">
        <f ca="1">IFERROR(__xludf.DUMMYFUNCTION("""COMPUTED_VALUE"""),40148.5618055555)</f>
        <v>40148.561805555502</v>
      </c>
      <c r="B1460" s="1">
        <f ca="1">IFERROR(__xludf.DUMMYFUNCTION("""COMPUTED_VALUE"""),2.95)</f>
        <v>2.95</v>
      </c>
      <c r="J1460" s="1" t="str">
        <f ca="1">IFERROR(__xludf.DUMMYFUNCTION("""COMPUTED_VALUE"""),"HANGING BAUBLE T-LIGHT HOLDER LARGE")</f>
        <v>HANGING BAUBLE T-LIGHT HOLDER LARGE</v>
      </c>
      <c r="K1460" s="1">
        <f ca="1">IFERROR(__xludf.DUMMYFUNCTION("""COMPUTED_VALUE"""),1)</f>
        <v>1</v>
      </c>
      <c r="L1460" s="1">
        <f ca="1">IFERROR(__xludf.DUMMYFUNCTION("""COMPUTED_VALUE"""),2.95)</f>
        <v>2.95</v>
      </c>
      <c r="T1460" s="1">
        <f ca="1">IFERROR(__xludf.DUMMYFUNCTION("""COMPUTED_VALUE"""),489571)</f>
        <v>489571</v>
      </c>
      <c r="U1460" s="1">
        <f ca="1">IFERROR(__xludf.DUMMYFUNCTION("""COMPUTED_VALUE"""),2.95)</f>
        <v>2.95</v>
      </c>
    </row>
    <row r="1461" spans="1:21" ht="12.75" x14ac:dyDescent="0.2">
      <c r="A1461" s="3">
        <f ca="1">IFERROR(__xludf.DUMMYFUNCTION("""COMPUTED_VALUE"""),40148.5618055555)</f>
        <v>40148.561805555502</v>
      </c>
      <c r="B1461" s="1">
        <f ca="1">IFERROR(__xludf.DUMMYFUNCTION("""COMPUTED_VALUE"""),2.95)</f>
        <v>2.95</v>
      </c>
      <c r="J1461" s="1" t="str">
        <f ca="1">IFERROR(__xludf.DUMMYFUNCTION("""COMPUTED_VALUE"""),"COSY SLIPPER SHOES LARGE GREEN")</f>
        <v>COSY SLIPPER SHOES LARGE GREEN</v>
      </c>
      <c r="K1461" s="1">
        <f ca="1">IFERROR(__xludf.DUMMYFUNCTION("""COMPUTED_VALUE"""),1)</f>
        <v>1</v>
      </c>
      <c r="L1461" s="1">
        <f ca="1">IFERROR(__xludf.DUMMYFUNCTION("""COMPUTED_VALUE"""),2.95)</f>
        <v>2.95</v>
      </c>
      <c r="T1461" s="1">
        <f ca="1">IFERROR(__xludf.DUMMYFUNCTION("""COMPUTED_VALUE"""),489571)</f>
        <v>489571</v>
      </c>
      <c r="U1461" s="1">
        <f ca="1">IFERROR(__xludf.DUMMYFUNCTION("""COMPUTED_VALUE"""),2.95)</f>
        <v>2.95</v>
      </c>
    </row>
    <row r="1462" spans="1:21" ht="12.75" x14ac:dyDescent="0.2">
      <c r="A1462" s="3">
        <f ca="1">IFERROR(__xludf.DUMMYFUNCTION("""COMPUTED_VALUE"""),40148.5618055555)</f>
        <v>40148.561805555502</v>
      </c>
      <c r="B1462" s="1">
        <f ca="1">IFERROR(__xludf.DUMMYFUNCTION("""COMPUTED_VALUE"""),2.95)</f>
        <v>2.95</v>
      </c>
      <c r="J1462" s="1" t="str">
        <f ca="1">IFERROR(__xludf.DUMMYFUNCTION("""COMPUTED_VALUE"""),"COSY SLIPPER SHOES LARGE RED")</f>
        <v>COSY SLIPPER SHOES LARGE RED</v>
      </c>
      <c r="K1462" s="1">
        <f ca="1">IFERROR(__xludf.DUMMYFUNCTION("""COMPUTED_VALUE"""),1)</f>
        <v>1</v>
      </c>
      <c r="L1462" s="1">
        <f ca="1">IFERROR(__xludf.DUMMYFUNCTION("""COMPUTED_VALUE"""),2.95)</f>
        <v>2.95</v>
      </c>
      <c r="T1462" s="1">
        <f ca="1">IFERROR(__xludf.DUMMYFUNCTION("""COMPUTED_VALUE"""),489571)</f>
        <v>489571</v>
      </c>
      <c r="U1462" s="1">
        <f ca="1">IFERROR(__xludf.DUMMYFUNCTION("""COMPUTED_VALUE"""),2.95)</f>
        <v>2.95</v>
      </c>
    </row>
    <row r="1463" spans="1:21" ht="12.75" x14ac:dyDescent="0.2">
      <c r="A1463" s="3">
        <f ca="1">IFERROR(__xludf.DUMMYFUNCTION("""COMPUTED_VALUE"""),40148.5618055555)</f>
        <v>40148.561805555502</v>
      </c>
      <c r="B1463" s="1">
        <f ca="1">IFERROR(__xludf.DUMMYFUNCTION("""COMPUTED_VALUE"""),2.55)</f>
        <v>2.5499999999999998</v>
      </c>
      <c r="J1463" s="1" t="str">
        <f ca="1">IFERROR(__xludf.DUMMYFUNCTION("""COMPUTED_VALUE"""),"CHARLIE+LOLA MY ROOM DOOR SIGN")</f>
        <v>CHARLIE+LOLA MY ROOM DOOR SIGN</v>
      </c>
      <c r="K1463" s="1">
        <f ca="1">IFERROR(__xludf.DUMMYFUNCTION("""COMPUTED_VALUE"""),1)</f>
        <v>1</v>
      </c>
      <c r="L1463" s="1">
        <f ca="1">IFERROR(__xludf.DUMMYFUNCTION("""COMPUTED_VALUE"""),2.55)</f>
        <v>2.5499999999999998</v>
      </c>
      <c r="T1463" s="1">
        <f ca="1">IFERROR(__xludf.DUMMYFUNCTION("""COMPUTED_VALUE"""),489571)</f>
        <v>489571</v>
      </c>
      <c r="U1463" s="1">
        <f ca="1">IFERROR(__xludf.DUMMYFUNCTION("""COMPUTED_VALUE"""),2.55)</f>
        <v>2.5499999999999998</v>
      </c>
    </row>
    <row r="1464" spans="1:21" ht="12.75" x14ac:dyDescent="0.2">
      <c r="A1464" s="3">
        <f ca="1">IFERROR(__xludf.DUMMYFUNCTION("""COMPUTED_VALUE"""),40148.5618055555)</f>
        <v>40148.561805555502</v>
      </c>
      <c r="B1464" s="1">
        <f ca="1">IFERROR(__xludf.DUMMYFUNCTION("""COMPUTED_VALUE"""),0.85)</f>
        <v>0.85</v>
      </c>
      <c r="J1464" s="1" t="str">
        <f ca="1">IFERROR(__xludf.DUMMYFUNCTION("""COMPUTED_VALUE"""),"PANDA AND BUNNIES STICKER SHEET")</f>
        <v>PANDA AND BUNNIES STICKER SHEET</v>
      </c>
      <c r="K1464" s="1">
        <f ca="1">IFERROR(__xludf.DUMMYFUNCTION("""COMPUTED_VALUE"""),1)</f>
        <v>1</v>
      </c>
      <c r="L1464" s="1">
        <f ca="1">IFERROR(__xludf.DUMMYFUNCTION("""COMPUTED_VALUE"""),0.85)</f>
        <v>0.85</v>
      </c>
      <c r="T1464" s="1">
        <f ca="1">IFERROR(__xludf.DUMMYFUNCTION("""COMPUTED_VALUE"""),489571)</f>
        <v>489571</v>
      </c>
      <c r="U1464" s="1">
        <f ca="1">IFERROR(__xludf.DUMMYFUNCTION("""COMPUTED_VALUE"""),0.85)</f>
        <v>0.85</v>
      </c>
    </row>
    <row r="1465" spans="1:21" ht="12.75" x14ac:dyDescent="0.2">
      <c r="A1465" s="3">
        <f ca="1">IFERROR(__xludf.DUMMYFUNCTION("""COMPUTED_VALUE"""),40148.5618055555)</f>
        <v>40148.561805555502</v>
      </c>
      <c r="B1465" s="1">
        <f ca="1">IFERROR(__xludf.DUMMYFUNCTION("""COMPUTED_VALUE"""),0.42)</f>
        <v>0.42</v>
      </c>
      <c r="J1465" s="1" t="str">
        <f ca="1">IFERROR(__xludf.DUMMYFUNCTION("""COMPUTED_VALUE"""),"VINTAGE CARAVAN GREETING CARD")</f>
        <v>VINTAGE CARAVAN GREETING CARD</v>
      </c>
      <c r="K1465" s="1">
        <f ca="1">IFERROR(__xludf.DUMMYFUNCTION("""COMPUTED_VALUE"""),12)</f>
        <v>12</v>
      </c>
      <c r="L1465" s="1">
        <f ca="1">IFERROR(__xludf.DUMMYFUNCTION("""COMPUTED_VALUE"""),0.42)</f>
        <v>0.42</v>
      </c>
      <c r="T1465" s="1">
        <f ca="1">IFERROR(__xludf.DUMMYFUNCTION("""COMPUTED_VALUE"""),489572)</f>
        <v>489572</v>
      </c>
      <c r="U1465" s="1">
        <f ca="1">IFERROR(__xludf.DUMMYFUNCTION("""COMPUTED_VALUE"""),5.04)</f>
        <v>5.04</v>
      </c>
    </row>
    <row r="1466" spans="1:21" ht="12.75" x14ac:dyDescent="0.2">
      <c r="A1466" s="3">
        <f ca="1">IFERROR(__xludf.DUMMYFUNCTION("""COMPUTED_VALUE"""),40148.5618055555)</f>
        <v>40148.561805555502</v>
      </c>
      <c r="B1466" s="1">
        <f ca="1">IFERROR(__xludf.DUMMYFUNCTION("""COMPUTED_VALUE"""),0.42)</f>
        <v>0.42</v>
      </c>
      <c r="J1466" s="1" t="str">
        <f ca="1">IFERROR(__xludf.DUMMYFUNCTION("""COMPUTED_VALUE"""),"VINTAGE KID DOLLY CARD")</f>
        <v>VINTAGE KID DOLLY CARD</v>
      </c>
      <c r="K1466" s="1">
        <f ca="1">IFERROR(__xludf.DUMMYFUNCTION("""COMPUTED_VALUE"""),12)</f>
        <v>12</v>
      </c>
      <c r="L1466" s="1">
        <f ca="1">IFERROR(__xludf.DUMMYFUNCTION("""COMPUTED_VALUE"""),0.42)</f>
        <v>0.42</v>
      </c>
      <c r="T1466" s="1">
        <f ca="1">IFERROR(__xludf.DUMMYFUNCTION("""COMPUTED_VALUE"""),489572)</f>
        <v>489572</v>
      </c>
      <c r="U1466" s="1">
        <f ca="1">IFERROR(__xludf.DUMMYFUNCTION("""COMPUTED_VALUE"""),5.04)</f>
        <v>5.04</v>
      </c>
    </row>
    <row r="1467" spans="1:21" ht="12.75" x14ac:dyDescent="0.2">
      <c r="A1467" s="3">
        <f ca="1">IFERROR(__xludf.DUMMYFUNCTION("""COMPUTED_VALUE"""),40148.5618055555)</f>
        <v>40148.561805555502</v>
      </c>
      <c r="B1467" s="1">
        <f ca="1">IFERROR(__xludf.DUMMYFUNCTION("""COMPUTED_VALUE"""),0.42)</f>
        <v>0.42</v>
      </c>
      <c r="J1467" s="1" t="str">
        <f ca="1">IFERROR(__xludf.DUMMYFUNCTION("""COMPUTED_VALUE"""),"SPACE BOY BIRTHDAY CARD")</f>
        <v>SPACE BOY BIRTHDAY CARD</v>
      </c>
      <c r="K1467" s="1">
        <f ca="1">IFERROR(__xludf.DUMMYFUNCTION("""COMPUTED_VALUE"""),12)</f>
        <v>12</v>
      </c>
      <c r="L1467" s="1">
        <f ca="1">IFERROR(__xludf.DUMMYFUNCTION("""COMPUTED_VALUE"""),0.42)</f>
        <v>0.42</v>
      </c>
      <c r="T1467" s="1">
        <f ca="1">IFERROR(__xludf.DUMMYFUNCTION("""COMPUTED_VALUE"""),489572)</f>
        <v>489572</v>
      </c>
      <c r="U1467" s="1">
        <f ca="1">IFERROR(__xludf.DUMMYFUNCTION("""COMPUTED_VALUE"""),5.04)</f>
        <v>5.04</v>
      </c>
    </row>
    <row r="1468" spans="1:21" ht="12.75" x14ac:dyDescent="0.2">
      <c r="A1468" s="3">
        <f ca="1">IFERROR(__xludf.DUMMYFUNCTION("""COMPUTED_VALUE"""),40148.5618055555)</f>
        <v>40148.561805555502</v>
      </c>
      <c r="B1468" s="1">
        <f ca="1">IFERROR(__xludf.DUMMYFUNCTION("""COMPUTED_VALUE"""),0.42)</f>
        <v>0.42</v>
      </c>
      <c r="J1468" s="1" t="str">
        <f ca="1">IFERROR(__xludf.DUMMYFUNCTION("""COMPUTED_VALUE"""),"TEA PARTY BIRTHDAY CARD")</f>
        <v>TEA PARTY BIRTHDAY CARD</v>
      </c>
      <c r="K1468" s="1">
        <f ca="1">IFERROR(__xludf.DUMMYFUNCTION("""COMPUTED_VALUE"""),12)</f>
        <v>12</v>
      </c>
      <c r="L1468" s="1">
        <f ca="1">IFERROR(__xludf.DUMMYFUNCTION("""COMPUTED_VALUE"""),0.42)</f>
        <v>0.42</v>
      </c>
      <c r="T1468" s="1">
        <f ca="1">IFERROR(__xludf.DUMMYFUNCTION("""COMPUTED_VALUE"""),489572)</f>
        <v>489572</v>
      </c>
      <c r="U1468" s="1">
        <f ca="1">IFERROR(__xludf.DUMMYFUNCTION("""COMPUTED_VALUE"""),5.04)</f>
        <v>5.04</v>
      </c>
    </row>
    <row r="1469" spans="1:21" ht="12.75" x14ac:dyDescent="0.2">
      <c r="A1469" s="3">
        <f ca="1">IFERROR(__xludf.DUMMYFUNCTION("""COMPUTED_VALUE"""),40148.5618055555)</f>
        <v>40148.561805555502</v>
      </c>
      <c r="B1469" s="1">
        <f ca="1">IFERROR(__xludf.DUMMYFUNCTION("""COMPUTED_VALUE"""),0.85)</f>
        <v>0.85</v>
      </c>
      <c r="J1469" s="1" t="str">
        <f ca="1">IFERROR(__xludf.DUMMYFUNCTION("""COMPUTED_VALUE"""),"SMALL MEDINA STAMPED METAL BOWL")</f>
        <v>SMALL MEDINA STAMPED METAL BOWL</v>
      </c>
      <c r="K1469" s="1">
        <f ca="1">IFERROR(__xludf.DUMMYFUNCTION("""COMPUTED_VALUE"""),12)</f>
        <v>12</v>
      </c>
      <c r="L1469" s="1">
        <f ca="1">IFERROR(__xludf.DUMMYFUNCTION("""COMPUTED_VALUE"""),0.85)</f>
        <v>0.85</v>
      </c>
      <c r="T1469" s="1">
        <f ca="1">IFERROR(__xludf.DUMMYFUNCTION("""COMPUTED_VALUE"""),489572)</f>
        <v>489572</v>
      </c>
      <c r="U1469" s="1">
        <f ca="1">IFERROR(__xludf.DUMMYFUNCTION("""COMPUTED_VALUE"""),10.2)</f>
        <v>10.199999999999999</v>
      </c>
    </row>
    <row r="1470" spans="1:21" ht="12.75" x14ac:dyDescent="0.2">
      <c r="A1470" s="3">
        <f ca="1">IFERROR(__xludf.DUMMYFUNCTION("""COMPUTED_VALUE"""),40148.5618055555)</f>
        <v>40148.561805555502</v>
      </c>
      <c r="B1470" s="1">
        <f ca="1">IFERROR(__xludf.DUMMYFUNCTION("""COMPUTED_VALUE"""),0.29)</f>
        <v>0.28999999999999998</v>
      </c>
      <c r="J1470" s="1" t="str">
        <f ca="1">IFERROR(__xludf.DUMMYFUNCTION("""COMPUTED_VALUE"""),"PACK OF 12 PINK SPOT TISSUES")</f>
        <v>PACK OF 12 PINK SPOT TISSUES</v>
      </c>
      <c r="K1470" s="1">
        <f ca="1">IFERROR(__xludf.DUMMYFUNCTION("""COMPUTED_VALUE"""),12)</f>
        <v>12</v>
      </c>
      <c r="L1470" s="1">
        <f ca="1">IFERROR(__xludf.DUMMYFUNCTION("""COMPUTED_VALUE"""),0.29)</f>
        <v>0.28999999999999998</v>
      </c>
      <c r="T1470" s="1">
        <f ca="1">IFERROR(__xludf.DUMMYFUNCTION("""COMPUTED_VALUE"""),489572)</f>
        <v>489572</v>
      </c>
      <c r="U1470" s="1">
        <f ca="1">IFERROR(__xludf.DUMMYFUNCTION("""COMPUTED_VALUE"""),3.47999999999999)</f>
        <v>3.4799999999999902</v>
      </c>
    </row>
    <row r="1471" spans="1:21" ht="12.75" x14ac:dyDescent="0.2">
      <c r="A1471" s="3">
        <f ca="1">IFERROR(__xludf.DUMMYFUNCTION("""COMPUTED_VALUE"""),40148.5618055555)</f>
        <v>40148.561805555502</v>
      </c>
      <c r="B1471" s="1">
        <f ca="1">IFERROR(__xludf.DUMMYFUNCTION("""COMPUTED_VALUE"""),0.29)</f>
        <v>0.28999999999999998</v>
      </c>
      <c r="J1471" s="1" t="str">
        <f ca="1">IFERROR(__xludf.DUMMYFUNCTION("""COMPUTED_VALUE"""),"PACK OF 12 HEARTS DESIGN TISSUES")</f>
        <v>PACK OF 12 HEARTS DESIGN TISSUES</v>
      </c>
      <c r="K1471" s="1">
        <f ca="1">IFERROR(__xludf.DUMMYFUNCTION("""COMPUTED_VALUE"""),12)</f>
        <v>12</v>
      </c>
      <c r="L1471" s="1">
        <f ca="1">IFERROR(__xludf.DUMMYFUNCTION("""COMPUTED_VALUE"""),0.29)</f>
        <v>0.28999999999999998</v>
      </c>
      <c r="T1471" s="1">
        <f ca="1">IFERROR(__xludf.DUMMYFUNCTION("""COMPUTED_VALUE"""),489572)</f>
        <v>489572</v>
      </c>
      <c r="U1471" s="1">
        <f ca="1">IFERROR(__xludf.DUMMYFUNCTION("""COMPUTED_VALUE"""),3.47999999999999)</f>
        <v>3.4799999999999902</v>
      </c>
    </row>
    <row r="1472" spans="1:21" ht="12.75" x14ac:dyDescent="0.2">
      <c r="A1472" s="3">
        <f ca="1">IFERROR(__xludf.DUMMYFUNCTION("""COMPUTED_VALUE"""),40148.5618055555)</f>
        <v>40148.561805555502</v>
      </c>
      <c r="B1472" s="1">
        <f ca="1">IFERROR(__xludf.DUMMYFUNCTION("""COMPUTED_VALUE"""),0.29)</f>
        <v>0.28999999999999998</v>
      </c>
      <c r="J1472" s="1" t="str">
        <f ca="1">IFERROR(__xludf.DUMMYFUNCTION("""COMPUTED_VALUE"""),"PACK OF 12 RED SPOTTY TISSUES")</f>
        <v>PACK OF 12 RED SPOTTY TISSUES</v>
      </c>
      <c r="K1472" s="1">
        <f ca="1">IFERROR(__xludf.DUMMYFUNCTION("""COMPUTED_VALUE"""),12)</f>
        <v>12</v>
      </c>
      <c r="L1472" s="1">
        <f ca="1">IFERROR(__xludf.DUMMYFUNCTION("""COMPUTED_VALUE"""),0.29)</f>
        <v>0.28999999999999998</v>
      </c>
      <c r="T1472" s="1">
        <f ca="1">IFERROR(__xludf.DUMMYFUNCTION("""COMPUTED_VALUE"""),489572)</f>
        <v>489572</v>
      </c>
      <c r="U1472" s="1">
        <f ca="1">IFERROR(__xludf.DUMMYFUNCTION("""COMPUTED_VALUE"""),3.47999999999999)</f>
        <v>3.4799999999999902</v>
      </c>
    </row>
    <row r="1473" spans="1:21" ht="12.75" x14ac:dyDescent="0.2">
      <c r="A1473" s="3">
        <f ca="1">IFERROR(__xludf.DUMMYFUNCTION("""COMPUTED_VALUE"""),40148.5618055555)</f>
        <v>40148.561805555502</v>
      </c>
      <c r="B1473" s="1">
        <f ca="1">IFERROR(__xludf.DUMMYFUNCTION("""COMPUTED_VALUE"""),2.55)</f>
        <v>2.5499999999999998</v>
      </c>
      <c r="J1473" s="1" t="str">
        <f ca="1">IFERROR(__xludf.DUMMYFUNCTION("""COMPUTED_VALUE"""),"COFFEE MUG DOG + BALL DESIGN")</f>
        <v>COFFEE MUG DOG + BALL DESIGN</v>
      </c>
      <c r="K1473" s="1">
        <f ca="1">IFERROR(__xludf.DUMMYFUNCTION("""COMPUTED_VALUE"""),6)</f>
        <v>6</v>
      </c>
      <c r="L1473" s="1">
        <f ca="1">IFERROR(__xludf.DUMMYFUNCTION("""COMPUTED_VALUE"""),2.55)</f>
        <v>2.5499999999999998</v>
      </c>
      <c r="T1473" s="1">
        <f ca="1">IFERROR(__xludf.DUMMYFUNCTION("""COMPUTED_VALUE"""),489572)</f>
        <v>489572</v>
      </c>
      <c r="U1473" s="1">
        <f ca="1">IFERROR(__xludf.DUMMYFUNCTION("""COMPUTED_VALUE"""),15.2999999999999)</f>
        <v>15.299999999999899</v>
      </c>
    </row>
    <row r="1474" spans="1:21" ht="12.75" x14ac:dyDescent="0.2">
      <c r="A1474" s="3">
        <f ca="1">IFERROR(__xludf.DUMMYFUNCTION("""COMPUTED_VALUE"""),40148.5618055555)</f>
        <v>40148.561805555502</v>
      </c>
      <c r="B1474" s="1">
        <f ca="1">IFERROR(__xludf.DUMMYFUNCTION("""COMPUTED_VALUE"""),1.25)</f>
        <v>1.25</v>
      </c>
      <c r="J1474" s="1" t="str">
        <f ca="1">IFERROR(__xludf.DUMMYFUNCTION("""COMPUTED_VALUE"""),"ANTIQUE SILVER TEA GLASS ETCHED")</f>
        <v>ANTIQUE SILVER TEA GLASS ETCHED</v>
      </c>
      <c r="K1474" s="1">
        <f ca="1">IFERROR(__xludf.DUMMYFUNCTION("""COMPUTED_VALUE"""),6)</f>
        <v>6</v>
      </c>
      <c r="L1474" s="1">
        <f ca="1">IFERROR(__xludf.DUMMYFUNCTION("""COMPUTED_VALUE"""),1.25)</f>
        <v>1.25</v>
      </c>
      <c r="T1474" s="1">
        <f ca="1">IFERROR(__xludf.DUMMYFUNCTION("""COMPUTED_VALUE"""),489572)</f>
        <v>489572</v>
      </c>
      <c r="U1474" s="1">
        <f ca="1">IFERROR(__xludf.DUMMYFUNCTION("""COMPUTED_VALUE"""),7.5)</f>
        <v>7.5</v>
      </c>
    </row>
    <row r="1475" spans="1:21" ht="12.75" x14ac:dyDescent="0.2">
      <c r="A1475" s="3">
        <f ca="1">IFERROR(__xludf.DUMMYFUNCTION("""COMPUTED_VALUE"""),40148.5618055555)</f>
        <v>40148.561805555502</v>
      </c>
      <c r="B1475" s="1">
        <f ca="1">IFERROR(__xludf.DUMMYFUNCTION("""COMPUTED_VALUE"""),1.25)</f>
        <v>1.25</v>
      </c>
      <c r="J1475" s="1" t="str">
        <f ca="1">IFERROR(__xludf.DUMMYFUNCTION("""COMPUTED_VALUE"""),"WIRE FLOWER T-LIGHT HOLDER")</f>
        <v>WIRE FLOWER T-LIGHT HOLDER</v>
      </c>
      <c r="K1475" s="1">
        <f ca="1">IFERROR(__xludf.DUMMYFUNCTION("""COMPUTED_VALUE"""),6)</f>
        <v>6</v>
      </c>
      <c r="L1475" s="1">
        <f ca="1">IFERROR(__xludf.DUMMYFUNCTION("""COMPUTED_VALUE"""),1.25)</f>
        <v>1.25</v>
      </c>
      <c r="T1475" s="1">
        <f ca="1">IFERROR(__xludf.DUMMYFUNCTION("""COMPUTED_VALUE"""),489572)</f>
        <v>489572</v>
      </c>
      <c r="U1475" s="1">
        <f ca="1">IFERROR(__xludf.DUMMYFUNCTION("""COMPUTED_VALUE"""),7.5)</f>
        <v>7.5</v>
      </c>
    </row>
    <row r="1476" spans="1:21" ht="12.75" x14ac:dyDescent="0.2">
      <c r="A1476" s="3">
        <f ca="1">IFERROR(__xludf.DUMMYFUNCTION("""COMPUTED_VALUE"""),40148.5618055555)</f>
        <v>40148.561805555502</v>
      </c>
      <c r="B1476" s="1">
        <f ca="1">IFERROR(__xludf.DUMMYFUNCTION("""COMPUTED_VALUE"""),1.25)</f>
        <v>1.25</v>
      </c>
      <c r="J1476" s="1" t="str">
        <f ca="1">IFERROR(__xludf.DUMMYFUNCTION("""COMPUTED_VALUE"""),"VICTORIAN GLASS HANGING T-LIGHT")</f>
        <v>VICTORIAN GLASS HANGING T-LIGHT</v>
      </c>
      <c r="K1476" s="1">
        <f ca="1">IFERROR(__xludf.DUMMYFUNCTION("""COMPUTED_VALUE"""),6)</f>
        <v>6</v>
      </c>
      <c r="L1476" s="1">
        <f ca="1">IFERROR(__xludf.DUMMYFUNCTION("""COMPUTED_VALUE"""),1.25)</f>
        <v>1.25</v>
      </c>
      <c r="T1476" s="1">
        <f ca="1">IFERROR(__xludf.DUMMYFUNCTION("""COMPUTED_VALUE"""),489572)</f>
        <v>489572</v>
      </c>
      <c r="U1476" s="1">
        <f ca="1">IFERROR(__xludf.DUMMYFUNCTION("""COMPUTED_VALUE"""),7.5)</f>
        <v>7.5</v>
      </c>
    </row>
    <row r="1477" spans="1:21" ht="12.75" x14ac:dyDescent="0.2">
      <c r="A1477" s="3">
        <f ca="1">IFERROR(__xludf.DUMMYFUNCTION("""COMPUTED_VALUE"""),40148.5618055555)</f>
        <v>40148.561805555502</v>
      </c>
      <c r="B1477" s="1">
        <f ca="1">IFERROR(__xludf.DUMMYFUNCTION("""COMPUTED_VALUE"""),1.69)</f>
        <v>1.69</v>
      </c>
      <c r="J1477" s="1" t="str">
        <f ca="1">IFERROR(__xludf.DUMMYFUNCTION("""COMPUTED_VALUE"""),"HEART SHAPED MIRROR")</f>
        <v>HEART SHAPED MIRROR</v>
      </c>
      <c r="K1477" s="1">
        <f ca="1">IFERROR(__xludf.DUMMYFUNCTION("""COMPUTED_VALUE"""),6)</f>
        <v>6</v>
      </c>
      <c r="L1477" s="1">
        <f ca="1">IFERROR(__xludf.DUMMYFUNCTION("""COMPUTED_VALUE"""),1.69)</f>
        <v>1.69</v>
      </c>
      <c r="T1477" s="1">
        <f ca="1">IFERROR(__xludf.DUMMYFUNCTION("""COMPUTED_VALUE"""),489572)</f>
        <v>489572</v>
      </c>
      <c r="U1477" s="1">
        <f ca="1">IFERROR(__xludf.DUMMYFUNCTION("""COMPUTED_VALUE"""),10.14)</f>
        <v>10.14</v>
      </c>
    </row>
    <row r="1478" spans="1:21" ht="12.75" x14ac:dyDescent="0.2">
      <c r="A1478" s="3">
        <f ca="1">IFERROR(__xludf.DUMMYFUNCTION("""COMPUTED_VALUE"""),40148.5618055555)</f>
        <v>40148.561805555502</v>
      </c>
      <c r="B1478" s="1">
        <f ca="1">IFERROR(__xludf.DUMMYFUNCTION("""COMPUTED_VALUE"""),1.65)</f>
        <v>1.65</v>
      </c>
      <c r="J1478" s="1" t="str">
        <f ca="1">IFERROR(__xludf.DUMMYFUNCTION("""COMPUTED_VALUE"""),"RIBBON REEL FLORA + FAUNA")</f>
        <v>RIBBON REEL FLORA + FAUNA</v>
      </c>
      <c r="K1478" s="1">
        <f ca="1">IFERROR(__xludf.DUMMYFUNCTION("""COMPUTED_VALUE"""),5)</f>
        <v>5</v>
      </c>
      <c r="L1478" s="1">
        <f ca="1">IFERROR(__xludf.DUMMYFUNCTION("""COMPUTED_VALUE"""),1.65)</f>
        <v>1.65</v>
      </c>
      <c r="T1478" s="1">
        <f ca="1">IFERROR(__xludf.DUMMYFUNCTION("""COMPUTED_VALUE"""),489572)</f>
        <v>489572</v>
      </c>
      <c r="U1478" s="1">
        <f ca="1">IFERROR(__xludf.DUMMYFUNCTION("""COMPUTED_VALUE"""),8.25)</f>
        <v>8.25</v>
      </c>
    </row>
    <row r="1479" spans="1:21" ht="12.75" x14ac:dyDescent="0.2">
      <c r="A1479" s="3">
        <f ca="1">IFERROR(__xludf.DUMMYFUNCTION("""COMPUTED_VALUE"""),40148.5618055555)</f>
        <v>40148.561805555502</v>
      </c>
      <c r="B1479" s="1">
        <f ca="1">IFERROR(__xludf.DUMMYFUNCTION("""COMPUTED_VALUE"""),1.25)</f>
        <v>1.25</v>
      </c>
      <c r="J1479" s="1" t="str">
        <f ca="1">IFERROR(__xludf.DUMMYFUNCTION("""COMPUTED_VALUE"""),"HEART IVORY TRELLIS SMALL")</f>
        <v>HEART IVORY TRELLIS SMALL</v>
      </c>
      <c r="K1479" s="1">
        <f ca="1">IFERROR(__xludf.DUMMYFUNCTION("""COMPUTED_VALUE"""),5)</f>
        <v>5</v>
      </c>
      <c r="L1479" s="1">
        <f ca="1">IFERROR(__xludf.DUMMYFUNCTION("""COMPUTED_VALUE"""),1.25)</f>
        <v>1.25</v>
      </c>
      <c r="T1479" s="1">
        <f ca="1">IFERROR(__xludf.DUMMYFUNCTION("""COMPUTED_VALUE"""),489572)</f>
        <v>489572</v>
      </c>
      <c r="U1479" s="1">
        <f ca="1">IFERROR(__xludf.DUMMYFUNCTION("""COMPUTED_VALUE"""),6.25)</f>
        <v>6.25</v>
      </c>
    </row>
    <row r="1480" spans="1:21" ht="12.75" x14ac:dyDescent="0.2">
      <c r="A1480" s="3">
        <f ca="1">IFERROR(__xludf.DUMMYFUNCTION("""COMPUTED_VALUE"""),40148.5618055555)</f>
        <v>40148.561805555502</v>
      </c>
      <c r="B1480" s="1">
        <f ca="1">IFERROR(__xludf.DUMMYFUNCTION("""COMPUTED_VALUE"""),1.25)</f>
        <v>1.25</v>
      </c>
      <c r="J1480" s="1" t="str">
        <f ca="1">IFERROR(__xludf.DUMMYFUNCTION("""COMPUTED_VALUE"""),"SET OF 6 CAKE CHOPSTICKS")</f>
        <v>SET OF 6 CAKE CHOPSTICKS</v>
      </c>
      <c r="K1480" s="1">
        <f ca="1">IFERROR(__xludf.DUMMYFUNCTION("""COMPUTED_VALUE"""),5)</f>
        <v>5</v>
      </c>
      <c r="L1480" s="1">
        <f ca="1">IFERROR(__xludf.DUMMYFUNCTION("""COMPUTED_VALUE"""),1.25)</f>
        <v>1.25</v>
      </c>
      <c r="T1480" s="1">
        <f ca="1">IFERROR(__xludf.DUMMYFUNCTION("""COMPUTED_VALUE"""),489572)</f>
        <v>489572</v>
      </c>
      <c r="U1480" s="1">
        <f ca="1">IFERROR(__xludf.DUMMYFUNCTION("""COMPUTED_VALUE"""),6.25)</f>
        <v>6.25</v>
      </c>
    </row>
    <row r="1481" spans="1:21" ht="12.75" x14ac:dyDescent="0.2">
      <c r="A1481" s="3">
        <f ca="1">IFERROR(__xludf.DUMMYFUNCTION("""COMPUTED_VALUE"""),40148.5618055555)</f>
        <v>40148.561805555502</v>
      </c>
      <c r="B1481" s="1">
        <f ca="1">IFERROR(__xludf.DUMMYFUNCTION("""COMPUTED_VALUE"""),1.65)</f>
        <v>1.65</v>
      </c>
      <c r="J1481" s="1" t="str">
        <f ca="1">IFERROR(__xludf.DUMMYFUNCTION("""COMPUTED_VALUE"""),"RIBBON REEL HEARTS DESIGN")</f>
        <v>RIBBON REEL HEARTS DESIGN</v>
      </c>
      <c r="K1481" s="1">
        <f ca="1">IFERROR(__xludf.DUMMYFUNCTION("""COMPUTED_VALUE"""),5)</f>
        <v>5</v>
      </c>
      <c r="L1481" s="1">
        <f ca="1">IFERROR(__xludf.DUMMYFUNCTION("""COMPUTED_VALUE"""),1.65)</f>
        <v>1.65</v>
      </c>
      <c r="T1481" s="1">
        <f ca="1">IFERROR(__xludf.DUMMYFUNCTION("""COMPUTED_VALUE"""),489572)</f>
        <v>489572</v>
      </c>
      <c r="U1481" s="1">
        <f ca="1">IFERROR(__xludf.DUMMYFUNCTION("""COMPUTED_VALUE"""),8.25)</f>
        <v>8.25</v>
      </c>
    </row>
    <row r="1482" spans="1:21" ht="12.75" x14ac:dyDescent="0.2">
      <c r="A1482" s="3">
        <f ca="1">IFERROR(__xludf.DUMMYFUNCTION("""COMPUTED_VALUE"""),40148.5618055555)</f>
        <v>40148.561805555502</v>
      </c>
      <c r="B1482" s="1">
        <f ca="1">IFERROR(__xludf.DUMMYFUNCTION("""COMPUTED_VALUE"""),1.65)</f>
        <v>1.65</v>
      </c>
      <c r="J1482" s="1" t="str">
        <f ca="1">IFERROR(__xludf.DUMMYFUNCTION("""COMPUTED_VALUE"""),"RIBBON REEL SPOTS DESIGN")</f>
        <v>RIBBON REEL SPOTS DESIGN</v>
      </c>
      <c r="K1482" s="1">
        <f ca="1">IFERROR(__xludf.DUMMYFUNCTION("""COMPUTED_VALUE"""),5)</f>
        <v>5</v>
      </c>
      <c r="L1482" s="1">
        <f ca="1">IFERROR(__xludf.DUMMYFUNCTION("""COMPUTED_VALUE"""),1.65)</f>
        <v>1.65</v>
      </c>
      <c r="T1482" s="1">
        <f ca="1">IFERROR(__xludf.DUMMYFUNCTION("""COMPUTED_VALUE"""),489572)</f>
        <v>489572</v>
      </c>
      <c r="U1482" s="1">
        <f ca="1">IFERROR(__xludf.DUMMYFUNCTION("""COMPUTED_VALUE"""),8.25)</f>
        <v>8.25</v>
      </c>
    </row>
    <row r="1483" spans="1:21" ht="12.75" x14ac:dyDescent="0.2">
      <c r="A1483" s="3">
        <f ca="1">IFERROR(__xludf.DUMMYFUNCTION("""COMPUTED_VALUE"""),40148.5618055555)</f>
        <v>40148.561805555502</v>
      </c>
      <c r="B1483" s="1">
        <f ca="1">IFERROR(__xludf.DUMMYFUNCTION("""COMPUTED_VALUE"""),1.65)</f>
        <v>1.65</v>
      </c>
      <c r="J1483" s="1" t="str">
        <f ca="1">IFERROR(__xludf.DUMMYFUNCTION("""COMPUTED_VALUE"""),"RIBBON REEL STRIPES DESIGN")</f>
        <v>RIBBON REEL STRIPES DESIGN</v>
      </c>
      <c r="K1483" s="1">
        <f ca="1">IFERROR(__xludf.DUMMYFUNCTION("""COMPUTED_VALUE"""),5)</f>
        <v>5</v>
      </c>
      <c r="L1483" s="1">
        <f ca="1">IFERROR(__xludf.DUMMYFUNCTION("""COMPUTED_VALUE"""),1.65)</f>
        <v>1.65</v>
      </c>
      <c r="T1483" s="1">
        <f ca="1">IFERROR(__xludf.DUMMYFUNCTION("""COMPUTED_VALUE"""),489572)</f>
        <v>489572</v>
      </c>
      <c r="U1483" s="1">
        <f ca="1">IFERROR(__xludf.DUMMYFUNCTION("""COMPUTED_VALUE"""),8.25)</f>
        <v>8.25</v>
      </c>
    </row>
    <row r="1484" spans="1:21" ht="12.75" x14ac:dyDescent="0.2">
      <c r="A1484" s="3">
        <f ca="1">IFERROR(__xludf.DUMMYFUNCTION("""COMPUTED_VALUE"""),40148.5618055555)</f>
        <v>40148.561805555502</v>
      </c>
      <c r="B1484" s="1">
        <f ca="1">IFERROR(__xludf.DUMMYFUNCTION("""COMPUTED_VALUE"""),2.1)</f>
        <v>2.1</v>
      </c>
      <c r="J1484" s="1" t="str">
        <f ca="1">IFERROR(__xludf.DUMMYFUNCTION("""COMPUTED_VALUE"""),"SMALL GLASS HEART TRINKET POT")</f>
        <v>SMALL GLASS HEART TRINKET POT</v>
      </c>
      <c r="K1484" s="1">
        <f ca="1">IFERROR(__xludf.DUMMYFUNCTION("""COMPUTED_VALUE"""),4)</f>
        <v>4</v>
      </c>
      <c r="L1484" s="1">
        <f ca="1">IFERROR(__xludf.DUMMYFUNCTION("""COMPUTED_VALUE"""),2.1)</f>
        <v>2.1</v>
      </c>
      <c r="T1484" s="1">
        <f ca="1">IFERROR(__xludf.DUMMYFUNCTION("""COMPUTED_VALUE"""),489572)</f>
        <v>489572</v>
      </c>
      <c r="U1484" s="1">
        <f ca="1">IFERROR(__xludf.DUMMYFUNCTION("""COMPUTED_VALUE"""),8.4)</f>
        <v>8.4</v>
      </c>
    </row>
    <row r="1485" spans="1:21" ht="12.75" x14ac:dyDescent="0.2">
      <c r="A1485" s="3">
        <f ca="1">IFERROR(__xludf.DUMMYFUNCTION("""COMPUTED_VALUE"""),40148.5618055555)</f>
        <v>40148.561805555502</v>
      </c>
      <c r="B1485" s="1">
        <f ca="1">IFERROR(__xludf.DUMMYFUNCTION("""COMPUTED_VALUE"""),1.25)</f>
        <v>1.25</v>
      </c>
      <c r="J1485" s="1" t="str">
        <f ca="1">IFERROR(__xludf.DUMMYFUNCTION("""COMPUTED_VALUE"""),"SET/6 BEAD COASTERS GAUZE BAG GOLD")</f>
        <v>SET/6 BEAD COASTERS GAUZE BAG GOLD</v>
      </c>
      <c r="K1485" s="1">
        <f ca="1">IFERROR(__xludf.DUMMYFUNCTION("""COMPUTED_VALUE"""),4)</f>
        <v>4</v>
      </c>
      <c r="L1485" s="1">
        <f ca="1">IFERROR(__xludf.DUMMYFUNCTION("""COMPUTED_VALUE"""),1.25)</f>
        <v>1.25</v>
      </c>
      <c r="T1485" s="1">
        <f ca="1">IFERROR(__xludf.DUMMYFUNCTION("""COMPUTED_VALUE"""),489572)</f>
        <v>489572</v>
      </c>
      <c r="U1485" s="1">
        <f ca="1">IFERROR(__xludf.DUMMYFUNCTION("""COMPUTED_VALUE"""),5)</f>
        <v>5</v>
      </c>
    </row>
    <row r="1486" spans="1:21" ht="12.75" x14ac:dyDescent="0.2">
      <c r="A1486" s="3">
        <f ca="1">IFERROR(__xludf.DUMMYFUNCTION("""COMPUTED_VALUE"""),40148.5618055555)</f>
        <v>40148.561805555502</v>
      </c>
      <c r="B1486" s="1">
        <f ca="1">IFERROR(__xludf.DUMMYFUNCTION("""COMPUTED_VALUE"""),1.65)</f>
        <v>1.65</v>
      </c>
      <c r="J1486" s="1" t="str">
        <f ca="1">IFERROR(__xludf.DUMMYFUNCTION("""COMPUTED_VALUE"""),"GARDEN METAL SIGN")</f>
        <v>GARDEN METAL SIGN</v>
      </c>
      <c r="K1486" s="1">
        <f ca="1">IFERROR(__xludf.DUMMYFUNCTION("""COMPUTED_VALUE"""),4)</f>
        <v>4</v>
      </c>
      <c r="L1486" s="1">
        <f ca="1">IFERROR(__xludf.DUMMYFUNCTION("""COMPUTED_VALUE"""),1.65)</f>
        <v>1.65</v>
      </c>
      <c r="T1486" s="1">
        <f ca="1">IFERROR(__xludf.DUMMYFUNCTION("""COMPUTED_VALUE"""),489572)</f>
        <v>489572</v>
      </c>
      <c r="U1486" s="1">
        <f ca="1">IFERROR(__xludf.DUMMYFUNCTION("""COMPUTED_VALUE"""),6.6)</f>
        <v>6.6</v>
      </c>
    </row>
    <row r="1487" spans="1:21" ht="12.75" x14ac:dyDescent="0.2">
      <c r="A1487" s="3">
        <f ca="1">IFERROR(__xludf.DUMMYFUNCTION("""COMPUTED_VALUE"""),40148.5618055555)</f>
        <v>40148.561805555502</v>
      </c>
      <c r="B1487" s="1">
        <f ca="1">IFERROR(__xludf.DUMMYFUNCTION("""COMPUTED_VALUE"""),1.25)</f>
        <v>1.25</v>
      </c>
      <c r="J1487" s="1" t="str">
        <f ca="1">IFERROR(__xludf.DUMMYFUNCTION("""COMPUTED_VALUE"""),"SET OF 6 HEART CHOPSTICKS")</f>
        <v>SET OF 6 HEART CHOPSTICKS</v>
      </c>
      <c r="K1487" s="1">
        <f ca="1">IFERROR(__xludf.DUMMYFUNCTION("""COMPUTED_VALUE"""),3)</f>
        <v>3</v>
      </c>
      <c r="L1487" s="1">
        <f ca="1">IFERROR(__xludf.DUMMYFUNCTION("""COMPUTED_VALUE"""),1.25)</f>
        <v>1.25</v>
      </c>
      <c r="T1487" s="1">
        <f ca="1">IFERROR(__xludf.DUMMYFUNCTION("""COMPUTED_VALUE"""),489572)</f>
        <v>489572</v>
      </c>
      <c r="U1487" s="1">
        <f ca="1">IFERROR(__xludf.DUMMYFUNCTION("""COMPUTED_VALUE"""),3.75)</f>
        <v>3.75</v>
      </c>
    </row>
    <row r="1488" spans="1:21" ht="12.75" x14ac:dyDescent="0.2">
      <c r="A1488" s="3">
        <f ca="1">IFERROR(__xludf.DUMMYFUNCTION("""COMPUTED_VALUE"""),40148.5618055555)</f>
        <v>40148.561805555502</v>
      </c>
      <c r="B1488" s="1">
        <f ca="1">IFERROR(__xludf.DUMMYFUNCTION("""COMPUTED_VALUE"""),4.95)</f>
        <v>4.95</v>
      </c>
      <c r="J1488" s="1" t="str">
        <f ca="1">IFERROR(__xludf.DUMMYFUNCTION("""COMPUTED_VALUE"""),"MOBILE VINTAGE HEARTS")</f>
        <v>MOBILE VINTAGE HEARTS</v>
      </c>
      <c r="K1488" s="1">
        <f ca="1">IFERROR(__xludf.DUMMYFUNCTION("""COMPUTED_VALUE"""),3)</f>
        <v>3</v>
      </c>
      <c r="L1488" s="1">
        <f ca="1">IFERROR(__xludf.DUMMYFUNCTION("""COMPUTED_VALUE"""),4.95)</f>
        <v>4.95</v>
      </c>
      <c r="T1488" s="1">
        <f ca="1">IFERROR(__xludf.DUMMYFUNCTION("""COMPUTED_VALUE"""),489572)</f>
        <v>489572</v>
      </c>
      <c r="U1488" s="1">
        <f ca="1">IFERROR(__xludf.DUMMYFUNCTION("""COMPUTED_VALUE"""),14.85)</f>
        <v>14.85</v>
      </c>
    </row>
    <row r="1489" spans="1:21" ht="12.75" x14ac:dyDescent="0.2">
      <c r="A1489" s="3">
        <f ca="1">IFERROR(__xludf.DUMMYFUNCTION("""COMPUTED_VALUE"""),40148.5618055555)</f>
        <v>40148.561805555502</v>
      </c>
      <c r="B1489" s="1">
        <f ca="1">IFERROR(__xludf.DUMMYFUNCTION("""COMPUTED_VALUE"""),5.95)</f>
        <v>5.95</v>
      </c>
      <c r="J1489" s="1" t="str">
        <f ca="1">IFERROR(__xludf.DUMMYFUNCTION("""COMPUTED_VALUE"""),"BIRDS MOBILE VINTAGE DESIGN")</f>
        <v>BIRDS MOBILE VINTAGE DESIGN</v>
      </c>
      <c r="K1489" s="1">
        <f ca="1">IFERROR(__xludf.DUMMYFUNCTION("""COMPUTED_VALUE"""),3)</f>
        <v>3</v>
      </c>
      <c r="L1489" s="1">
        <f ca="1">IFERROR(__xludf.DUMMYFUNCTION("""COMPUTED_VALUE"""),5.95)</f>
        <v>5.95</v>
      </c>
      <c r="T1489" s="1">
        <f ca="1">IFERROR(__xludf.DUMMYFUNCTION("""COMPUTED_VALUE"""),489572)</f>
        <v>489572</v>
      </c>
      <c r="U1489" s="1">
        <f ca="1">IFERROR(__xludf.DUMMYFUNCTION("""COMPUTED_VALUE"""),17.85)</f>
        <v>17.850000000000001</v>
      </c>
    </row>
    <row r="1490" spans="1:21" ht="12.75" x14ac:dyDescent="0.2">
      <c r="A1490" s="3">
        <f ca="1">IFERROR(__xludf.DUMMYFUNCTION("""COMPUTED_VALUE"""),40148.5618055555)</f>
        <v>40148.561805555502</v>
      </c>
      <c r="B1490" s="1">
        <f ca="1">IFERROR(__xludf.DUMMYFUNCTION("""COMPUTED_VALUE"""),6.75)</f>
        <v>6.75</v>
      </c>
      <c r="J1490" s="1" t="str">
        <f ca="1">IFERROR(__xludf.DUMMYFUNCTION("""COMPUTED_VALUE"""),"DOOR MAT NEW ENGLAND")</f>
        <v>DOOR MAT NEW ENGLAND</v>
      </c>
      <c r="K1490" s="1">
        <f ca="1">IFERROR(__xludf.DUMMYFUNCTION("""COMPUTED_VALUE"""),2)</f>
        <v>2</v>
      </c>
      <c r="L1490" s="1">
        <f ca="1">IFERROR(__xludf.DUMMYFUNCTION("""COMPUTED_VALUE"""),6.75)</f>
        <v>6.75</v>
      </c>
      <c r="T1490" s="1">
        <f ca="1">IFERROR(__xludf.DUMMYFUNCTION("""COMPUTED_VALUE"""),489572)</f>
        <v>489572</v>
      </c>
      <c r="U1490" s="1">
        <f ca="1">IFERROR(__xludf.DUMMYFUNCTION("""COMPUTED_VALUE"""),13.5)</f>
        <v>13.5</v>
      </c>
    </row>
    <row r="1491" spans="1:21" ht="12.75" x14ac:dyDescent="0.2">
      <c r="A1491" s="3">
        <f ca="1">IFERROR(__xludf.DUMMYFUNCTION("""COMPUTED_VALUE"""),40148.5618055555)</f>
        <v>40148.561805555502</v>
      </c>
      <c r="B1491" s="1">
        <f ca="1">IFERROR(__xludf.DUMMYFUNCTION("""COMPUTED_VALUE"""),6.75)</f>
        <v>6.75</v>
      </c>
      <c r="J1491" s="1" t="str">
        <f ca="1">IFERROR(__xludf.DUMMYFUNCTION("""COMPUTED_VALUE"""),"RED SPOTTY COIR DOORMAT")</f>
        <v>RED SPOTTY COIR DOORMAT</v>
      </c>
      <c r="K1491" s="1">
        <f ca="1">IFERROR(__xludf.DUMMYFUNCTION("""COMPUTED_VALUE"""),2)</f>
        <v>2</v>
      </c>
      <c r="L1491" s="1">
        <f ca="1">IFERROR(__xludf.DUMMYFUNCTION("""COMPUTED_VALUE"""),6.75)</f>
        <v>6.75</v>
      </c>
      <c r="T1491" s="1">
        <f ca="1">IFERROR(__xludf.DUMMYFUNCTION("""COMPUTED_VALUE"""),489572)</f>
        <v>489572</v>
      </c>
      <c r="U1491" s="1">
        <f ca="1">IFERROR(__xludf.DUMMYFUNCTION("""COMPUTED_VALUE"""),13.5)</f>
        <v>13.5</v>
      </c>
    </row>
    <row r="1492" spans="1:21" ht="12.75" x14ac:dyDescent="0.2">
      <c r="A1492" s="3">
        <f ca="1">IFERROR(__xludf.DUMMYFUNCTION("""COMPUTED_VALUE"""),40148.5618055555)</f>
        <v>40148.561805555502</v>
      </c>
      <c r="B1492" s="1">
        <f ca="1">IFERROR(__xludf.DUMMYFUNCTION("""COMPUTED_VALUE"""),6.75)</f>
        <v>6.75</v>
      </c>
      <c r="J1492" s="1" t="str">
        <f ca="1">IFERROR(__xludf.DUMMYFUNCTION("""COMPUTED_VALUE"""),"DOOR MAT BLACK FLOCK")</f>
        <v>DOOR MAT BLACK FLOCK</v>
      </c>
      <c r="K1492" s="1">
        <f ca="1">IFERROR(__xludf.DUMMYFUNCTION("""COMPUTED_VALUE"""),2)</f>
        <v>2</v>
      </c>
      <c r="L1492" s="1">
        <f ca="1">IFERROR(__xludf.DUMMYFUNCTION("""COMPUTED_VALUE"""),6.75)</f>
        <v>6.75</v>
      </c>
      <c r="T1492" s="1">
        <f ca="1">IFERROR(__xludf.DUMMYFUNCTION("""COMPUTED_VALUE"""),489572)</f>
        <v>489572</v>
      </c>
      <c r="U1492" s="1">
        <f ca="1">IFERROR(__xludf.DUMMYFUNCTION("""COMPUTED_VALUE"""),13.5)</f>
        <v>13.5</v>
      </c>
    </row>
    <row r="1493" spans="1:21" ht="12.75" x14ac:dyDescent="0.2">
      <c r="A1493" s="3">
        <f ca="1">IFERROR(__xludf.DUMMYFUNCTION("""COMPUTED_VALUE"""),40148.5618055555)</f>
        <v>40148.561805555502</v>
      </c>
      <c r="B1493" s="1">
        <f ca="1">IFERROR(__xludf.DUMMYFUNCTION("""COMPUTED_VALUE"""),2.55)</f>
        <v>2.5499999999999998</v>
      </c>
      <c r="J1493" s="1" t="str">
        <f ca="1">IFERROR(__xludf.DUMMYFUNCTION("""COMPUTED_VALUE"""),"BEACH HUT PHOTO FRAME")</f>
        <v>BEACH HUT PHOTO FRAME</v>
      </c>
      <c r="K1493" s="1">
        <f ca="1">IFERROR(__xludf.DUMMYFUNCTION("""COMPUTED_VALUE"""),2)</f>
        <v>2</v>
      </c>
      <c r="L1493" s="1">
        <f ca="1">IFERROR(__xludf.DUMMYFUNCTION("""COMPUTED_VALUE"""),2.55)</f>
        <v>2.5499999999999998</v>
      </c>
      <c r="T1493" s="1">
        <f ca="1">IFERROR(__xludf.DUMMYFUNCTION("""COMPUTED_VALUE"""),489572)</f>
        <v>489572</v>
      </c>
      <c r="U1493" s="1">
        <f ca="1">IFERROR(__xludf.DUMMYFUNCTION("""COMPUTED_VALUE"""),5.1)</f>
        <v>5.0999999999999996</v>
      </c>
    </row>
    <row r="1494" spans="1:21" ht="12.75" x14ac:dyDescent="0.2">
      <c r="A1494" s="3">
        <f ca="1">IFERROR(__xludf.DUMMYFUNCTION("""COMPUTED_VALUE"""),40148.5618055555)</f>
        <v>40148.561805555502</v>
      </c>
      <c r="B1494" s="1">
        <f ca="1">IFERROR(__xludf.DUMMYFUNCTION("""COMPUTED_VALUE"""),2.55)</f>
        <v>2.5499999999999998</v>
      </c>
      <c r="J1494" s="1" t="str">
        <f ca="1">IFERROR(__xludf.DUMMYFUNCTION("""COMPUTED_VALUE"""),"EMBOSSED FLOWER TRELLIS PHOTO FRAME")</f>
        <v>EMBOSSED FLOWER TRELLIS PHOTO FRAME</v>
      </c>
      <c r="K1494" s="1">
        <f ca="1">IFERROR(__xludf.DUMMYFUNCTION("""COMPUTED_VALUE"""),2)</f>
        <v>2</v>
      </c>
      <c r="L1494" s="1">
        <f ca="1">IFERROR(__xludf.DUMMYFUNCTION("""COMPUTED_VALUE"""),2.55)</f>
        <v>2.5499999999999998</v>
      </c>
      <c r="T1494" s="1">
        <f ca="1">IFERROR(__xludf.DUMMYFUNCTION("""COMPUTED_VALUE"""),489572)</f>
        <v>489572</v>
      </c>
      <c r="U1494" s="1">
        <f ca="1">IFERROR(__xludf.DUMMYFUNCTION("""COMPUTED_VALUE"""),5.1)</f>
        <v>5.0999999999999996</v>
      </c>
    </row>
    <row r="1495" spans="1:21" ht="12.75" x14ac:dyDescent="0.2">
      <c r="A1495" s="3">
        <f ca="1">IFERROR(__xludf.DUMMYFUNCTION("""COMPUTED_VALUE"""),40148.5618055555)</f>
        <v>40148.561805555502</v>
      </c>
      <c r="B1495" s="1">
        <f ca="1">IFERROR(__xludf.DUMMYFUNCTION("""COMPUTED_VALUE"""),2.95)</f>
        <v>2.95</v>
      </c>
      <c r="J1495" s="1" t="str">
        <f ca="1">IFERROR(__xludf.DUMMYFUNCTION("""COMPUTED_VALUE"""),"WOODEN FRAME ANTIQUE WHITE")</f>
        <v>WOODEN FRAME ANTIQUE WHITE</v>
      </c>
      <c r="K1495" s="1">
        <f ca="1">IFERROR(__xludf.DUMMYFUNCTION("""COMPUTED_VALUE"""),2)</f>
        <v>2</v>
      </c>
      <c r="L1495" s="1">
        <f ca="1">IFERROR(__xludf.DUMMYFUNCTION("""COMPUTED_VALUE"""),2.95)</f>
        <v>2.95</v>
      </c>
      <c r="T1495" s="1">
        <f ca="1">IFERROR(__xludf.DUMMYFUNCTION("""COMPUTED_VALUE"""),489572)</f>
        <v>489572</v>
      </c>
      <c r="U1495" s="1">
        <f ca="1">IFERROR(__xludf.DUMMYFUNCTION("""COMPUTED_VALUE"""),5.9)</f>
        <v>5.9</v>
      </c>
    </row>
    <row r="1496" spans="1:21" ht="12.75" x14ac:dyDescent="0.2">
      <c r="A1496" s="3">
        <f ca="1">IFERROR(__xludf.DUMMYFUNCTION("""COMPUTED_VALUE"""),40148.5618055555)</f>
        <v>40148.561805555502</v>
      </c>
      <c r="B1496" s="1">
        <f ca="1">IFERROR(__xludf.DUMMYFUNCTION("""COMPUTED_VALUE"""),2.55)</f>
        <v>2.5499999999999998</v>
      </c>
      <c r="J1496" s="1" t="str">
        <f ca="1">IFERROR(__xludf.DUMMYFUNCTION("""COMPUTED_VALUE"""),"WOODEN PICTURE FRAME WHITE FINISH")</f>
        <v>WOODEN PICTURE FRAME WHITE FINISH</v>
      </c>
      <c r="K1496" s="1">
        <f ca="1">IFERROR(__xludf.DUMMYFUNCTION("""COMPUTED_VALUE"""),2)</f>
        <v>2</v>
      </c>
      <c r="L1496" s="1">
        <f ca="1">IFERROR(__xludf.DUMMYFUNCTION("""COMPUTED_VALUE"""),2.55)</f>
        <v>2.5499999999999998</v>
      </c>
      <c r="T1496" s="1">
        <f ca="1">IFERROR(__xludf.DUMMYFUNCTION("""COMPUTED_VALUE"""),489572)</f>
        <v>489572</v>
      </c>
      <c r="U1496" s="1">
        <f ca="1">IFERROR(__xludf.DUMMYFUNCTION("""COMPUTED_VALUE"""),5.1)</f>
        <v>5.0999999999999996</v>
      </c>
    </row>
    <row r="1497" spans="1:21" ht="12.75" x14ac:dyDescent="0.2">
      <c r="A1497" s="3">
        <f ca="1">IFERROR(__xludf.DUMMYFUNCTION("""COMPUTED_VALUE"""),40148.5618055555)</f>
        <v>40148.561805555502</v>
      </c>
      <c r="B1497" s="1">
        <f ca="1">IFERROR(__xludf.DUMMYFUNCTION("""COMPUTED_VALUE"""),2.95)</f>
        <v>2.95</v>
      </c>
      <c r="J1497" s="1" t="str">
        <f ca="1">IFERROR(__xludf.DUMMYFUNCTION("""COMPUTED_VALUE"""),"CLASSIC WHITE FRAME")</f>
        <v>CLASSIC WHITE FRAME</v>
      </c>
      <c r="K1497" s="1">
        <f ca="1">IFERROR(__xludf.DUMMYFUNCTION("""COMPUTED_VALUE"""),2)</f>
        <v>2</v>
      </c>
      <c r="L1497" s="1">
        <f ca="1">IFERROR(__xludf.DUMMYFUNCTION("""COMPUTED_VALUE"""),2.95)</f>
        <v>2.95</v>
      </c>
      <c r="T1497" s="1">
        <f ca="1">IFERROR(__xludf.DUMMYFUNCTION("""COMPUTED_VALUE"""),489572)</f>
        <v>489572</v>
      </c>
      <c r="U1497" s="1">
        <f ca="1">IFERROR(__xludf.DUMMYFUNCTION("""COMPUTED_VALUE"""),5.9)</f>
        <v>5.9</v>
      </c>
    </row>
    <row r="1498" spans="1:21" ht="12.75" x14ac:dyDescent="0.2">
      <c r="A1498" s="3">
        <f ca="1">IFERROR(__xludf.DUMMYFUNCTION("""COMPUTED_VALUE"""),40148.5618055555)</f>
        <v>40148.561805555502</v>
      </c>
      <c r="B1498" s="1">
        <f ca="1">IFERROR(__xludf.DUMMYFUNCTION("""COMPUTED_VALUE"""),3.75)</f>
        <v>3.75</v>
      </c>
      <c r="J1498" s="1" t="str">
        <f ca="1">IFERROR(__xludf.DUMMYFUNCTION("""COMPUTED_VALUE"""),"FRENCH ENAMEL WATER BASIN")</f>
        <v>FRENCH ENAMEL WATER BASIN</v>
      </c>
      <c r="K1498" s="1">
        <f ca="1">IFERROR(__xludf.DUMMYFUNCTION("""COMPUTED_VALUE"""),2)</f>
        <v>2</v>
      </c>
      <c r="L1498" s="1">
        <f ca="1">IFERROR(__xludf.DUMMYFUNCTION("""COMPUTED_VALUE"""),3.75)</f>
        <v>3.75</v>
      </c>
      <c r="T1498" s="1">
        <f ca="1">IFERROR(__xludf.DUMMYFUNCTION("""COMPUTED_VALUE"""),489572)</f>
        <v>489572</v>
      </c>
      <c r="U1498" s="1">
        <f ca="1">IFERROR(__xludf.DUMMYFUNCTION("""COMPUTED_VALUE"""),7.5)</f>
        <v>7.5</v>
      </c>
    </row>
    <row r="1499" spans="1:21" ht="12.75" x14ac:dyDescent="0.2">
      <c r="A1499" s="3">
        <f ca="1">IFERROR(__xludf.DUMMYFUNCTION("""COMPUTED_VALUE"""),40148.5618055555)</f>
        <v>40148.561805555502</v>
      </c>
      <c r="B1499" s="1">
        <f ca="1">IFERROR(__xludf.DUMMYFUNCTION("""COMPUTED_VALUE"""),1.95)</f>
        <v>1.95</v>
      </c>
      <c r="J1499" s="1" t="str">
        <f ca="1">IFERROR(__xludf.DUMMYFUNCTION("""COMPUTED_VALUE"""),"JUMBO BAG SCANDINAVIAN PAISLEY")</f>
        <v>JUMBO BAG SCANDINAVIAN PAISLEY</v>
      </c>
      <c r="K1499" s="1">
        <f ca="1">IFERROR(__xludf.DUMMYFUNCTION("""COMPUTED_VALUE"""),2)</f>
        <v>2</v>
      </c>
      <c r="L1499" s="1">
        <f ca="1">IFERROR(__xludf.DUMMYFUNCTION("""COMPUTED_VALUE"""),1.95)</f>
        <v>1.95</v>
      </c>
      <c r="T1499" s="1">
        <f ca="1">IFERROR(__xludf.DUMMYFUNCTION("""COMPUTED_VALUE"""),489572)</f>
        <v>489572</v>
      </c>
      <c r="U1499" s="1">
        <f ca="1">IFERROR(__xludf.DUMMYFUNCTION("""COMPUTED_VALUE"""),3.9)</f>
        <v>3.9</v>
      </c>
    </row>
    <row r="1500" spans="1:21" ht="12.75" x14ac:dyDescent="0.2">
      <c r="A1500" s="3">
        <f ca="1">IFERROR(__xludf.DUMMYFUNCTION("""COMPUTED_VALUE"""),40148.5618055555)</f>
        <v>40148.561805555502</v>
      </c>
      <c r="B1500" s="1">
        <f ca="1">IFERROR(__xludf.DUMMYFUNCTION("""COMPUTED_VALUE"""),1.95)</f>
        <v>1.95</v>
      </c>
      <c r="J1500" s="1" t="str">
        <f ca="1">IFERROR(__xludf.DUMMYFUNCTION("""COMPUTED_VALUE"""),"JUMBO  BAG BAROQUE BLACK WHITE")</f>
        <v>JUMBO  BAG BAROQUE BLACK WHITE</v>
      </c>
      <c r="K1500" s="1">
        <f ca="1">IFERROR(__xludf.DUMMYFUNCTION("""COMPUTED_VALUE"""),2)</f>
        <v>2</v>
      </c>
      <c r="L1500" s="1">
        <f ca="1">IFERROR(__xludf.DUMMYFUNCTION("""COMPUTED_VALUE"""),1.95)</f>
        <v>1.95</v>
      </c>
      <c r="T1500" s="1">
        <f ca="1">IFERROR(__xludf.DUMMYFUNCTION("""COMPUTED_VALUE"""),489572)</f>
        <v>489572</v>
      </c>
      <c r="U1500" s="1">
        <f ca="1">IFERROR(__xludf.DUMMYFUNCTION("""COMPUTED_VALUE"""),3.9)</f>
        <v>3.9</v>
      </c>
    </row>
    <row r="1501" spans="1:21" ht="12.75" x14ac:dyDescent="0.2">
      <c r="A1501" s="3">
        <f ca="1">IFERROR(__xludf.DUMMYFUNCTION("""COMPUTED_VALUE"""),40148.5618055555)</f>
        <v>40148.561805555502</v>
      </c>
      <c r="B1501" s="1">
        <f ca="1">IFERROR(__xludf.DUMMYFUNCTION("""COMPUTED_VALUE"""),0.85)</f>
        <v>0.85</v>
      </c>
      <c r="J1501" s="1" t="str">
        <f ca="1">IFERROR(__xludf.DUMMYFUNCTION("""COMPUTED_VALUE"""),"POPCORN HOLDER , SMALL ")</f>
        <v xml:space="preserve">POPCORN HOLDER , SMALL </v>
      </c>
      <c r="K1501" s="1">
        <f ca="1">IFERROR(__xludf.DUMMYFUNCTION("""COMPUTED_VALUE"""),2)</f>
        <v>2</v>
      </c>
      <c r="L1501" s="1">
        <f ca="1">IFERROR(__xludf.DUMMYFUNCTION("""COMPUTED_VALUE"""),0.85)</f>
        <v>0.85</v>
      </c>
      <c r="T1501" s="1">
        <f ca="1">IFERROR(__xludf.DUMMYFUNCTION("""COMPUTED_VALUE"""),489572)</f>
        <v>489572</v>
      </c>
      <c r="U1501" s="1">
        <f ca="1">IFERROR(__xludf.DUMMYFUNCTION("""COMPUTED_VALUE"""),1.7)</f>
        <v>1.7</v>
      </c>
    </row>
    <row r="1502" spans="1:21" ht="12.75" x14ac:dyDescent="0.2">
      <c r="A1502" s="3">
        <f ca="1">IFERROR(__xludf.DUMMYFUNCTION("""COMPUTED_VALUE"""),40148.5618055555)</f>
        <v>40148.561805555502</v>
      </c>
      <c r="B1502" s="1">
        <f ca="1">IFERROR(__xludf.DUMMYFUNCTION("""COMPUTED_VALUE"""),3.75)</f>
        <v>3.75</v>
      </c>
      <c r="J1502" s="1" t="str">
        <f ca="1">IFERROR(__xludf.DUMMYFUNCTION("""COMPUTED_VALUE"""),"DAIRY MAID  PUDDING BOWL")</f>
        <v>DAIRY MAID  PUDDING BOWL</v>
      </c>
      <c r="K1502" s="1">
        <f ca="1">IFERROR(__xludf.DUMMYFUNCTION("""COMPUTED_VALUE"""),2)</f>
        <v>2</v>
      </c>
      <c r="L1502" s="1">
        <f ca="1">IFERROR(__xludf.DUMMYFUNCTION("""COMPUTED_VALUE"""),3.75)</f>
        <v>3.75</v>
      </c>
      <c r="T1502" s="1">
        <f ca="1">IFERROR(__xludf.DUMMYFUNCTION("""COMPUTED_VALUE"""),489572)</f>
        <v>489572</v>
      </c>
      <c r="U1502" s="1">
        <f ca="1">IFERROR(__xludf.DUMMYFUNCTION("""COMPUTED_VALUE"""),7.5)</f>
        <v>7.5</v>
      </c>
    </row>
    <row r="1503" spans="1:21" ht="12.75" x14ac:dyDescent="0.2">
      <c r="A1503" s="3">
        <f ca="1">IFERROR(__xludf.DUMMYFUNCTION("""COMPUTED_VALUE"""),40148.5618055555)</f>
        <v>40148.561805555502</v>
      </c>
      <c r="B1503" s="1">
        <f ca="1">IFERROR(__xludf.DUMMYFUNCTION("""COMPUTED_VALUE"""),4.95)</f>
        <v>4.95</v>
      </c>
      <c r="J1503" s="1" t="str">
        <f ca="1">IFERROR(__xludf.DUMMYFUNCTION("""COMPUTED_VALUE"""),"DAIRY MAID LARGE MILK JUG")</f>
        <v>DAIRY MAID LARGE MILK JUG</v>
      </c>
      <c r="K1503" s="1">
        <f ca="1">IFERROR(__xludf.DUMMYFUNCTION("""COMPUTED_VALUE"""),2)</f>
        <v>2</v>
      </c>
      <c r="L1503" s="1">
        <f ca="1">IFERROR(__xludf.DUMMYFUNCTION("""COMPUTED_VALUE"""),4.95)</f>
        <v>4.95</v>
      </c>
      <c r="T1503" s="1">
        <f ca="1">IFERROR(__xludf.DUMMYFUNCTION("""COMPUTED_VALUE"""),489572)</f>
        <v>489572</v>
      </c>
      <c r="U1503" s="1">
        <f ca="1">IFERROR(__xludf.DUMMYFUNCTION("""COMPUTED_VALUE"""),9.9)</f>
        <v>9.9</v>
      </c>
    </row>
    <row r="1504" spans="1:21" ht="12.75" x14ac:dyDescent="0.2">
      <c r="A1504" s="3">
        <f ca="1">IFERROR(__xludf.DUMMYFUNCTION("""COMPUTED_VALUE"""),40148.5618055555)</f>
        <v>40148.561805555502</v>
      </c>
      <c r="B1504" s="1">
        <f ca="1">IFERROR(__xludf.DUMMYFUNCTION("""COMPUTED_VALUE"""),6.95)</f>
        <v>6.95</v>
      </c>
      <c r="J1504" s="1" t="str">
        <f ca="1">IFERROR(__xludf.DUMMYFUNCTION("""COMPUTED_VALUE"""),"DAIRY MAID TRADITIONAL TEAPOT")</f>
        <v>DAIRY MAID TRADITIONAL TEAPOT</v>
      </c>
      <c r="K1504" s="1">
        <f ca="1">IFERROR(__xludf.DUMMYFUNCTION("""COMPUTED_VALUE"""),2)</f>
        <v>2</v>
      </c>
      <c r="L1504" s="1">
        <f ca="1">IFERROR(__xludf.DUMMYFUNCTION("""COMPUTED_VALUE"""),6.95)</f>
        <v>6.95</v>
      </c>
      <c r="T1504" s="1">
        <f ca="1">IFERROR(__xludf.DUMMYFUNCTION("""COMPUTED_VALUE"""),489572)</f>
        <v>489572</v>
      </c>
      <c r="U1504" s="1">
        <f ca="1">IFERROR(__xludf.DUMMYFUNCTION("""COMPUTED_VALUE"""),13.9)</f>
        <v>13.9</v>
      </c>
    </row>
    <row r="1505" spans="1:21" ht="12.75" x14ac:dyDescent="0.2">
      <c r="A1505" s="3">
        <f ca="1">IFERROR(__xludf.DUMMYFUNCTION("""COMPUTED_VALUE"""),40148.5618055555)</f>
        <v>40148.561805555502</v>
      </c>
      <c r="B1505" s="1">
        <f ca="1">IFERROR(__xludf.DUMMYFUNCTION("""COMPUTED_VALUE"""),4.25)</f>
        <v>4.25</v>
      </c>
      <c r="J1505" s="1" t="str">
        <f ca="1">IFERROR(__xludf.DUMMYFUNCTION("""COMPUTED_VALUE"""),"DAIRY MAID CERAMIC BUTTER DISH")</f>
        <v>DAIRY MAID CERAMIC BUTTER DISH</v>
      </c>
      <c r="K1505" s="1">
        <f ca="1">IFERROR(__xludf.DUMMYFUNCTION("""COMPUTED_VALUE"""),2)</f>
        <v>2</v>
      </c>
      <c r="L1505" s="1">
        <f ca="1">IFERROR(__xludf.DUMMYFUNCTION("""COMPUTED_VALUE"""),4.25)</f>
        <v>4.25</v>
      </c>
      <c r="T1505" s="1">
        <f ca="1">IFERROR(__xludf.DUMMYFUNCTION("""COMPUTED_VALUE"""),489572)</f>
        <v>489572</v>
      </c>
      <c r="U1505" s="1">
        <f ca="1">IFERROR(__xludf.DUMMYFUNCTION("""COMPUTED_VALUE"""),8.5)</f>
        <v>8.5</v>
      </c>
    </row>
    <row r="1506" spans="1:21" ht="12.75" x14ac:dyDescent="0.2">
      <c r="A1506" s="3">
        <f ca="1">IFERROR(__xludf.DUMMYFUNCTION("""COMPUTED_VALUE"""),40148.5618055555)</f>
        <v>40148.561805555502</v>
      </c>
      <c r="B1506" s="1">
        <f ca="1">IFERROR(__xludf.DUMMYFUNCTION("""COMPUTED_VALUE"""),2.95)</f>
        <v>2.95</v>
      </c>
      <c r="J1506" s="1" t="str">
        <f ca="1">IFERROR(__xludf.DUMMYFUNCTION("""COMPUTED_VALUE"""),"FRENCH ENAMEL POT W LID")</f>
        <v>FRENCH ENAMEL POT W LID</v>
      </c>
      <c r="K1506" s="1">
        <f ca="1">IFERROR(__xludf.DUMMYFUNCTION("""COMPUTED_VALUE"""),2)</f>
        <v>2</v>
      </c>
      <c r="L1506" s="1">
        <f ca="1">IFERROR(__xludf.DUMMYFUNCTION("""COMPUTED_VALUE"""),2.95)</f>
        <v>2.95</v>
      </c>
      <c r="T1506" s="1">
        <f ca="1">IFERROR(__xludf.DUMMYFUNCTION("""COMPUTED_VALUE"""),489572)</f>
        <v>489572</v>
      </c>
      <c r="U1506" s="1">
        <f ca="1">IFERROR(__xludf.DUMMYFUNCTION("""COMPUTED_VALUE"""),5.9)</f>
        <v>5.9</v>
      </c>
    </row>
    <row r="1507" spans="1:21" ht="12.75" x14ac:dyDescent="0.2">
      <c r="A1507" s="3">
        <f ca="1">IFERROR(__xludf.DUMMYFUNCTION("""COMPUTED_VALUE"""),40148.5618055555)</f>
        <v>40148.561805555502</v>
      </c>
      <c r="B1507" s="1">
        <f ca="1">IFERROR(__xludf.DUMMYFUNCTION("""COMPUTED_VALUE"""),2.1)</f>
        <v>2.1</v>
      </c>
      <c r="J1507" s="1" t="str">
        <f ca="1">IFERROR(__xludf.DUMMYFUNCTION("""COMPUTED_VALUE"""),"FRENCH ENAMEL CANDLEHOLDER")</f>
        <v>FRENCH ENAMEL CANDLEHOLDER</v>
      </c>
      <c r="K1507" s="1">
        <f ca="1">IFERROR(__xludf.DUMMYFUNCTION("""COMPUTED_VALUE"""),2)</f>
        <v>2</v>
      </c>
      <c r="L1507" s="1">
        <f ca="1">IFERROR(__xludf.DUMMYFUNCTION("""COMPUTED_VALUE"""),2.1)</f>
        <v>2.1</v>
      </c>
      <c r="T1507" s="1">
        <f ca="1">IFERROR(__xludf.DUMMYFUNCTION("""COMPUTED_VALUE"""),489572)</f>
        <v>489572</v>
      </c>
      <c r="U1507" s="1">
        <f ca="1">IFERROR(__xludf.DUMMYFUNCTION("""COMPUTED_VALUE"""),4.2)</f>
        <v>4.2</v>
      </c>
    </row>
    <row r="1508" spans="1:21" ht="12.75" x14ac:dyDescent="0.2">
      <c r="A1508" s="3">
        <f ca="1">IFERROR(__xludf.DUMMYFUNCTION("""COMPUTED_VALUE"""),40148.5618055555)</f>
        <v>40148.561805555502</v>
      </c>
      <c r="B1508" s="1">
        <f ca="1">IFERROR(__xludf.DUMMYFUNCTION("""COMPUTED_VALUE"""),2.1)</f>
        <v>2.1</v>
      </c>
      <c r="J1508" s="1" t="str">
        <f ca="1">IFERROR(__xludf.DUMMYFUNCTION("""COMPUTED_VALUE"""),"DAIRY MAID SUGAR JAM BOWL")</f>
        <v>DAIRY MAID SUGAR JAM BOWL</v>
      </c>
      <c r="K1508" s="1">
        <f ca="1">IFERROR(__xludf.DUMMYFUNCTION("""COMPUTED_VALUE"""),2)</f>
        <v>2</v>
      </c>
      <c r="L1508" s="1">
        <f ca="1">IFERROR(__xludf.DUMMYFUNCTION("""COMPUTED_VALUE"""),2.1)</f>
        <v>2.1</v>
      </c>
      <c r="T1508" s="1">
        <f ca="1">IFERROR(__xludf.DUMMYFUNCTION("""COMPUTED_VALUE"""),489572)</f>
        <v>489572</v>
      </c>
      <c r="U1508" s="1">
        <f ca="1">IFERROR(__xludf.DUMMYFUNCTION("""COMPUTED_VALUE"""),4.2)</f>
        <v>4.2</v>
      </c>
    </row>
    <row r="1509" spans="1:21" ht="12.75" x14ac:dyDescent="0.2">
      <c r="A1509" s="3">
        <f ca="1">IFERROR(__xludf.DUMMYFUNCTION("""COMPUTED_VALUE"""),40148.5618055555)</f>
        <v>40148.561805555502</v>
      </c>
      <c r="B1509" s="1">
        <f ca="1">IFERROR(__xludf.DUMMYFUNCTION("""COMPUTED_VALUE"""),2.95)</f>
        <v>2.95</v>
      </c>
      <c r="J1509" s="1" t="str">
        <f ca="1">IFERROR(__xludf.DUMMYFUNCTION("""COMPUTED_VALUE"""),"DAIRY MAID CERAMIC TOASTRACK")</f>
        <v>DAIRY MAID CERAMIC TOASTRACK</v>
      </c>
      <c r="K1509" s="1">
        <f ca="1">IFERROR(__xludf.DUMMYFUNCTION("""COMPUTED_VALUE"""),2)</f>
        <v>2</v>
      </c>
      <c r="L1509" s="1">
        <f ca="1">IFERROR(__xludf.DUMMYFUNCTION("""COMPUTED_VALUE"""),2.95)</f>
        <v>2.95</v>
      </c>
      <c r="T1509" s="1">
        <f ca="1">IFERROR(__xludf.DUMMYFUNCTION("""COMPUTED_VALUE"""),489572)</f>
        <v>489572</v>
      </c>
      <c r="U1509" s="1">
        <f ca="1">IFERROR(__xludf.DUMMYFUNCTION("""COMPUTED_VALUE"""),5.9)</f>
        <v>5.9</v>
      </c>
    </row>
    <row r="1510" spans="1:21" ht="12.75" x14ac:dyDescent="0.2">
      <c r="A1510" s="3">
        <f ca="1">IFERROR(__xludf.DUMMYFUNCTION("""COMPUTED_VALUE"""),40148.5618055555)</f>
        <v>40148.561805555502</v>
      </c>
      <c r="B1510" s="1">
        <f ca="1">IFERROR(__xludf.DUMMYFUNCTION("""COMPUTED_VALUE"""),2.95)</f>
        <v>2.95</v>
      </c>
      <c r="J1510" s="1" t="str">
        <f ca="1">IFERROR(__xludf.DUMMYFUNCTION("""COMPUTED_VALUE"""),"YELLOW BREAKFAST CUP AND SAUCER")</f>
        <v>YELLOW BREAKFAST CUP AND SAUCER</v>
      </c>
      <c r="K1510" s="1">
        <f ca="1">IFERROR(__xludf.DUMMYFUNCTION("""COMPUTED_VALUE"""),2)</f>
        <v>2</v>
      </c>
      <c r="L1510" s="1">
        <f ca="1">IFERROR(__xludf.DUMMYFUNCTION("""COMPUTED_VALUE"""),2.95)</f>
        <v>2.95</v>
      </c>
      <c r="T1510" s="1">
        <f ca="1">IFERROR(__xludf.DUMMYFUNCTION("""COMPUTED_VALUE"""),489572)</f>
        <v>489572</v>
      </c>
      <c r="U1510" s="1">
        <f ca="1">IFERROR(__xludf.DUMMYFUNCTION("""COMPUTED_VALUE"""),5.9)</f>
        <v>5.9</v>
      </c>
    </row>
    <row r="1511" spans="1:21" ht="12.75" x14ac:dyDescent="0.2">
      <c r="A1511" s="3">
        <f ca="1">IFERROR(__xludf.DUMMYFUNCTION("""COMPUTED_VALUE"""),40148.5618055555)</f>
        <v>40148.561805555502</v>
      </c>
      <c r="B1511" s="1">
        <f ca="1">IFERROR(__xludf.DUMMYFUNCTION("""COMPUTED_VALUE"""),2.95)</f>
        <v>2.95</v>
      </c>
      <c r="J1511" s="1" t="str">
        <f ca="1">IFERROR(__xludf.DUMMYFUNCTION("""COMPUTED_VALUE"""),"BLUE BREAKFAST CUP AND SAUCER")</f>
        <v>BLUE BREAKFAST CUP AND SAUCER</v>
      </c>
      <c r="K1511" s="1">
        <f ca="1">IFERROR(__xludf.DUMMYFUNCTION("""COMPUTED_VALUE"""),2)</f>
        <v>2</v>
      </c>
      <c r="L1511" s="1">
        <f ca="1">IFERROR(__xludf.DUMMYFUNCTION("""COMPUTED_VALUE"""),2.95)</f>
        <v>2.95</v>
      </c>
      <c r="T1511" s="1">
        <f ca="1">IFERROR(__xludf.DUMMYFUNCTION("""COMPUTED_VALUE"""),489572)</f>
        <v>489572</v>
      </c>
      <c r="U1511" s="1">
        <f ca="1">IFERROR(__xludf.DUMMYFUNCTION("""COMPUTED_VALUE"""),5.9)</f>
        <v>5.9</v>
      </c>
    </row>
    <row r="1512" spans="1:21" ht="12.75" x14ac:dyDescent="0.2">
      <c r="A1512" s="3">
        <f ca="1">IFERROR(__xludf.DUMMYFUNCTION("""COMPUTED_VALUE"""),40148.5618055555)</f>
        <v>40148.561805555502</v>
      </c>
      <c r="B1512" s="1">
        <f ca="1">IFERROR(__xludf.DUMMYFUNCTION("""COMPUTED_VALUE"""),2.95)</f>
        <v>2.95</v>
      </c>
      <c r="J1512" s="1" t="str">
        <f ca="1">IFERROR(__xludf.DUMMYFUNCTION("""COMPUTED_VALUE"""),"PINK BREAKFAST CUP AND SAUCER")</f>
        <v>PINK BREAKFAST CUP AND SAUCER</v>
      </c>
      <c r="K1512" s="1">
        <f ca="1">IFERROR(__xludf.DUMMYFUNCTION("""COMPUTED_VALUE"""),2)</f>
        <v>2</v>
      </c>
      <c r="L1512" s="1">
        <f ca="1">IFERROR(__xludf.DUMMYFUNCTION("""COMPUTED_VALUE"""),2.95)</f>
        <v>2.95</v>
      </c>
      <c r="T1512" s="1">
        <f ca="1">IFERROR(__xludf.DUMMYFUNCTION("""COMPUTED_VALUE"""),489572)</f>
        <v>489572</v>
      </c>
      <c r="U1512" s="1">
        <f ca="1">IFERROR(__xludf.DUMMYFUNCTION("""COMPUTED_VALUE"""),5.9)</f>
        <v>5.9</v>
      </c>
    </row>
    <row r="1513" spans="1:21" ht="12.75" x14ac:dyDescent="0.2">
      <c r="A1513" s="3">
        <f ca="1">IFERROR(__xludf.DUMMYFUNCTION("""COMPUTED_VALUE"""),40148.5618055555)</f>
        <v>40148.561805555502</v>
      </c>
      <c r="B1513" s="1">
        <f ca="1">IFERROR(__xludf.DUMMYFUNCTION("""COMPUTED_VALUE"""),3.75)</f>
        <v>3.75</v>
      </c>
      <c r="J1513" s="1" t="str">
        <f ca="1">IFERROR(__xludf.DUMMYFUNCTION("""COMPUTED_VALUE"""),"FRENCH ENAMEL UTENSIL HOLDER")</f>
        <v>FRENCH ENAMEL UTENSIL HOLDER</v>
      </c>
      <c r="K1513" s="1">
        <f ca="1">IFERROR(__xludf.DUMMYFUNCTION("""COMPUTED_VALUE"""),2)</f>
        <v>2</v>
      </c>
      <c r="L1513" s="1">
        <f ca="1">IFERROR(__xludf.DUMMYFUNCTION("""COMPUTED_VALUE"""),3.75)</f>
        <v>3.75</v>
      </c>
      <c r="T1513" s="1">
        <f ca="1">IFERROR(__xludf.DUMMYFUNCTION("""COMPUTED_VALUE"""),489572)</f>
        <v>489572</v>
      </c>
      <c r="U1513" s="1">
        <f ca="1">IFERROR(__xludf.DUMMYFUNCTION("""COMPUTED_VALUE"""),7.5)</f>
        <v>7.5</v>
      </c>
    </row>
    <row r="1514" spans="1:21" ht="12.75" x14ac:dyDescent="0.2">
      <c r="A1514" s="3">
        <f ca="1">IFERROR(__xludf.DUMMYFUNCTION("""COMPUTED_VALUE"""),40148.5618055555)</f>
        <v>40148.561805555502</v>
      </c>
      <c r="B1514" s="1">
        <f ca="1">IFERROR(__xludf.DUMMYFUNCTION("""COMPUTED_VALUE"""),7.95)</f>
        <v>7.95</v>
      </c>
      <c r="J1514" s="1" t="str">
        <f ca="1">IFERROR(__xludf.DUMMYFUNCTION("""COMPUTED_VALUE"""),"FRENCH CHATEAU LARGE FRUIT BOWL")</f>
        <v>FRENCH CHATEAU LARGE FRUIT BOWL</v>
      </c>
      <c r="K1514" s="1">
        <f ca="1">IFERROR(__xludf.DUMMYFUNCTION("""COMPUTED_VALUE"""),2)</f>
        <v>2</v>
      </c>
      <c r="L1514" s="1">
        <f ca="1">IFERROR(__xludf.DUMMYFUNCTION("""COMPUTED_VALUE"""),7.95)</f>
        <v>7.95</v>
      </c>
      <c r="T1514" s="1">
        <f ca="1">IFERROR(__xludf.DUMMYFUNCTION("""COMPUTED_VALUE"""),489572)</f>
        <v>489572</v>
      </c>
      <c r="U1514" s="1">
        <f ca="1">IFERROR(__xludf.DUMMYFUNCTION("""COMPUTED_VALUE"""),15.9)</f>
        <v>15.9</v>
      </c>
    </row>
    <row r="1515" spans="1:21" ht="12.75" x14ac:dyDescent="0.2">
      <c r="A1515" s="3">
        <f ca="1">IFERROR(__xludf.DUMMYFUNCTION("""COMPUTED_VALUE"""),40148.5618055555)</f>
        <v>40148.561805555502</v>
      </c>
      <c r="B1515" s="1">
        <f ca="1">IFERROR(__xludf.DUMMYFUNCTION("""COMPUTED_VALUE"""),4.95)</f>
        <v>4.95</v>
      </c>
      <c r="J1515" s="1" t="str">
        <f ca="1">IFERROR(__xludf.DUMMYFUNCTION("""COMPUTED_VALUE"""),"FRENCH CHATEAU SMALL FRUITBOWL")</f>
        <v>FRENCH CHATEAU SMALL FRUITBOWL</v>
      </c>
      <c r="K1515" s="1">
        <f ca="1">IFERROR(__xludf.DUMMYFUNCTION("""COMPUTED_VALUE"""),2)</f>
        <v>2</v>
      </c>
      <c r="L1515" s="1">
        <f ca="1">IFERROR(__xludf.DUMMYFUNCTION("""COMPUTED_VALUE"""),4.95)</f>
        <v>4.95</v>
      </c>
      <c r="T1515" s="1">
        <f ca="1">IFERROR(__xludf.DUMMYFUNCTION("""COMPUTED_VALUE"""),489572)</f>
        <v>489572</v>
      </c>
      <c r="U1515" s="1">
        <f ca="1">IFERROR(__xludf.DUMMYFUNCTION("""COMPUTED_VALUE"""),9.9)</f>
        <v>9.9</v>
      </c>
    </row>
    <row r="1516" spans="1:21" ht="12.75" x14ac:dyDescent="0.2">
      <c r="A1516" s="3">
        <f ca="1">IFERROR(__xludf.DUMMYFUNCTION("""COMPUTED_VALUE"""),40148.5618055555)</f>
        <v>40148.561805555502</v>
      </c>
      <c r="B1516" s="1">
        <f ca="1">IFERROR(__xludf.DUMMYFUNCTION("""COMPUTED_VALUE"""),2.1)</f>
        <v>2.1</v>
      </c>
      <c r="J1516" s="1" t="str">
        <f ca="1">IFERROR(__xludf.DUMMYFUNCTION("""COMPUTED_VALUE"""),"CHRISTMAS CRAFT HEART STOCKING")</f>
        <v>CHRISTMAS CRAFT HEART STOCKING</v>
      </c>
      <c r="K1516" s="1">
        <f ca="1">IFERROR(__xludf.DUMMYFUNCTION("""COMPUTED_VALUE"""),2)</f>
        <v>2</v>
      </c>
      <c r="L1516" s="1">
        <f ca="1">IFERROR(__xludf.DUMMYFUNCTION("""COMPUTED_VALUE"""),2.1)</f>
        <v>2.1</v>
      </c>
      <c r="T1516" s="1">
        <f ca="1">IFERROR(__xludf.DUMMYFUNCTION("""COMPUTED_VALUE"""),489572)</f>
        <v>489572</v>
      </c>
      <c r="U1516" s="1">
        <f ca="1">IFERROR(__xludf.DUMMYFUNCTION("""COMPUTED_VALUE"""),4.2)</f>
        <v>4.2</v>
      </c>
    </row>
    <row r="1517" spans="1:21" ht="12.75" x14ac:dyDescent="0.2">
      <c r="A1517" s="3">
        <f ca="1">IFERROR(__xludf.DUMMYFUNCTION("""COMPUTED_VALUE"""),40148.5618055555)</f>
        <v>40148.561805555502</v>
      </c>
      <c r="B1517" s="1">
        <f ca="1">IFERROR(__xludf.DUMMYFUNCTION("""COMPUTED_VALUE"""),1.45)</f>
        <v>1.45</v>
      </c>
      <c r="J1517" s="1" t="str">
        <f ca="1">IFERROR(__xludf.DUMMYFUNCTION("""COMPUTED_VALUE"""),"CHRISTMAS CRAFT WHITE FAIRY")</f>
        <v>CHRISTMAS CRAFT WHITE FAIRY</v>
      </c>
      <c r="K1517" s="1">
        <f ca="1">IFERROR(__xludf.DUMMYFUNCTION("""COMPUTED_VALUE"""),2)</f>
        <v>2</v>
      </c>
      <c r="L1517" s="1">
        <f ca="1">IFERROR(__xludf.DUMMYFUNCTION("""COMPUTED_VALUE"""),1.45)</f>
        <v>1.45</v>
      </c>
      <c r="T1517" s="1">
        <f ca="1">IFERROR(__xludf.DUMMYFUNCTION("""COMPUTED_VALUE"""),489572)</f>
        <v>489572</v>
      </c>
      <c r="U1517" s="1">
        <f ca="1">IFERROR(__xludf.DUMMYFUNCTION("""COMPUTED_VALUE"""),2.9)</f>
        <v>2.9</v>
      </c>
    </row>
    <row r="1518" spans="1:21" ht="12.75" x14ac:dyDescent="0.2">
      <c r="A1518" s="3">
        <f ca="1">IFERROR(__xludf.DUMMYFUNCTION("""COMPUTED_VALUE"""),40148.5618055555)</f>
        <v>40148.561805555502</v>
      </c>
      <c r="B1518" s="1">
        <f ca="1">IFERROR(__xludf.DUMMYFUNCTION("""COMPUTED_VALUE"""),1.95)</f>
        <v>1.95</v>
      </c>
      <c r="J1518" s="1" t="str">
        <f ca="1">IFERROR(__xludf.DUMMYFUNCTION("""COMPUTED_VALUE"""),"SET OF THREE 50'S GIFT WRAPS")</f>
        <v>SET OF THREE 50'S GIFT WRAPS</v>
      </c>
      <c r="K1518" s="1">
        <f ca="1">IFERROR(__xludf.DUMMYFUNCTION("""COMPUTED_VALUE"""),2)</f>
        <v>2</v>
      </c>
      <c r="L1518" s="1">
        <f ca="1">IFERROR(__xludf.DUMMYFUNCTION("""COMPUTED_VALUE"""),1.95)</f>
        <v>1.95</v>
      </c>
      <c r="T1518" s="1">
        <f ca="1">IFERROR(__xludf.DUMMYFUNCTION("""COMPUTED_VALUE"""),489572)</f>
        <v>489572</v>
      </c>
      <c r="U1518" s="1">
        <f ca="1">IFERROR(__xludf.DUMMYFUNCTION("""COMPUTED_VALUE"""),3.9)</f>
        <v>3.9</v>
      </c>
    </row>
    <row r="1519" spans="1:21" ht="12.75" x14ac:dyDescent="0.2">
      <c r="A1519" s="3">
        <f ca="1">IFERROR(__xludf.DUMMYFUNCTION("""COMPUTED_VALUE"""),40148.5618055555)</f>
        <v>40148.561805555502</v>
      </c>
      <c r="B1519" s="1">
        <f ca="1">IFERROR(__xludf.DUMMYFUNCTION("""COMPUTED_VALUE"""),1.45)</f>
        <v>1.45</v>
      </c>
      <c r="J1519" s="1" t="str">
        <f ca="1">IFERROR(__xludf.DUMMYFUNCTION("""COMPUTED_VALUE"""),"SET OF 72 IVORY PAPER DOILIES")</f>
        <v>SET OF 72 IVORY PAPER DOILIES</v>
      </c>
      <c r="K1519" s="1">
        <f ca="1">IFERROR(__xludf.DUMMYFUNCTION("""COMPUTED_VALUE"""),2)</f>
        <v>2</v>
      </c>
      <c r="L1519" s="1">
        <f ca="1">IFERROR(__xludf.DUMMYFUNCTION("""COMPUTED_VALUE"""),1.45)</f>
        <v>1.45</v>
      </c>
      <c r="T1519" s="1">
        <f ca="1">IFERROR(__xludf.DUMMYFUNCTION("""COMPUTED_VALUE"""),489572)</f>
        <v>489572</v>
      </c>
      <c r="U1519" s="1">
        <f ca="1">IFERROR(__xludf.DUMMYFUNCTION("""COMPUTED_VALUE"""),2.9)</f>
        <v>2.9</v>
      </c>
    </row>
    <row r="1520" spans="1:21" ht="12.75" x14ac:dyDescent="0.2">
      <c r="A1520" s="3">
        <f ca="1">IFERROR(__xludf.DUMMYFUNCTION("""COMPUTED_VALUE"""),40148.5618055555)</f>
        <v>40148.561805555502</v>
      </c>
      <c r="B1520" s="1">
        <f ca="1">IFERROR(__xludf.DUMMYFUNCTION("""COMPUTED_VALUE"""),1.45)</f>
        <v>1.45</v>
      </c>
      <c r="J1520" s="1" t="str">
        <f ca="1">IFERROR(__xludf.DUMMYFUNCTION("""COMPUTED_VALUE"""),"SET OF 72 BLACK PAPER DOILIES")</f>
        <v>SET OF 72 BLACK PAPER DOILIES</v>
      </c>
      <c r="K1520" s="1">
        <f ca="1">IFERROR(__xludf.DUMMYFUNCTION("""COMPUTED_VALUE"""),2)</f>
        <v>2</v>
      </c>
      <c r="L1520" s="1">
        <f ca="1">IFERROR(__xludf.DUMMYFUNCTION("""COMPUTED_VALUE"""),1.45)</f>
        <v>1.45</v>
      </c>
      <c r="T1520" s="1">
        <f ca="1">IFERROR(__xludf.DUMMYFUNCTION("""COMPUTED_VALUE"""),489572)</f>
        <v>489572</v>
      </c>
      <c r="U1520" s="1">
        <f ca="1">IFERROR(__xludf.DUMMYFUNCTION("""COMPUTED_VALUE"""),2.9)</f>
        <v>2.9</v>
      </c>
    </row>
    <row r="1521" spans="1:21" ht="12.75" x14ac:dyDescent="0.2">
      <c r="A1521" s="3">
        <f ca="1">IFERROR(__xludf.DUMMYFUNCTION("""COMPUTED_VALUE"""),40148.5618055555)</f>
        <v>40148.561805555502</v>
      </c>
      <c r="B1521" s="1">
        <f ca="1">IFERROR(__xludf.DUMMYFUNCTION("""COMPUTED_VALUE"""),1.45)</f>
        <v>1.45</v>
      </c>
      <c r="J1521" s="1" t="str">
        <f ca="1">IFERROR(__xludf.DUMMYFUNCTION("""COMPUTED_VALUE"""),"SET OF 72 GREEN PAPER DOILIES")</f>
        <v>SET OF 72 GREEN PAPER DOILIES</v>
      </c>
      <c r="K1521" s="1">
        <f ca="1">IFERROR(__xludf.DUMMYFUNCTION("""COMPUTED_VALUE"""),2)</f>
        <v>2</v>
      </c>
      <c r="L1521" s="1">
        <f ca="1">IFERROR(__xludf.DUMMYFUNCTION("""COMPUTED_VALUE"""),1.45)</f>
        <v>1.45</v>
      </c>
      <c r="T1521" s="1">
        <f ca="1">IFERROR(__xludf.DUMMYFUNCTION("""COMPUTED_VALUE"""),489572)</f>
        <v>489572</v>
      </c>
      <c r="U1521" s="1">
        <f ca="1">IFERROR(__xludf.DUMMYFUNCTION("""COMPUTED_VALUE"""),2.9)</f>
        <v>2.9</v>
      </c>
    </row>
    <row r="1522" spans="1:21" ht="12.75" x14ac:dyDescent="0.2">
      <c r="A1522" s="3">
        <f ca="1">IFERROR(__xludf.DUMMYFUNCTION("""COMPUTED_VALUE"""),40148.5618055555)</f>
        <v>40148.561805555502</v>
      </c>
      <c r="B1522" s="1">
        <f ca="1">IFERROR(__xludf.DUMMYFUNCTION("""COMPUTED_VALUE"""),1.95)</f>
        <v>1.95</v>
      </c>
      <c r="J1522" s="1" t="str">
        <f ca="1">IFERROR(__xludf.DUMMYFUNCTION("""COMPUTED_VALUE"""),"GEISHA GIRL CHOPSTICKS SET/5")</f>
        <v>GEISHA GIRL CHOPSTICKS SET/5</v>
      </c>
      <c r="K1522" s="1">
        <f ca="1">IFERROR(__xludf.DUMMYFUNCTION("""COMPUTED_VALUE"""),2)</f>
        <v>2</v>
      </c>
      <c r="L1522" s="1">
        <f ca="1">IFERROR(__xludf.DUMMYFUNCTION("""COMPUTED_VALUE"""),1.95)</f>
        <v>1.95</v>
      </c>
      <c r="T1522" s="1">
        <f ca="1">IFERROR(__xludf.DUMMYFUNCTION("""COMPUTED_VALUE"""),489572)</f>
        <v>489572</v>
      </c>
      <c r="U1522" s="1">
        <f ca="1">IFERROR(__xludf.DUMMYFUNCTION("""COMPUTED_VALUE"""),3.9)</f>
        <v>3.9</v>
      </c>
    </row>
    <row r="1523" spans="1:21" ht="12.75" x14ac:dyDescent="0.2">
      <c r="A1523" s="3">
        <f ca="1">IFERROR(__xludf.DUMMYFUNCTION("""COMPUTED_VALUE"""),40148.5618055555)</f>
        <v>40148.561805555502</v>
      </c>
      <c r="B1523" s="1">
        <f ca="1">IFERROR(__xludf.DUMMYFUNCTION("""COMPUTED_VALUE"""),1.95)</f>
        <v>1.95</v>
      </c>
      <c r="J1523" s="1" t="str">
        <f ca="1">IFERROR(__xludf.DUMMYFUNCTION("""COMPUTED_VALUE"""),"URBAN CHIC CHOPSTICKS SET/5")</f>
        <v>URBAN CHIC CHOPSTICKS SET/5</v>
      </c>
      <c r="K1523" s="1">
        <f ca="1">IFERROR(__xludf.DUMMYFUNCTION("""COMPUTED_VALUE"""),2)</f>
        <v>2</v>
      </c>
      <c r="L1523" s="1">
        <f ca="1">IFERROR(__xludf.DUMMYFUNCTION("""COMPUTED_VALUE"""),1.95)</f>
        <v>1.95</v>
      </c>
      <c r="T1523" s="1">
        <f ca="1">IFERROR(__xludf.DUMMYFUNCTION("""COMPUTED_VALUE"""),489572)</f>
        <v>489572</v>
      </c>
      <c r="U1523" s="1">
        <f ca="1">IFERROR(__xludf.DUMMYFUNCTION("""COMPUTED_VALUE"""),3.9)</f>
        <v>3.9</v>
      </c>
    </row>
    <row r="1524" spans="1:21" ht="12.75" x14ac:dyDescent="0.2">
      <c r="A1524" s="3">
        <f ca="1">IFERROR(__xludf.DUMMYFUNCTION("""COMPUTED_VALUE"""),40148.5618055555)</f>
        <v>40148.561805555502</v>
      </c>
      <c r="B1524" s="1">
        <f ca="1">IFERROR(__xludf.DUMMYFUNCTION("""COMPUTED_VALUE"""),1.25)</f>
        <v>1.25</v>
      </c>
      <c r="J1524" s="1" t="str">
        <f ca="1">IFERROR(__xludf.DUMMYFUNCTION("""COMPUTED_VALUE"""),"VINTAGE BILLBOARD MUG")</f>
        <v>VINTAGE BILLBOARD MUG</v>
      </c>
      <c r="K1524" s="1">
        <f ca="1">IFERROR(__xludf.DUMMYFUNCTION("""COMPUTED_VALUE"""),2)</f>
        <v>2</v>
      </c>
      <c r="L1524" s="1">
        <f ca="1">IFERROR(__xludf.DUMMYFUNCTION("""COMPUTED_VALUE"""),1.25)</f>
        <v>1.25</v>
      </c>
      <c r="T1524" s="1">
        <f ca="1">IFERROR(__xludf.DUMMYFUNCTION("""COMPUTED_VALUE"""),489572)</f>
        <v>489572</v>
      </c>
      <c r="U1524" s="1">
        <f ca="1">IFERROR(__xludf.DUMMYFUNCTION("""COMPUTED_VALUE"""),2.5)</f>
        <v>2.5</v>
      </c>
    </row>
    <row r="1525" spans="1:21" ht="12.75" x14ac:dyDescent="0.2">
      <c r="A1525" s="3">
        <f ca="1">IFERROR(__xludf.DUMMYFUNCTION("""COMPUTED_VALUE"""),40148.5618055555)</f>
        <v>40148.561805555502</v>
      </c>
      <c r="B1525" s="1">
        <f ca="1">IFERROR(__xludf.DUMMYFUNCTION("""COMPUTED_VALUE"""),1.25)</f>
        <v>1.25</v>
      </c>
      <c r="J1525" s="1" t="str">
        <f ca="1">IFERROR(__xludf.DUMMYFUNCTION("""COMPUTED_VALUE"""),"VINTAGE RED MUG")</f>
        <v>VINTAGE RED MUG</v>
      </c>
      <c r="K1525" s="1">
        <f ca="1">IFERROR(__xludf.DUMMYFUNCTION("""COMPUTED_VALUE"""),2)</f>
        <v>2</v>
      </c>
      <c r="L1525" s="1">
        <f ca="1">IFERROR(__xludf.DUMMYFUNCTION("""COMPUTED_VALUE"""),1.25)</f>
        <v>1.25</v>
      </c>
      <c r="T1525" s="1">
        <f ca="1">IFERROR(__xludf.DUMMYFUNCTION("""COMPUTED_VALUE"""),489572)</f>
        <v>489572</v>
      </c>
      <c r="U1525" s="1">
        <f ca="1">IFERROR(__xludf.DUMMYFUNCTION("""COMPUTED_VALUE"""),2.5)</f>
        <v>2.5</v>
      </c>
    </row>
    <row r="1526" spans="1:21" ht="12.75" x14ac:dyDescent="0.2">
      <c r="A1526" s="3">
        <f ca="1">IFERROR(__xludf.DUMMYFUNCTION("""COMPUTED_VALUE"""),40148.5618055555)</f>
        <v>40148.561805555502</v>
      </c>
      <c r="B1526" s="1">
        <f ca="1">IFERROR(__xludf.DUMMYFUNCTION("""COMPUTED_VALUE"""),1.25)</f>
        <v>1.25</v>
      </c>
      <c r="J1526" s="1" t="str">
        <f ca="1">IFERROR(__xludf.DUMMYFUNCTION("""COMPUTED_VALUE"""),"VINTAGE RED TEATIME MUG")</f>
        <v>VINTAGE RED TEATIME MUG</v>
      </c>
      <c r="K1526" s="1">
        <f ca="1">IFERROR(__xludf.DUMMYFUNCTION("""COMPUTED_VALUE"""),2)</f>
        <v>2</v>
      </c>
      <c r="L1526" s="1">
        <f ca="1">IFERROR(__xludf.DUMMYFUNCTION("""COMPUTED_VALUE"""),1.25)</f>
        <v>1.25</v>
      </c>
      <c r="T1526" s="1">
        <f ca="1">IFERROR(__xludf.DUMMYFUNCTION("""COMPUTED_VALUE"""),489572)</f>
        <v>489572</v>
      </c>
      <c r="U1526" s="1">
        <f ca="1">IFERROR(__xludf.DUMMYFUNCTION("""COMPUTED_VALUE"""),2.5)</f>
        <v>2.5</v>
      </c>
    </row>
    <row r="1527" spans="1:21" ht="12.75" x14ac:dyDescent="0.2">
      <c r="A1527" s="3">
        <f ca="1">IFERROR(__xludf.DUMMYFUNCTION("""COMPUTED_VALUE"""),40148.5618055555)</f>
        <v>40148.561805555502</v>
      </c>
      <c r="B1527" s="1">
        <f ca="1">IFERROR(__xludf.DUMMYFUNCTION("""COMPUTED_VALUE"""),1.25)</f>
        <v>1.25</v>
      </c>
      <c r="J1527" s="1" t="str">
        <f ca="1">IFERROR(__xludf.DUMMYFUNCTION("""COMPUTED_VALUE"""),"VINTAGE BILLBOARD TEA MUG")</f>
        <v>VINTAGE BILLBOARD TEA MUG</v>
      </c>
      <c r="K1527" s="1">
        <f ca="1">IFERROR(__xludf.DUMMYFUNCTION("""COMPUTED_VALUE"""),2)</f>
        <v>2</v>
      </c>
      <c r="L1527" s="1">
        <f ca="1">IFERROR(__xludf.DUMMYFUNCTION("""COMPUTED_VALUE"""),1.25)</f>
        <v>1.25</v>
      </c>
      <c r="T1527" s="1">
        <f ca="1">IFERROR(__xludf.DUMMYFUNCTION("""COMPUTED_VALUE"""),489572)</f>
        <v>489572</v>
      </c>
      <c r="U1527" s="1">
        <f ca="1">IFERROR(__xludf.DUMMYFUNCTION("""COMPUTED_VALUE"""),2.5)</f>
        <v>2.5</v>
      </c>
    </row>
    <row r="1528" spans="1:21" ht="12.75" x14ac:dyDescent="0.2">
      <c r="A1528" s="3">
        <f ca="1">IFERROR(__xludf.DUMMYFUNCTION("""COMPUTED_VALUE"""),40148.5618055555)</f>
        <v>40148.561805555502</v>
      </c>
      <c r="B1528" s="1">
        <f ca="1">IFERROR(__xludf.DUMMYFUNCTION("""COMPUTED_VALUE"""),7.95)</f>
        <v>7.95</v>
      </c>
      <c r="J1528" s="1" t="str">
        <f ca="1">IFERROR(__xludf.DUMMYFUNCTION("""COMPUTED_VALUE"""),"WHITE TISSUE REAM")</f>
        <v>WHITE TISSUE REAM</v>
      </c>
      <c r="K1528" s="1">
        <f ca="1">IFERROR(__xludf.DUMMYFUNCTION("""COMPUTED_VALUE"""),1)</f>
        <v>1</v>
      </c>
      <c r="L1528" s="1">
        <f ca="1">IFERROR(__xludf.DUMMYFUNCTION("""COMPUTED_VALUE"""),7.95)</f>
        <v>7.95</v>
      </c>
      <c r="T1528" s="1">
        <f ca="1">IFERROR(__xludf.DUMMYFUNCTION("""COMPUTED_VALUE"""),489572)</f>
        <v>489572</v>
      </c>
      <c r="U1528" s="1">
        <f ca="1">IFERROR(__xludf.DUMMYFUNCTION("""COMPUTED_VALUE"""),7.95)</f>
        <v>7.95</v>
      </c>
    </row>
    <row r="1529" spans="1:21" ht="12.75" x14ac:dyDescent="0.2">
      <c r="A1529" s="3">
        <f ca="1">IFERROR(__xludf.DUMMYFUNCTION("""COMPUTED_VALUE"""),40148.5618055555)</f>
        <v>40148.561805555502</v>
      </c>
      <c r="B1529" s="1">
        <f ca="1">IFERROR(__xludf.DUMMYFUNCTION("""COMPUTED_VALUE"""),6.75)</f>
        <v>6.75</v>
      </c>
      <c r="J1529" s="1" t="str">
        <f ca="1">IFERROR(__xludf.DUMMYFUNCTION("""COMPUTED_VALUE"""),"SPOTTY  HOME SWEET HOME DOORMAT")</f>
        <v>SPOTTY  HOME SWEET HOME DOORMAT</v>
      </c>
      <c r="K1529" s="1">
        <f ca="1">IFERROR(__xludf.DUMMYFUNCTION("""COMPUTED_VALUE"""),1)</f>
        <v>1</v>
      </c>
      <c r="L1529" s="1">
        <f ca="1">IFERROR(__xludf.DUMMYFUNCTION("""COMPUTED_VALUE"""),6.75)</f>
        <v>6.75</v>
      </c>
      <c r="T1529" s="1">
        <f ca="1">IFERROR(__xludf.DUMMYFUNCTION("""COMPUTED_VALUE"""),489572)</f>
        <v>489572</v>
      </c>
      <c r="U1529" s="1">
        <f ca="1">IFERROR(__xludf.DUMMYFUNCTION("""COMPUTED_VALUE"""),6.75)</f>
        <v>6.75</v>
      </c>
    </row>
    <row r="1530" spans="1:21" ht="12.75" x14ac:dyDescent="0.2">
      <c r="A1530" s="3">
        <f ca="1">IFERROR(__xludf.DUMMYFUNCTION("""COMPUTED_VALUE"""),40148.5618055555)</f>
        <v>40148.561805555502</v>
      </c>
      <c r="B1530" s="1">
        <f ca="1">IFERROR(__xludf.DUMMYFUNCTION("""COMPUTED_VALUE"""),6.75)</f>
        <v>6.75</v>
      </c>
      <c r="J1530" s="1" t="str">
        <f ca="1">IFERROR(__xludf.DUMMYFUNCTION("""COMPUTED_VALUE"""),"DOOR MAT BIRD ON THE WIRE")</f>
        <v>DOOR MAT BIRD ON THE WIRE</v>
      </c>
      <c r="K1530" s="1">
        <f ca="1">IFERROR(__xludf.DUMMYFUNCTION("""COMPUTED_VALUE"""),1)</f>
        <v>1</v>
      </c>
      <c r="L1530" s="1">
        <f ca="1">IFERROR(__xludf.DUMMYFUNCTION("""COMPUTED_VALUE"""),6.75)</f>
        <v>6.75</v>
      </c>
      <c r="T1530" s="1">
        <f ca="1">IFERROR(__xludf.DUMMYFUNCTION("""COMPUTED_VALUE"""),489572)</f>
        <v>489572</v>
      </c>
      <c r="U1530" s="1">
        <f ca="1">IFERROR(__xludf.DUMMYFUNCTION("""COMPUTED_VALUE"""),6.75)</f>
        <v>6.75</v>
      </c>
    </row>
    <row r="1531" spans="1:21" ht="12.75" x14ac:dyDescent="0.2">
      <c r="A1531" s="3">
        <f ca="1">IFERROR(__xludf.DUMMYFUNCTION("""COMPUTED_VALUE"""),40148.5618055555)</f>
        <v>40148.561805555502</v>
      </c>
      <c r="B1531" s="1">
        <f ca="1">IFERROR(__xludf.DUMMYFUNCTION("""COMPUTED_VALUE"""),3.75)</f>
        <v>3.75</v>
      </c>
      <c r="J1531" s="1" t="str">
        <f ca="1">IFERROR(__xludf.DUMMYFUNCTION("""COMPUTED_VALUE"""),"PINK FLOWER CROCHET FOOD COVER")</f>
        <v>PINK FLOWER CROCHET FOOD COVER</v>
      </c>
      <c r="K1531" s="1">
        <f ca="1">IFERROR(__xludf.DUMMYFUNCTION("""COMPUTED_VALUE"""),1)</f>
        <v>1</v>
      </c>
      <c r="L1531" s="1">
        <f ca="1">IFERROR(__xludf.DUMMYFUNCTION("""COMPUTED_VALUE"""),3.75)</f>
        <v>3.75</v>
      </c>
      <c r="T1531" s="1">
        <f ca="1">IFERROR(__xludf.DUMMYFUNCTION("""COMPUTED_VALUE"""),489572)</f>
        <v>489572</v>
      </c>
      <c r="U1531" s="1">
        <f ca="1">IFERROR(__xludf.DUMMYFUNCTION("""COMPUTED_VALUE"""),3.75)</f>
        <v>3.75</v>
      </c>
    </row>
    <row r="1532" spans="1:21" ht="12.75" x14ac:dyDescent="0.2">
      <c r="A1532" s="3">
        <f ca="1">IFERROR(__xludf.DUMMYFUNCTION("""COMPUTED_VALUE"""),40148.5618055555)</f>
        <v>40148.561805555502</v>
      </c>
      <c r="B1532" s="1">
        <f ca="1">IFERROR(__xludf.DUMMYFUNCTION("""COMPUTED_VALUE"""),3.75)</f>
        <v>3.75</v>
      </c>
      <c r="J1532" s="1" t="str">
        <f ca="1">IFERROR(__xludf.DUMMYFUNCTION("""COMPUTED_VALUE"""),"RED FLOWER CROCHET FOOD COVER")</f>
        <v>RED FLOWER CROCHET FOOD COVER</v>
      </c>
      <c r="K1532" s="1">
        <f ca="1">IFERROR(__xludf.DUMMYFUNCTION("""COMPUTED_VALUE"""),1)</f>
        <v>1</v>
      </c>
      <c r="L1532" s="1">
        <f ca="1">IFERROR(__xludf.DUMMYFUNCTION("""COMPUTED_VALUE"""),3.75)</f>
        <v>3.75</v>
      </c>
      <c r="T1532" s="1">
        <f ca="1">IFERROR(__xludf.DUMMYFUNCTION("""COMPUTED_VALUE"""),489572)</f>
        <v>489572</v>
      </c>
      <c r="U1532" s="1">
        <f ca="1">IFERROR(__xludf.DUMMYFUNCTION("""COMPUTED_VALUE"""),3.75)</f>
        <v>3.75</v>
      </c>
    </row>
    <row r="1533" spans="1:21" ht="12.75" x14ac:dyDescent="0.2">
      <c r="A1533" s="3">
        <f ca="1">IFERROR(__xludf.DUMMYFUNCTION("""COMPUTED_VALUE"""),40148.5618055555)</f>
        <v>40148.561805555502</v>
      </c>
      <c r="B1533" s="1">
        <f ca="1">IFERROR(__xludf.DUMMYFUNCTION("""COMPUTED_VALUE"""),3.75)</f>
        <v>3.75</v>
      </c>
      <c r="J1533" s="1" t="str">
        <f ca="1">IFERROR(__xludf.DUMMYFUNCTION("""COMPUTED_VALUE"""),"CHERRY CROCHET FOOD COVER")</f>
        <v>CHERRY CROCHET FOOD COVER</v>
      </c>
      <c r="K1533" s="1">
        <f ca="1">IFERROR(__xludf.DUMMYFUNCTION("""COMPUTED_VALUE"""),1)</f>
        <v>1</v>
      </c>
      <c r="L1533" s="1">
        <f ca="1">IFERROR(__xludf.DUMMYFUNCTION("""COMPUTED_VALUE"""),3.75)</f>
        <v>3.75</v>
      </c>
      <c r="T1533" s="1">
        <f ca="1">IFERROR(__xludf.DUMMYFUNCTION("""COMPUTED_VALUE"""),489572)</f>
        <v>489572</v>
      </c>
      <c r="U1533" s="1">
        <f ca="1">IFERROR(__xludf.DUMMYFUNCTION("""COMPUTED_VALUE"""),3.75)</f>
        <v>3.75</v>
      </c>
    </row>
    <row r="1534" spans="1:21" ht="12.75" x14ac:dyDescent="0.2">
      <c r="A1534" s="3">
        <f ca="1">IFERROR(__xludf.DUMMYFUNCTION("""COMPUTED_VALUE"""),40148.5618055555)</f>
        <v>40148.561805555502</v>
      </c>
      <c r="B1534" s="1">
        <f ca="1">IFERROR(__xludf.DUMMYFUNCTION("""COMPUTED_VALUE"""),3.75)</f>
        <v>3.75</v>
      </c>
      <c r="J1534" s="1" t="str">
        <f ca="1">IFERROR(__xludf.DUMMYFUNCTION("""COMPUTED_VALUE"""),"FLOWER VINE RAFFIA FOOD COVER")</f>
        <v>FLOWER VINE RAFFIA FOOD COVER</v>
      </c>
      <c r="K1534" s="1">
        <f ca="1">IFERROR(__xludf.DUMMYFUNCTION("""COMPUTED_VALUE"""),1)</f>
        <v>1</v>
      </c>
      <c r="L1534" s="1">
        <f ca="1">IFERROR(__xludf.DUMMYFUNCTION("""COMPUTED_VALUE"""),3.75)</f>
        <v>3.75</v>
      </c>
      <c r="T1534" s="1">
        <f ca="1">IFERROR(__xludf.DUMMYFUNCTION("""COMPUTED_VALUE"""),489572)</f>
        <v>489572</v>
      </c>
      <c r="U1534" s="1">
        <f ca="1">IFERROR(__xludf.DUMMYFUNCTION("""COMPUTED_VALUE"""),3.75)</f>
        <v>3.75</v>
      </c>
    </row>
    <row r="1535" spans="1:21" ht="12.75" x14ac:dyDescent="0.2">
      <c r="A1535" s="3">
        <f ca="1">IFERROR(__xludf.DUMMYFUNCTION("""COMPUTED_VALUE"""),40148.5618055555)</f>
        <v>40148.561805555502</v>
      </c>
      <c r="B1535" s="1">
        <f ca="1">IFERROR(__xludf.DUMMYFUNCTION("""COMPUTED_VALUE"""),3.75)</f>
        <v>3.75</v>
      </c>
      <c r="J1535" s="1" t="str">
        <f ca="1">IFERROR(__xludf.DUMMYFUNCTION("""COMPUTED_VALUE"""),"LADYBIRD + BEE RAFFIA FOOD COVER")</f>
        <v>LADYBIRD + BEE RAFFIA FOOD COVER</v>
      </c>
      <c r="K1535" s="1">
        <f ca="1">IFERROR(__xludf.DUMMYFUNCTION("""COMPUTED_VALUE"""),1)</f>
        <v>1</v>
      </c>
      <c r="L1535" s="1">
        <f ca="1">IFERROR(__xludf.DUMMYFUNCTION("""COMPUTED_VALUE"""),3.75)</f>
        <v>3.75</v>
      </c>
      <c r="T1535" s="1">
        <f ca="1">IFERROR(__xludf.DUMMYFUNCTION("""COMPUTED_VALUE"""),489572)</f>
        <v>489572</v>
      </c>
      <c r="U1535" s="1">
        <f ca="1">IFERROR(__xludf.DUMMYFUNCTION("""COMPUTED_VALUE"""),3.75)</f>
        <v>3.75</v>
      </c>
    </row>
    <row r="1536" spans="1:21" ht="12.75" x14ac:dyDescent="0.2">
      <c r="A1536" s="3">
        <f ca="1">IFERROR(__xludf.DUMMYFUNCTION("""COMPUTED_VALUE"""),40148.5618055555)</f>
        <v>40148.561805555502</v>
      </c>
      <c r="B1536" s="1">
        <f ca="1">IFERROR(__xludf.DUMMYFUNCTION("""COMPUTED_VALUE"""),3.75)</f>
        <v>3.75</v>
      </c>
      <c r="J1536" s="1" t="str">
        <f ca="1">IFERROR(__xludf.DUMMYFUNCTION("""COMPUTED_VALUE"""),"STRAWBERRY RAFFIA FOOD COVER")</f>
        <v>STRAWBERRY RAFFIA FOOD COVER</v>
      </c>
      <c r="K1536" s="1">
        <f ca="1">IFERROR(__xludf.DUMMYFUNCTION("""COMPUTED_VALUE"""),1)</f>
        <v>1</v>
      </c>
      <c r="L1536" s="1">
        <f ca="1">IFERROR(__xludf.DUMMYFUNCTION("""COMPUTED_VALUE"""),3.75)</f>
        <v>3.75</v>
      </c>
      <c r="T1536" s="1">
        <f ca="1">IFERROR(__xludf.DUMMYFUNCTION("""COMPUTED_VALUE"""),489572)</f>
        <v>489572</v>
      </c>
      <c r="U1536" s="1">
        <f ca="1">IFERROR(__xludf.DUMMYFUNCTION("""COMPUTED_VALUE"""),3.75)</f>
        <v>3.75</v>
      </c>
    </row>
    <row r="1537" spans="1:21" ht="12.75" x14ac:dyDescent="0.2">
      <c r="A1537" s="3">
        <f ca="1">IFERROR(__xludf.DUMMYFUNCTION("""COMPUTED_VALUE"""),40148.5618055555)</f>
        <v>40148.561805555502</v>
      </c>
      <c r="B1537" s="1">
        <f ca="1">IFERROR(__xludf.DUMMYFUNCTION("""COMPUTED_VALUE"""),5.95)</f>
        <v>5.95</v>
      </c>
      <c r="J1537" s="1" t="str">
        <f ca="1">IFERROR(__xludf.DUMMYFUNCTION("""COMPUTED_VALUE"""),"RED/WHITE DOTS RUFFLED UMBRELLA")</f>
        <v>RED/WHITE DOTS RUFFLED UMBRELLA</v>
      </c>
      <c r="K1537" s="1">
        <f ca="1">IFERROR(__xludf.DUMMYFUNCTION("""COMPUTED_VALUE"""),1)</f>
        <v>1</v>
      </c>
      <c r="L1537" s="1">
        <f ca="1">IFERROR(__xludf.DUMMYFUNCTION("""COMPUTED_VALUE"""),5.95)</f>
        <v>5.95</v>
      </c>
      <c r="T1537" s="1">
        <f ca="1">IFERROR(__xludf.DUMMYFUNCTION("""COMPUTED_VALUE"""),489572)</f>
        <v>489572</v>
      </c>
      <c r="U1537" s="1">
        <f ca="1">IFERROR(__xludf.DUMMYFUNCTION("""COMPUTED_VALUE"""),5.95)</f>
        <v>5.95</v>
      </c>
    </row>
    <row r="1538" spans="1:21" ht="12.75" x14ac:dyDescent="0.2">
      <c r="A1538" s="3">
        <f ca="1">IFERROR(__xludf.DUMMYFUNCTION("""COMPUTED_VALUE"""),40148.5618055555)</f>
        <v>40148.561805555502</v>
      </c>
      <c r="B1538" s="1">
        <f ca="1">IFERROR(__xludf.DUMMYFUNCTION("""COMPUTED_VALUE"""),5.95)</f>
        <v>5.95</v>
      </c>
      <c r="J1538" s="1" t="str">
        <f ca="1">IFERROR(__xludf.DUMMYFUNCTION("""COMPUTED_VALUE"""),"BLUE/BROWN DOTS RUFFLED UMBRELLA")</f>
        <v>BLUE/BROWN DOTS RUFFLED UMBRELLA</v>
      </c>
      <c r="K1538" s="1">
        <f ca="1">IFERROR(__xludf.DUMMYFUNCTION("""COMPUTED_VALUE"""),1)</f>
        <v>1</v>
      </c>
      <c r="L1538" s="1">
        <f ca="1">IFERROR(__xludf.DUMMYFUNCTION("""COMPUTED_VALUE"""),5.95)</f>
        <v>5.95</v>
      </c>
      <c r="T1538" s="1">
        <f ca="1">IFERROR(__xludf.DUMMYFUNCTION("""COMPUTED_VALUE"""),489572)</f>
        <v>489572</v>
      </c>
      <c r="U1538" s="1">
        <f ca="1">IFERROR(__xludf.DUMMYFUNCTION("""COMPUTED_VALUE"""),5.95)</f>
        <v>5.95</v>
      </c>
    </row>
    <row r="1539" spans="1:21" ht="12.75" x14ac:dyDescent="0.2">
      <c r="A1539" s="3">
        <f ca="1">IFERROR(__xludf.DUMMYFUNCTION("""COMPUTED_VALUE"""),40148.5618055555)</f>
        <v>40148.561805555502</v>
      </c>
      <c r="B1539" s="1">
        <f ca="1">IFERROR(__xludf.DUMMYFUNCTION("""COMPUTED_VALUE"""),5.95)</f>
        <v>5.95</v>
      </c>
      <c r="J1539" s="1" t="str">
        <f ca="1">IFERROR(__xludf.DUMMYFUNCTION("""COMPUTED_VALUE"""),"BLACK/BLUE DOTS RUFFLED UMBRELLA")</f>
        <v>BLACK/BLUE DOTS RUFFLED UMBRELLA</v>
      </c>
      <c r="K1539" s="1">
        <f ca="1">IFERROR(__xludf.DUMMYFUNCTION("""COMPUTED_VALUE"""),1)</f>
        <v>1</v>
      </c>
      <c r="L1539" s="1">
        <f ca="1">IFERROR(__xludf.DUMMYFUNCTION("""COMPUTED_VALUE"""),5.95)</f>
        <v>5.95</v>
      </c>
      <c r="T1539" s="1">
        <f ca="1">IFERROR(__xludf.DUMMYFUNCTION("""COMPUTED_VALUE"""),489572)</f>
        <v>489572</v>
      </c>
      <c r="U1539" s="1">
        <f ca="1">IFERROR(__xludf.DUMMYFUNCTION("""COMPUTED_VALUE"""),5.95)</f>
        <v>5.95</v>
      </c>
    </row>
    <row r="1540" spans="1:21" ht="12.75" x14ac:dyDescent="0.2">
      <c r="A1540" s="3">
        <f ca="1">IFERROR(__xludf.DUMMYFUNCTION("""COMPUTED_VALUE"""),40148.5618055555)</f>
        <v>40148.561805555502</v>
      </c>
      <c r="B1540" s="1">
        <f ca="1">IFERROR(__xludf.DUMMYFUNCTION("""COMPUTED_VALUE"""),5.95)</f>
        <v>5.95</v>
      </c>
      <c r="J1540" s="1" t="str">
        <f ca="1">IFERROR(__xludf.DUMMYFUNCTION("""COMPUTED_VALUE"""),"PINK/BROWN DOTS RUFFLED UMBRELLA")</f>
        <v>PINK/BROWN DOTS RUFFLED UMBRELLA</v>
      </c>
      <c r="K1540" s="1">
        <f ca="1">IFERROR(__xludf.DUMMYFUNCTION("""COMPUTED_VALUE"""),1)</f>
        <v>1</v>
      </c>
      <c r="L1540" s="1">
        <f ca="1">IFERROR(__xludf.DUMMYFUNCTION("""COMPUTED_VALUE"""),5.95)</f>
        <v>5.95</v>
      </c>
      <c r="T1540" s="1">
        <f ca="1">IFERROR(__xludf.DUMMYFUNCTION("""COMPUTED_VALUE"""),489572)</f>
        <v>489572</v>
      </c>
      <c r="U1540" s="1">
        <f ca="1">IFERROR(__xludf.DUMMYFUNCTION("""COMPUTED_VALUE"""),5.95)</f>
        <v>5.95</v>
      </c>
    </row>
    <row r="1541" spans="1:21" ht="12.75" x14ac:dyDescent="0.2">
      <c r="A1541" s="3">
        <f ca="1">IFERROR(__xludf.DUMMYFUNCTION("""COMPUTED_VALUE"""),40148.5618055555)</f>
        <v>40148.561805555502</v>
      </c>
      <c r="B1541" s="1">
        <f ca="1">IFERROR(__xludf.DUMMYFUNCTION("""COMPUTED_VALUE"""),0.95)</f>
        <v>0.95</v>
      </c>
      <c r="J1541" s="1" t="str">
        <f ca="1">IFERROR(__xludf.DUMMYFUNCTION("""COMPUTED_VALUE"""),"REX CASH+CARRY JUMBO SHOPPER")</f>
        <v>REX CASH+CARRY JUMBO SHOPPER</v>
      </c>
      <c r="K1541" s="1">
        <f ca="1">IFERROR(__xludf.DUMMYFUNCTION("""COMPUTED_VALUE"""),1)</f>
        <v>1</v>
      </c>
      <c r="L1541" s="1">
        <f ca="1">IFERROR(__xludf.DUMMYFUNCTION("""COMPUTED_VALUE"""),0.95)</f>
        <v>0.95</v>
      </c>
      <c r="T1541" s="1">
        <f ca="1">IFERROR(__xludf.DUMMYFUNCTION("""COMPUTED_VALUE"""),489572)</f>
        <v>489572</v>
      </c>
      <c r="U1541" s="1">
        <f ca="1">IFERROR(__xludf.DUMMYFUNCTION("""COMPUTED_VALUE"""),0.95)</f>
        <v>0.95</v>
      </c>
    </row>
    <row r="1542" spans="1:21" ht="12.75" x14ac:dyDescent="0.2">
      <c r="A1542" s="3">
        <f ca="1">IFERROR(__xludf.DUMMYFUNCTION("""COMPUTED_VALUE"""),40148.5618055555)</f>
        <v>40148.561805555502</v>
      </c>
      <c r="B1542" s="1">
        <f ca="1">IFERROR(__xludf.DUMMYFUNCTION("""COMPUTED_VALUE"""),1.25)</f>
        <v>1.25</v>
      </c>
      <c r="J1542" s="1" t="str">
        <f ca="1">IFERROR(__xludf.DUMMYFUNCTION("""COMPUTED_VALUE"""),"SET OF 6 STRAWBERRY CHOPSTICKS")</f>
        <v>SET OF 6 STRAWBERRY CHOPSTICKS</v>
      </c>
      <c r="K1542" s="1">
        <f ca="1">IFERROR(__xludf.DUMMYFUNCTION("""COMPUTED_VALUE"""),1)</f>
        <v>1</v>
      </c>
      <c r="L1542" s="1">
        <f ca="1">IFERROR(__xludf.DUMMYFUNCTION("""COMPUTED_VALUE"""),1.25)</f>
        <v>1.25</v>
      </c>
      <c r="T1542" s="1">
        <f ca="1">IFERROR(__xludf.DUMMYFUNCTION("""COMPUTED_VALUE"""),489572)</f>
        <v>489572</v>
      </c>
      <c r="U1542" s="1">
        <f ca="1">IFERROR(__xludf.DUMMYFUNCTION("""COMPUTED_VALUE"""),1.25)</f>
        <v>1.25</v>
      </c>
    </row>
    <row r="1543" spans="1:21" ht="12.75" x14ac:dyDescent="0.2">
      <c r="A1543" s="3">
        <f ca="1">IFERROR(__xludf.DUMMYFUNCTION("""COMPUTED_VALUE"""),40148.5618055555)</f>
        <v>40148.561805555502</v>
      </c>
      <c r="B1543" s="1">
        <f ca="1">IFERROR(__xludf.DUMMYFUNCTION("""COMPUTED_VALUE"""),2.95)</f>
        <v>2.95</v>
      </c>
      <c r="J1543" s="1" t="str">
        <f ca="1">IFERROR(__xludf.DUMMYFUNCTION("""COMPUTED_VALUE"""),"CERAMIC BIRDHOUSE FINCH BLUE ROOF")</f>
        <v>CERAMIC BIRDHOUSE FINCH BLUE ROOF</v>
      </c>
      <c r="K1543" s="1">
        <f ca="1">IFERROR(__xludf.DUMMYFUNCTION("""COMPUTED_VALUE"""),1)</f>
        <v>1</v>
      </c>
      <c r="L1543" s="1">
        <f ca="1">IFERROR(__xludf.DUMMYFUNCTION("""COMPUTED_VALUE"""),2.95)</f>
        <v>2.95</v>
      </c>
      <c r="T1543" s="1">
        <f ca="1">IFERROR(__xludf.DUMMYFUNCTION("""COMPUTED_VALUE"""),489572)</f>
        <v>489572</v>
      </c>
      <c r="U1543" s="1">
        <f ca="1">IFERROR(__xludf.DUMMYFUNCTION("""COMPUTED_VALUE"""),2.95)</f>
        <v>2.95</v>
      </c>
    </row>
    <row r="1544" spans="1:21" ht="12.75" x14ac:dyDescent="0.2">
      <c r="A1544" s="3">
        <f ca="1">IFERROR(__xludf.DUMMYFUNCTION("""COMPUTED_VALUE"""),40148.5618055555)</f>
        <v>40148.561805555502</v>
      </c>
      <c r="B1544" s="1">
        <f ca="1">IFERROR(__xludf.DUMMYFUNCTION("""COMPUTED_VALUE"""),2.95)</f>
        <v>2.95</v>
      </c>
      <c r="J1544" s="1" t="str">
        <f ca="1">IFERROR(__xludf.DUMMYFUNCTION("""COMPUTED_VALUE"""),"CERAMIC BIRDHOUSE RED ROOF SMALL")</f>
        <v>CERAMIC BIRDHOUSE RED ROOF SMALL</v>
      </c>
      <c r="K1544" s="1">
        <f ca="1">IFERROR(__xludf.DUMMYFUNCTION("""COMPUTED_VALUE"""),1)</f>
        <v>1</v>
      </c>
      <c r="L1544" s="1">
        <f ca="1">IFERROR(__xludf.DUMMYFUNCTION("""COMPUTED_VALUE"""),2.95)</f>
        <v>2.95</v>
      </c>
      <c r="T1544" s="1">
        <f ca="1">IFERROR(__xludf.DUMMYFUNCTION("""COMPUTED_VALUE"""),489572)</f>
        <v>489572</v>
      </c>
      <c r="U1544" s="1">
        <f ca="1">IFERROR(__xludf.DUMMYFUNCTION("""COMPUTED_VALUE"""),2.95)</f>
        <v>2.95</v>
      </c>
    </row>
    <row r="1545" spans="1:21" ht="12.75" x14ac:dyDescent="0.2">
      <c r="A1545" s="3">
        <f ca="1">IFERROR(__xludf.DUMMYFUNCTION("""COMPUTED_VALUE"""),40148.5618055555)</f>
        <v>40148.561805555502</v>
      </c>
      <c r="B1545" s="1">
        <f ca="1">IFERROR(__xludf.DUMMYFUNCTION("""COMPUTED_VALUE"""),2.95)</f>
        <v>2.95</v>
      </c>
      <c r="J1545" s="1" t="str">
        <f ca="1">IFERROR(__xludf.DUMMYFUNCTION("""COMPUTED_VALUE"""),"CERAMIC BIRDHOUSE BUTTERFLY SMALL")</f>
        <v>CERAMIC BIRDHOUSE BUTTERFLY SMALL</v>
      </c>
      <c r="K1545" s="1">
        <f ca="1">IFERROR(__xludf.DUMMYFUNCTION("""COMPUTED_VALUE"""),1)</f>
        <v>1</v>
      </c>
      <c r="L1545" s="1">
        <f ca="1">IFERROR(__xludf.DUMMYFUNCTION("""COMPUTED_VALUE"""),2.95)</f>
        <v>2.95</v>
      </c>
      <c r="T1545" s="1">
        <f ca="1">IFERROR(__xludf.DUMMYFUNCTION("""COMPUTED_VALUE"""),489572)</f>
        <v>489572</v>
      </c>
      <c r="U1545" s="1">
        <f ca="1">IFERROR(__xludf.DUMMYFUNCTION("""COMPUTED_VALUE"""),2.95)</f>
        <v>2.95</v>
      </c>
    </row>
    <row r="1546" spans="1:21" ht="12.75" x14ac:dyDescent="0.2">
      <c r="A1546" s="3">
        <f ca="1">IFERROR(__xludf.DUMMYFUNCTION("""COMPUTED_VALUE"""),40148.5618055555)</f>
        <v>40148.561805555502</v>
      </c>
      <c r="B1546" s="1">
        <f ca="1">IFERROR(__xludf.DUMMYFUNCTION("""COMPUTED_VALUE"""),2.95)</f>
        <v>2.95</v>
      </c>
      <c r="J1546" s="1" t="str">
        <f ca="1">IFERROR(__xludf.DUMMYFUNCTION("""COMPUTED_VALUE"""),"CERAMIC BIRDHOUSE CRESTED TIT SMALL")</f>
        <v>CERAMIC BIRDHOUSE CRESTED TIT SMALL</v>
      </c>
      <c r="K1546" s="1">
        <f ca="1">IFERROR(__xludf.DUMMYFUNCTION("""COMPUTED_VALUE"""),1)</f>
        <v>1</v>
      </c>
      <c r="L1546" s="1">
        <f ca="1">IFERROR(__xludf.DUMMYFUNCTION("""COMPUTED_VALUE"""),2.95)</f>
        <v>2.95</v>
      </c>
      <c r="T1546" s="1">
        <f ca="1">IFERROR(__xludf.DUMMYFUNCTION("""COMPUTED_VALUE"""),489572)</f>
        <v>489572</v>
      </c>
      <c r="U1546" s="1">
        <f ca="1">IFERROR(__xludf.DUMMYFUNCTION("""COMPUTED_VALUE"""),2.95)</f>
        <v>2.95</v>
      </c>
    </row>
    <row r="1547" spans="1:21" ht="12.75" x14ac:dyDescent="0.2">
      <c r="A1547" s="3">
        <f ca="1">IFERROR(__xludf.DUMMYFUNCTION("""COMPUTED_VALUE"""),40148.5618055555)</f>
        <v>40148.561805555502</v>
      </c>
      <c r="B1547" s="1">
        <f ca="1">IFERROR(__xludf.DUMMYFUNCTION("""COMPUTED_VALUE"""),1.95)</f>
        <v>1.95</v>
      </c>
      <c r="J1547" s="1" t="str">
        <f ca="1">IFERROR(__xludf.DUMMYFUNCTION("""COMPUTED_VALUE"""),"SET OF THREE VINTAGE GIFT WRAPS")</f>
        <v>SET OF THREE VINTAGE GIFT WRAPS</v>
      </c>
      <c r="K1547" s="1">
        <f ca="1">IFERROR(__xludf.DUMMYFUNCTION("""COMPUTED_VALUE"""),1)</f>
        <v>1</v>
      </c>
      <c r="L1547" s="1">
        <f ca="1">IFERROR(__xludf.DUMMYFUNCTION("""COMPUTED_VALUE"""),1.95)</f>
        <v>1.95</v>
      </c>
      <c r="T1547" s="1">
        <f ca="1">IFERROR(__xludf.DUMMYFUNCTION("""COMPUTED_VALUE"""),489572)</f>
        <v>489572</v>
      </c>
      <c r="U1547" s="1">
        <f ca="1">IFERROR(__xludf.DUMMYFUNCTION("""COMPUTED_VALUE"""),1.95)</f>
        <v>1.95</v>
      </c>
    </row>
    <row r="1548" spans="1:21" ht="12.75" x14ac:dyDescent="0.2">
      <c r="A1548" s="3">
        <f ca="1">IFERROR(__xludf.DUMMYFUNCTION("""COMPUTED_VALUE"""),40148.5618055555)</f>
        <v>40148.561805555502</v>
      </c>
      <c r="B1548" s="1">
        <f ca="1">IFERROR(__xludf.DUMMYFUNCTION("""COMPUTED_VALUE"""),0.65)</f>
        <v>0.65</v>
      </c>
      <c r="J1548" s="1" t="str">
        <f ca="1">IFERROR(__xludf.DUMMYFUNCTION("""COMPUTED_VALUE"""),"AGED GLASS SILVER T-LIGHT HOLDER")</f>
        <v>AGED GLASS SILVER T-LIGHT HOLDER</v>
      </c>
      <c r="K1548" s="1">
        <f ca="1">IFERROR(__xludf.DUMMYFUNCTION("""COMPUTED_VALUE"""),60)</f>
        <v>60</v>
      </c>
      <c r="L1548" s="1">
        <f ca="1">IFERROR(__xludf.DUMMYFUNCTION("""COMPUTED_VALUE"""),0.65)</f>
        <v>0.65</v>
      </c>
      <c r="T1548" s="1">
        <f ca="1">IFERROR(__xludf.DUMMYFUNCTION("""COMPUTED_VALUE"""),489573)</f>
        <v>489573</v>
      </c>
      <c r="U1548" s="1">
        <f ca="1">IFERROR(__xludf.DUMMYFUNCTION("""COMPUTED_VALUE"""),39)</f>
        <v>39</v>
      </c>
    </row>
    <row r="1549" spans="1:21" ht="12.75" x14ac:dyDescent="0.2">
      <c r="A1549" s="3">
        <f ca="1">IFERROR(__xludf.DUMMYFUNCTION("""COMPUTED_VALUE"""),40148.5618055555)</f>
        <v>40148.561805555502</v>
      </c>
      <c r="B1549" s="1">
        <f ca="1">IFERROR(__xludf.DUMMYFUNCTION("""COMPUTED_VALUE"""),1.25)</f>
        <v>1.25</v>
      </c>
      <c r="J1549" s="1" t="str">
        <f ca="1">IFERROR(__xludf.DUMMYFUNCTION("""COMPUTED_VALUE"""),"ANTIQUE SILVER TEA GLASS ETCHED")</f>
        <v>ANTIQUE SILVER TEA GLASS ETCHED</v>
      </c>
      <c r="K1549" s="1">
        <f ca="1">IFERROR(__xludf.DUMMYFUNCTION("""COMPUTED_VALUE"""),30)</f>
        <v>30</v>
      </c>
      <c r="L1549" s="1">
        <f ca="1">IFERROR(__xludf.DUMMYFUNCTION("""COMPUTED_VALUE"""),1.25)</f>
        <v>1.25</v>
      </c>
      <c r="T1549" s="1">
        <f ca="1">IFERROR(__xludf.DUMMYFUNCTION("""COMPUTED_VALUE"""),489573)</f>
        <v>489573</v>
      </c>
      <c r="U1549" s="1">
        <f ca="1">IFERROR(__xludf.DUMMYFUNCTION("""COMPUTED_VALUE"""),37.5)</f>
        <v>37.5</v>
      </c>
    </row>
    <row r="1550" spans="1:21" ht="12.75" x14ac:dyDescent="0.2">
      <c r="A1550" s="3">
        <f ca="1">IFERROR(__xludf.DUMMYFUNCTION("""COMPUTED_VALUE"""),40148.5618055555)</f>
        <v>40148.561805555502</v>
      </c>
      <c r="B1550" s="1">
        <f ca="1">IFERROR(__xludf.DUMMYFUNCTION("""COMPUTED_VALUE"""),1.25)</f>
        <v>1.25</v>
      </c>
      <c r="J1550" s="1" t="str">
        <f ca="1">IFERROR(__xludf.DUMMYFUNCTION("""COMPUTED_VALUE"""),"HEART FILIGREE DOVE  SMALL")</f>
        <v>HEART FILIGREE DOVE  SMALL</v>
      </c>
      <c r="K1550" s="1">
        <f ca="1">IFERROR(__xludf.DUMMYFUNCTION("""COMPUTED_VALUE"""),24)</f>
        <v>24</v>
      </c>
      <c r="L1550" s="1">
        <f ca="1">IFERROR(__xludf.DUMMYFUNCTION("""COMPUTED_VALUE"""),1.25)</f>
        <v>1.25</v>
      </c>
      <c r="T1550" s="1">
        <f ca="1">IFERROR(__xludf.DUMMYFUNCTION("""COMPUTED_VALUE"""),489573)</f>
        <v>489573</v>
      </c>
      <c r="U1550" s="1">
        <f ca="1">IFERROR(__xludf.DUMMYFUNCTION("""COMPUTED_VALUE"""),30)</f>
        <v>30</v>
      </c>
    </row>
    <row r="1551" spans="1:21" ht="12.75" x14ac:dyDescent="0.2">
      <c r="A1551" s="3">
        <f ca="1">IFERROR(__xludf.DUMMYFUNCTION("""COMPUTED_VALUE"""),40148.5618055555)</f>
        <v>40148.561805555502</v>
      </c>
      <c r="B1551" s="1">
        <f ca="1">IFERROR(__xludf.DUMMYFUNCTION("""COMPUTED_VALUE"""),1.65)</f>
        <v>1.65</v>
      </c>
      <c r="J1551" s="1" t="str">
        <f ca="1">IFERROR(__xludf.DUMMYFUNCTION("""COMPUTED_VALUE"""),"HEART FILIGREE DOVE LARGE")</f>
        <v>HEART FILIGREE DOVE LARGE</v>
      </c>
      <c r="K1551" s="1">
        <f ca="1">IFERROR(__xludf.DUMMYFUNCTION("""COMPUTED_VALUE"""),24)</f>
        <v>24</v>
      </c>
      <c r="L1551" s="1">
        <f ca="1">IFERROR(__xludf.DUMMYFUNCTION("""COMPUTED_VALUE"""),1.65)</f>
        <v>1.65</v>
      </c>
      <c r="T1551" s="1">
        <f ca="1">IFERROR(__xludf.DUMMYFUNCTION("""COMPUTED_VALUE"""),489573)</f>
        <v>489573</v>
      </c>
      <c r="U1551" s="1">
        <f ca="1">IFERROR(__xludf.DUMMYFUNCTION("""COMPUTED_VALUE"""),39.5999999999999)</f>
        <v>39.599999999999902</v>
      </c>
    </row>
    <row r="1552" spans="1:21" ht="12.75" x14ac:dyDescent="0.2">
      <c r="A1552" s="3">
        <f ca="1">IFERROR(__xludf.DUMMYFUNCTION("""COMPUTED_VALUE"""),40148.5618055555)</f>
        <v>40148.561805555502</v>
      </c>
      <c r="B1552" s="1">
        <f ca="1">IFERROR(__xludf.DUMMYFUNCTION("""COMPUTED_VALUE"""),0.42)</f>
        <v>0.42</v>
      </c>
      <c r="J1552" s="1" t="str">
        <f ca="1">IFERROR(__xludf.DUMMYFUNCTION("""COMPUTED_VALUE"""),"CHRISTMAS CARD SINGING ANGEL")</f>
        <v>CHRISTMAS CARD SINGING ANGEL</v>
      </c>
      <c r="K1552" s="1">
        <f ca="1">IFERROR(__xludf.DUMMYFUNCTION("""COMPUTED_VALUE"""),12)</f>
        <v>12</v>
      </c>
      <c r="L1552" s="1">
        <f ca="1">IFERROR(__xludf.DUMMYFUNCTION("""COMPUTED_VALUE"""),0.42)</f>
        <v>0.42</v>
      </c>
      <c r="T1552" s="1">
        <f ca="1">IFERROR(__xludf.DUMMYFUNCTION("""COMPUTED_VALUE"""),489573)</f>
        <v>489573</v>
      </c>
      <c r="U1552" s="1">
        <f ca="1">IFERROR(__xludf.DUMMYFUNCTION("""COMPUTED_VALUE"""),5.04)</f>
        <v>5.04</v>
      </c>
    </row>
    <row r="1553" spans="1:21" ht="12.75" x14ac:dyDescent="0.2">
      <c r="A1553" s="3">
        <f ca="1">IFERROR(__xludf.DUMMYFUNCTION("""COMPUTED_VALUE"""),40148.5618055555)</f>
        <v>40148.561805555502</v>
      </c>
      <c r="B1553" s="1">
        <f ca="1">IFERROR(__xludf.DUMMYFUNCTION("""COMPUTED_VALUE"""),0.42)</f>
        <v>0.42</v>
      </c>
      <c r="J1553" s="1" t="str">
        <f ca="1">IFERROR(__xludf.DUMMYFUNCTION("""COMPUTED_VALUE"""),"ROBIN CHRISTMAS CARD")</f>
        <v>ROBIN CHRISTMAS CARD</v>
      </c>
      <c r="K1553" s="1">
        <f ca="1">IFERROR(__xludf.DUMMYFUNCTION("""COMPUTED_VALUE"""),12)</f>
        <v>12</v>
      </c>
      <c r="L1553" s="1">
        <f ca="1">IFERROR(__xludf.DUMMYFUNCTION("""COMPUTED_VALUE"""),0.42)</f>
        <v>0.42</v>
      </c>
      <c r="T1553" s="1">
        <f ca="1">IFERROR(__xludf.DUMMYFUNCTION("""COMPUTED_VALUE"""),489573)</f>
        <v>489573</v>
      </c>
      <c r="U1553" s="1">
        <f ca="1">IFERROR(__xludf.DUMMYFUNCTION("""COMPUTED_VALUE"""),5.04)</f>
        <v>5.04</v>
      </c>
    </row>
    <row r="1554" spans="1:21" ht="12.75" x14ac:dyDescent="0.2">
      <c r="A1554" s="3">
        <f ca="1">IFERROR(__xludf.DUMMYFUNCTION("""COMPUTED_VALUE"""),40148.5618055555)</f>
        <v>40148.561805555502</v>
      </c>
      <c r="B1554" s="1">
        <f ca="1">IFERROR(__xludf.DUMMYFUNCTION("""COMPUTED_VALUE"""),1.25)</f>
        <v>1.25</v>
      </c>
      <c r="J1554" s="1" t="str">
        <f ca="1">IFERROR(__xludf.DUMMYFUNCTION("""COMPUTED_VALUE"""),"S/15 SILVER GLASS BAUBLES IN BAG")</f>
        <v>S/15 SILVER GLASS BAUBLES IN BAG</v>
      </c>
      <c r="K1554" s="1">
        <f ca="1">IFERROR(__xludf.DUMMYFUNCTION("""COMPUTED_VALUE"""),12)</f>
        <v>12</v>
      </c>
      <c r="L1554" s="1">
        <f ca="1">IFERROR(__xludf.DUMMYFUNCTION("""COMPUTED_VALUE"""),1.25)</f>
        <v>1.25</v>
      </c>
      <c r="T1554" s="1">
        <f ca="1">IFERROR(__xludf.DUMMYFUNCTION("""COMPUTED_VALUE"""),489573)</f>
        <v>489573</v>
      </c>
      <c r="U1554" s="1">
        <f ca="1">IFERROR(__xludf.DUMMYFUNCTION("""COMPUTED_VALUE"""),15)</f>
        <v>15</v>
      </c>
    </row>
    <row r="1555" spans="1:21" ht="12.75" x14ac:dyDescent="0.2">
      <c r="A1555" s="3">
        <f ca="1">IFERROR(__xludf.DUMMYFUNCTION("""COMPUTED_VALUE"""),40148.5618055555)</f>
        <v>40148.561805555502</v>
      </c>
      <c r="B1555" s="1">
        <f ca="1">IFERROR(__xludf.DUMMYFUNCTION("""COMPUTED_VALUE"""),0.85)</f>
        <v>0.85</v>
      </c>
      <c r="J1555" s="1" t="str">
        <f ca="1">IFERROR(__xludf.DUMMYFUNCTION("""COMPUTED_VALUE"""),"GLASS HEART T-LIGHT HOLDER")</f>
        <v>GLASS HEART T-LIGHT HOLDER</v>
      </c>
      <c r="K1555" s="1">
        <f ca="1">IFERROR(__xludf.DUMMYFUNCTION("""COMPUTED_VALUE"""),12)</f>
        <v>12</v>
      </c>
      <c r="L1555" s="1">
        <f ca="1">IFERROR(__xludf.DUMMYFUNCTION("""COMPUTED_VALUE"""),0.85)</f>
        <v>0.85</v>
      </c>
      <c r="T1555" s="1">
        <f ca="1">IFERROR(__xludf.DUMMYFUNCTION("""COMPUTED_VALUE"""),489573)</f>
        <v>489573</v>
      </c>
      <c r="U1555" s="1">
        <f ca="1">IFERROR(__xludf.DUMMYFUNCTION("""COMPUTED_VALUE"""),10.2)</f>
        <v>10.199999999999999</v>
      </c>
    </row>
    <row r="1556" spans="1:21" ht="12.75" x14ac:dyDescent="0.2">
      <c r="A1556" s="3">
        <f ca="1">IFERROR(__xludf.DUMMYFUNCTION("""COMPUTED_VALUE"""),40148.5618055555)</f>
        <v>40148.561805555502</v>
      </c>
      <c r="B1556" s="1">
        <f ca="1">IFERROR(__xludf.DUMMYFUNCTION("""COMPUTED_VALUE"""),2.55)</f>
        <v>2.5499999999999998</v>
      </c>
      <c r="J1556" s="1" t="str">
        <f ca="1">IFERROR(__xludf.DUMMYFUNCTION("""COMPUTED_VALUE"""),"COSY HOUR GIANT TUBE MATCHES")</f>
        <v>COSY HOUR GIANT TUBE MATCHES</v>
      </c>
      <c r="K1556" s="1">
        <f ca="1">IFERROR(__xludf.DUMMYFUNCTION("""COMPUTED_VALUE"""),12)</f>
        <v>12</v>
      </c>
      <c r="L1556" s="1">
        <f ca="1">IFERROR(__xludf.DUMMYFUNCTION("""COMPUTED_VALUE"""),2.55)</f>
        <v>2.5499999999999998</v>
      </c>
      <c r="T1556" s="1">
        <f ca="1">IFERROR(__xludf.DUMMYFUNCTION("""COMPUTED_VALUE"""),489573)</f>
        <v>489573</v>
      </c>
      <c r="U1556" s="1">
        <f ca="1">IFERROR(__xludf.DUMMYFUNCTION("""COMPUTED_VALUE"""),30.5999999999999)</f>
        <v>30.599999999999898</v>
      </c>
    </row>
    <row r="1557" spans="1:21" ht="12.75" x14ac:dyDescent="0.2">
      <c r="A1557" s="3">
        <f ca="1">IFERROR(__xludf.DUMMYFUNCTION("""COMPUTED_VALUE"""),40148.5618055555)</f>
        <v>40148.561805555502</v>
      </c>
      <c r="B1557" s="1">
        <f ca="1">IFERROR(__xludf.DUMMYFUNCTION("""COMPUTED_VALUE"""),0.42)</f>
        <v>0.42</v>
      </c>
      <c r="J1557" s="1" t="str">
        <f ca="1">IFERROR(__xludf.DUMMYFUNCTION("""COMPUTED_VALUE"""),"FROSTED BOX 9 WHITE T-LIGHT CANDLES")</f>
        <v>FROSTED BOX 9 WHITE T-LIGHT CANDLES</v>
      </c>
      <c r="K1557" s="1">
        <f ca="1">IFERROR(__xludf.DUMMYFUNCTION("""COMPUTED_VALUE"""),12)</f>
        <v>12</v>
      </c>
      <c r="L1557" s="1">
        <f ca="1">IFERROR(__xludf.DUMMYFUNCTION("""COMPUTED_VALUE"""),0.42)</f>
        <v>0.42</v>
      </c>
      <c r="T1557" s="1">
        <f ca="1">IFERROR(__xludf.DUMMYFUNCTION("""COMPUTED_VALUE"""),489573)</f>
        <v>489573</v>
      </c>
      <c r="U1557" s="1">
        <f ca="1">IFERROR(__xludf.DUMMYFUNCTION("""COMPUTED_VALUE"""),5.04)</f>
        <v>5.04</v>
      </c>
    </row>
    <row r="1558" spans="1:21" ht="12.75" x14ac:dyDescent="0.2">
      <c r="A1558" s="3">
        <f ca="1">IFERROR(__xludf.DUMMYFUNCTION("""COMPUTED_VALUE"""),40148.5618055555)</f>
        <v>40148.561805555502</v>
      </c>
      <c r="B1558" s="1">
        <f ca="1">IFERROR(__xludf.DUMMYFUNCTION("""COMPUTED_VALUE"""),3.45)</f>
        <v>3.45</v>
      </c>
      <c r="J1558" s="1" t="str">
        <f ca="1">IFERROR(__xludf.DUMMYFUNCTION("""COMPUTED_VALUE"""),"GREY HEART HOT WATER BOTTLE")</f>
        <v>GREY HEART HOT WATER BOTTLE</v>
      </c>
      <c r="K1558" s="1">
        <f ca="1">IFERROR(__xludf.DUMMYFUNCTION("""COMPUTED_VALUE"""),12)</f>
        <v>12</v>
      </c>
      <c r="L1558" s="1">
        <f ca="1">IFERROR(__xludf.DUMMYFUNCTION("""COMPUTED_VALUE"""),3.45)</f>
        <v>3.45</v>
      </c>
      <c r="T1558" s="1">
        <f ca="1">IFERROR(__xludf.DUMMYFUNCTION("""COMPUTED_VALUE"""),489573)</f>
        <v>489573</v>
      </c>
      <c r="U1558" s="1">
        <f ca="1">IFERROR(__xludf.DUMMYFUNCTION("""COMPUTED_VALUE"""),41.4)</f>
        <v>41.4</v>
      </c>
    </row>
    <row r="1559" spans="1:21" ht="12.75" x14ac:dyDescent="0.2">
      <c r="A1559" s="3">
        <f ca="1">IFERROR(__xludf.DUMMYFUNCTION("""COMPUTED_VALUE"""),40148.5618055555)</f>
        <v>40148.561805555502</v>
      </c>
      <c r="B1559" s="1">
        <f ca="1">IFERROR(__xludf.DUMMYFUNCTION("""COMPUTED_VALUE"""),2.95)</f>
        <v>2.95</v>
      </c>
      <c r="J1559" s="1" t="str">
        <f ca="1">IFERROR(__xludf.DUMMYFUNCTION("""COMPUTED_VALUE"""),"RED STAR CARD HOLDER")</f>
        <v>RED STAR CARD HOLDER</v>
      </c>
      <c r="K1559" s="1">
        <f ca="1">IFERROR(__xludf.DUMMYFUNCTION("""COMPUTED_VALUE"""),11)</f>
        <v>11</v>
      </c>
      <c r="L1559" s="1">
        <f ca="1">IFERROR(__xludf.DUMMYFUNCTION("""COMPUTED_VALUE"""),2.95)</f>
        <v>2.95</v>
      </c>
      <c r="T1559" s="1">
        <f ca="1">IFERROR(__xludf.DUMMYFUNCTION("""COMPUTED_VALUE"""),489573)</f>
        <v>489573</v>
      </c>
      <c r="U1559" s="1">
        <f ca="1">IFERROR(__xludf.DUMMYFUNCTION("""COMPUTED_VALUE"""),32.45)</f>
        <v>32.450000000000003</v>
      </c>
    </row>
    <row r="1560" spans="1:21" ht="12.75" x14ac:dyDescent="0.2">
      <c r="A1560" s="3">
        <f ca="1">IFERROR(__xludf.DUMMYFUNCTION("""COMPUTED_VALUE"""),40148.5618055555)</f>
        <v>40148.561805555502</v>
      </c>
      <c r="B1560" s="1">
        <f ca="1">IFERROR(__xludf.DUMMYFUNCTION("""COMPUTED_VALUE"""),6.95)</f>
        <v>6.95</v>
      </c>
      <c r="J1560" s="1" t="str">
        <f ca="1">IFERROR(__xludf.DUMMYFUNCTION("""COMPUTED_VALUE"""),"VINTAGE UNION JACK APRON")</f>
        <v>VINTAGE UNION JACK APRON</v>
      </c>
      <c r="K1560" s="1">
        <f ca="1">IFERROR(__xludf.DUMMYFUNCTION("""COMPUTED_VALUE"""),7)</f>
        <v>7</v>
      </c>
      <c r="L1560" s="1">
        <f ca="1">IFERROR(__xludf.DUMMYFUNCTION("""COMPUTED_VALUE"""),6.95)</f>
        <v>6.95</v>
      </c>
      <c r="T1560" s="1">
        <f ca="1">IFERROR(__xludf.DUMMYFUNCTION("""COMPUTED_VALUE"""),489573)</f>
        <v>489573</v>
      </c>
      <c r="U1560" s="1">
        <f ca="1">IFERROR(__xludf.DUMMYFUNCTION("""COMPUTED_VALUE"""),48.65)</f>
        <v>48.65</v>
      </c>
    </row>
    <row r="1561" spans="1:21" ht="12.75" x14ac:dyDescent="0.2">
      <c r="A1561" s="3">
        <f ca="1">IFERROR(__xludf.DUMMYFUNCTION("""COMPUTED_VALUE"""),40148.5618055555)</f>
        <v>40148.561805555502</v>
      </c>
      <c r="B1561" s="1">
        <f ca="1">IFERROR(__xludf.DUMMYFUNCTION("""COMPUTED_VALUE"""),1.65)</f>
        <v>1.65</v>
      </c>
      <c r="J1561" s="1" t="str">
        <f ca="1">IFERROR(__xludf.DUMMYFUNCTION("""COMPUTED_VALUE"""),"SILVER HANGING T-LIGHT HOLDER")</f>
        <v>SILVER HANGING T-LIGHT HOLDER</v>
      </c>
      <c r="K1561" s="1">
        <f ca="1">IFERROR(__xludf.DUMMYFUNCTION("""COMPUTED_VALUE"""),6)</f>
        <v>6</v>
      </c>
      <c r="L1561" s="1">
        <f ca="1">IFERROR(__xludf.DUMMYFUNCTION("""COMPUTED_VALUE"""),1.65)</f>
        <v>1.65</v>
      </c>
      <c r="T1561" s="1">
        <f ca="1">IFERROR(__xludf.DUMMYFUNCTION("""COMPUTED_VALUE"""),489573)</f>
        <v>489573</v>
      </c>
      <c r="U1561" s="1">
        <f ca="1">IFERROR(__xludf.DUMMYFUNCTION("""COMPUTED_VALUE"""),9.89999999999999)</f>
        <v>9.8999999999999897</v>
      </c>
    </row>
    <row r="1562" spans="1:21" ht="12.75" x14ac:dyDescent="0.2">
      <c r="A1562" s="3">
        <f ca="1">IFERROR(__xludf.DUMMYFUNCTION("""COMPUTED_VALUE"""),40148.5618055555)</f>
        <v>40148.561805555502</v>
      </c>
      <c r="B1562" s="1">
        <f ca="1">IFERROR(__xludf.DUMMYFUNCTION("""COMPUTED_VALUE"""),2.55)</f>
        <v>2.5499999999999998</v>
      </c>
      <c r="J1562" s="1" t="str">
        <f ca="1">IFERROR(__xludf.DUMMYFUNCTION("""COMPUTED_VALUE"""),"WHITE ROUND PORCELAIN TLIGHT HOLDER")</f>
        <v>WHITE ROUND PORCELAIN TLIGHT HOLDER</v>
      </c>
      <c r="K1562" s="1">
        <f ca="1">IFERROR(__xludf.DUMMYFUNCTION("""COMPUTED_VALUE"""),6)</f>
        <v>6</v>
      </c>
      <c r="L1562" s="1">
        <f ca="1">IFERROR(__xludf.DUMMYFUNCTION("""COMPUTED_VALUE"""),2.55)</f>
        <v>2.5499999999999998</v>
      </c>
      <c r="T1562" s="1">
        <f ca="1">IFERROR(__xludf.DUMMYFUNCTION("""COMPUTED_VALUE"""),489573)</f>
        <v>489573</v>
      </c>
      <c r="U1562" s="1">
        <f ca="1">IFERROR(__xludf.DUMMYFUNCTION("""COMPUTED_VALUE"""),15.2999999999999)</f>
        <v>15.299999999999899</v>
      </c>
    </row>
    <row r="1563" spans="1:21" ht="12.75" x14ac:dyDescent="0.2">
      <c r="A1563" s="3">
        <f ca="1">IFERROR(__xludf.DUMMYFUNCTION("""COMPUTED_VALUE"""),40148.5618055555)</f>
        <v>40148.561805555502</v>
      </c>
      <c r="B1563" s="1">
        <f ca="1">IFERROR(__xludf.DUMMYFUNCTION("""COMPUTED_VALUE"""),2.55)</f>
        <v>2.5499999999999998</v>
      </c>
      <c r="J1563" s="1" t="str">
        <f ca="1">IFERROR(__xludf.DUMMYFUNCTION("""COMPUTED_VALUE"""),"WHITE TALL PORCELAIN T-LIGHT HOLDER")</f>
        <v>WHITE TALL PORCELAIN T-LIGHT HOLDER</v>
      </c>
      <c r="K1563" s="1">
        <f ca="1">IFERROR(__xludf.DUMMYFUNCTION("""COMPUTED_VALUE"""),6)</f>
        <v>6</v>
      </c>
      <c r="L1563" s="1">
        <f ca="1">IFERROR(__xludf.DUMMYFUNCTION("""COMPUTED_VALUE"""),2.55)</f>
        <v>2.5499999999999998</v>
      </c>
      <c r="T1563" s="1">
        <f ca="1">IFERROR(__xludf.DUMMYFUNCTION("""COMPUTED_VALUE"""),489573)</f>
        <v>489573</v>
      </c>
      <c r="U1563" s="1">
        <f ca="1">IFERROR(__xludf.DUMMYFUNCTION("""COMPUTED_VALUE"""),15.2999999999999)</f>
        <v>15.299999999999899</v>
      </c>
    </row>
    <row r="1564" spans="1:21" ht="12.75" x14ac:dyDescent="0.2">
      <c r="A1564" s="3">
        <f ca="1">IFERROR(__xludf.DUMMYFUNCTION("""COMPUTED_VALUE"""),40148.5618055555)</f>
        <v>40148.561805555502</v>
      </c>
      <c r="B1564" s="1">
        <f ca="1">IFERROR(__xludf.DUMMYFUNCTION("""COMPUTED_VALUE"""),5.95)</f>
        <v>5.95</v>
      </c>
      <c r="J1564" s="1" t="str">
        <f ca="1">IFERROR(__xludf.DUMMYFUNCTION("""COMPUTED_VALUE"""),"HOME BUILDING BLOCK WORD")</f>
        <v>HOME BUILDING BLOCK WORD</v>
      </c>
      <c r="K1564" s="1">
        <f ca="1">IFERROR(__xludf.DUMMYFUNCTION("""COMPUTED_VALUE"""),5)</f>
        <v>5</v>
      </c>
      <c r="L1564" s="1">
        <f ca="1">IFERROR(__xludf.DUMMYFUNCTION("""COMPUTED_VALUE"""),5.95)</f>
        <v>5.95</v>
      </c>
      <c r="T1564" s="1">
        <f ca="1">IFERROR(__xludf.DUMMYFUNCTION("""COMPUTED_VALUE"""),489573)</f>
        <v>489573</v>
      </c>
      <c r="U1564" s="1">
        <f ca="1">IFERROR(__xludf.DUMMYFUNCTION("""COMPUTED_VALUE"""),29.75)</f>
        <v>29.75</v>
      </c>
    </row>
    <row r="1565" spans="1:21" ht="12.75" x14ac:dyDescent="0.2">
      <c r="A1565" s="3">
        <f ca="1">IFERROR(__xludf.DUMMYFUNCTION("""COMPUTED_VALUE"""),40148.5618055555)</f>
        <v>40148.561805555502</v>
      </c>
      <c r="B1565" s="1">
        <f ca="1">IFERROR(__xludf.DUMMYFUNCTION("""COMPUTED_VALUE"""),3.75)</f>
        <v>3.75</v>
      </c>
      <c r="J1565" s="1" t="str">
        <f ca="1">IFERROR(__xludf.DUMMYFUNCTION("""COMPUTED_VALUE"""),"BINGO SET")</f>
        <v>BINGO SET</v>
      </c>
      <c r="K1565" s="1">
        <f ca="1">IFERROR(__xludf.DUMMYFUNCTION("""COMPUTED_VALUE"""),4)</f>
        <v>4</v>
      </c>
      <c r="L1565" s="1">
        <f ca="1">IFERROR(__xludf.DUMMYFUNCTION("""COMPUTED_VALUE"""),3.75)</f>
        <v>3.75</v>
      </c>
      <c r="T1565" s="1">
        <f ca="1">IFERROR(__xludf.DUMMYFUNCTION("""COMPUTED_VALUE"""),489573)</f>
        <v>489573</v>
      </c>
      <c r="U1565" s="1">
        <f ca="1">IFERROR(__xludf.DUMMYFUNCTION("""COMPUTED_VALUE"""),15)</f>
        <v>15</v>
      </c>
    </row>
    <row r="1566" spans="1:21" ht="12.75" x14ac:dyDescent="0.2">
      <c r="A1566" s="3">
        <f ca="1">IFERROR(__xludf.DUMMYFUNCTION("""COMPUTED_VALUE"""),40148.5618055555)</f>
        <v>40148.561805555502</v>
      </c>
      <c r="B1566" s="1">
        <f ca="1">IFERROR(__xludf.DUMMYFUNCTION("""COMPUTED_VALUE"""),3.75)</f>
        <v>3.75</v>
      </c>
      <c r="J1566" s="1" t="str">
        <f ca="1">IFERROR(__xludf.DUMMYFUNCTION("""COMPUTED_VALUE"""),"SMALL RETRO SPOT MUG IN BOX  WHITE")</f>
        <v>SMALL RETRO SPOT MUG IN BOX  WHITE</v>
      </c>
      <c r="K1566" s="1">
        <f ca="1">IFERROR(__xludf.DUMMYFUNCTION("""COMPUTED_VALUE"""),4)</f>
        <v>4</v>
      </c>
      <c r="L1566" s="1">
        <f ca="1">IFERROR(__xludf.DUMMYFUNCTION("""COMPUTED_VALUE"""),3.75)</f>
        <v>3.75</v>
      </c>
      <c r="T1566" s="1">
        <f ca="1">IFERROR(__xludf.DUMMYFUNCTION("""COMPUTED_VALUE"""),489573)</f>
        <v>489573</v>
      </c>
      <c r="U1566" s="1">
        <f ca="1">IFERROR(__xludf.DUMMYFUNCTION("""COMPUTED_VALUE"""),15)</f>
        <v>15</v>
      </c>
    </row>
    <row r="1567" spans="1:21" ht="12.75" x14ac:dyDescent="0.2">
      <c r="A1567" s="3">
        <f ca="1">IFERROR(__xludf.DUMMYFUNCTION("""COMPUTED_VALUE"""),40148.5618055555)</f>
        <v>40148.561805555502</v>
      </c>
      <c r="B1567" s="1">
        <f ca="1">IFERROR(__xludf.DUMMYFUNCTION("""COMPUTED_VALUE"""),3.75)</f>
        <v>3.75</v>
      </c>
      <c r="J1567" s="1" t="str">
        <f ca="1">IFERROR(__xludf.DUMMYFUNCTION("""COMPUTED_VALUE"""),"SMALL RETRO SPOT MUG IN BOX  RED")</f>
        <v>SMALL RETRO SPOT MUG IN BOX  RED</v>
      </c>
      <c r="K1567" s="1">
        <f ca="1">IFERROR(__xludf.DUMMYFUNCTION("""COMPUTED_VALUE"""),4)</f>
        <v>4</v>
      </c>
      <c r="L1567" s="1">
        <f ca="1">IFERROR(__xludf.DUMMYFUNCTION("""COMPUTED_VALUE"""),3.75)</f>
        <v>3.75</v>
      </c>
      <c r="T1567" s="1">
        <f ca="1">IFERROR(__xludf.DUMMYFUNCTION("""COMPUTED_VALUE"""),489573)</f>
        <v>489573</v>
      </c>
      <c r="U1567" s="1">
        <f ca="1">IFERROR(__xludf.DUMMYFUNCTION("""COMPUTED_VALUE"""),15)</f>
        <v>15</v>
      </c>
    </row>
    <row r="1568" spans="1:21" ht="12.75" x14ac:dyDescent="0.2">
      <c r="A1568" s="3">
        <f ca="1">IFERROR(__xludf.DUMMYFUNCTION("""COMPUTED_VALUE"""),40148.5618055555)</f>
        <v>40148.561805555502</v>
      </c>
      <c r="B1568" s="1">
        <f ca="1">IFERROR(__xludf.DUMMYFUNCTION("""COMPUTED_VALUE"""),3.75)</f>
        <v>3.75</v>
      </c>
      <c r="J1568" s="1" t="str">
        <f ca="1">IFERROR(__xludf.DUMMYFUNCTION("""COMPUTED_VALUE"""),"RED 3 PIECE MINI DOTS CUTLERY SET")</f>
        <v>RED 3 PIECE MINI DOTS CUTLERY SET</v>
      </c>
      <c r="K1568" s="1">
        <f ca="1">IFERROR(__xludf.DUMMYFUNCTION("""COMPUTED_VALUE"""),4)</f>
        <v>4</v>
      </c>
      <c r="L1568" s="1">
        <f ca="1">IFERROR(__xludf.DUMMYFUNCTION("""COMPUTED_VALUE"""),3.75)</f>
        <v>3.75</v>
      </c>
      <c r="T1568" s="1">
        <f ca="1">IFERROR(__xludf.DUMMYFUNCTION("""COMPUTED_VALUE"""),489573)</f>
        <v>489573</v>
      </c>
      <c r="U1568" s="1">
        <f ca="1">IFERROR(__xludf.DUMMYFUNCTION("""COMPUTED_VALUE"""),15)</f>
        <v>15</v>
      </c>
    </row>
    <row r="1569" spans="1:21" ht="12.75" x14ac:dyDescent="0.2">
      <c r="A1569" s="3">
        <f ca="1">IFERROR(__xludf.DUMMYFUNCTION("""COMPUTED_VALUE"""),40148.5618055555)</f>
        <v>40148.561805555502</v>
      </c>
      <c r="B1569" s="1">
        <f ca="1">IFERROR(__xludf.DUMMYFUNCTION("""COMPUTED_VALUE"""),3.75)</f>
        <v>3.75</v>
      </c>
      <c r="J1569" s="1" t="str">
        <f ca="1">IFERROR(__xludf.DUMMYFUNCTION("""COMPUTED_VALUE"""),"BLUE 3 PIECE MINI DOTS CUTLERY SET")</f>
        <v>BLUE 3 PIECE MINI DOTS CUTLERY SET</v>
      </c>
      <c r="K1569" s="1">
        <f ca="1">IFERROR(__xludf.DUMMYFUNCTION("""COMPUTED_VALUE"""),4)</f>
        <v>4</v>
      </c>
      <c r="L1569" s="1">
        <f ca="1">IFERROR(__xludf.DUMMYFUNCTION("""COMPUTED_VALUE"""),3.75)</f>
        <v>3.75</v>
      </c>
      <c r="T1569" s="1">
        <f ca="1">IFERROR(__xludf.DUMMYFUNCTION("""COMPUTED_VALUE"""),489573)</f>
        <v>489573</v>
      </c>
      <c r="U1569" s="1">
        <f ca="1">IFERROR(__xludf.DUMMYFUNCTION("""COMPUTED_VALUE"""),15)</f>
        <v>15</v>
      </c>
    </row>
    <row r="1570" spans="1:21" ht="12.75" x14ac:dyDescent="0.2">
      <c r="A1570" s="3">
        <f ca="1">IFERROR(__xludf.DUMMYFUNCTION("""COMPUTED_VALUE"""),40148.5618055555)</f>
        <v>40148.561805555502</v>
      </c>
      <c r="B1570" s="1">
        <f ca="1">IFERROR(__xludf.DUMMYFUNCTION("""COMPUTED_VALUE"""),4.95)</f>
        <v>4.95</v>
      </c>
      <c r="J1570" s="1" t="str">
        <f ca="1">IFERROR(__xludf.DUMMYFUNCTION("""COMPUTED_VALUE"""),"JARDIN ETCHED GLASS CANDLEHLDR LONG")</f>
        <v>JARDIN ETCHED GLASS CANDLEHLDR LONG</v>
      </c>
      <c r="K1570" s="1">
        <f ca="1">IFERROR(__xludf.DUMMYFUNCTION("""COMPUTED_VALUE"""),4)</f>
        <v>4</v>
      </c>
      <c r="L1570" s="1">
        <f ca="1">IFERROR(__xludf.DUMMYFUNCTION("""COMPUTED_VALUE"""),4.95)</f>
        <v>4.95</v>
      </c>
      <c r="T1570" s="1">
        <f ca="1">IFERROR(__xludf.DUMMYFUNCTION("""COMPUTED_VALUE"""),489573)</f>
        <v>489573</v>
      </c>
      <c r="U1570" s="1">
        <f ca="1">IFERROR(__xludf.DUMMYFUNCTION("""COMPUTED_VALUE"""),19.8)</f>
        <v>19.8</v>
      </c>
    </row>
    <row r="1571" spans="1:21" ht="12.75" x14ac:dyDescent="0.2">
      <c r="A1571" s="3">
        <f ca="1">IFERROR(__xludf.DUMMYFUNCTION("""COMPUTED_VALUE"""),40148.5618055555)</f>
        <v>40148.561805555502</v>
      </c>
      <c r="B1571" s="1">
        <f ca="1">IFERROR(__xludf.DUMMYFUNCTION("""COMPUTED_VALUE"""),6.75)</f>
        <v>6.75</v>
      </c>
      <c r="J1571" s="1" t="str">
        <f ca="1">IFERROR(__xludf.DUMMYFUNCTION("""COMPUTED_VALUE"""),"UNION JACK GUNS &amp; ROSES  DOORMAT")</f>
        <v>UNION JACK GUNS &amp; ROSES  DOORMAT</v>
      </c>
      <c r="K1571" s="1">
        <f ca="1">IFERROR(__xludf.DUMMYFUNCTION("""COMPUTED_VALUE"""),3)</f>
        <v>3</v>
      </c>
      <c r="L1571" s="1">
        <f ca="1">IFERROR(__xludf.DUMMYFUNCTION("""COMPUTED_VALUE"""),6.75)</f>
        <v>6.75</v>
      </c>
      <c r="T1571" s="1">
        <f ca="1">IFERROR(__xludf.DUMMYFUNCTION("""COMPUTED_VALUE"""),489573)</f>
        <v>489573</v>
      </c>
      <c r="U1571" s="1">
        <f ca="1">IFERROR(__xludf.DUMMYFUNCTION("""COMPUTED_VALUE"""),20.25)</f>
        <v>20.25</v>
      </c>
    </row>
    <row r="1572" spans="1:21" ht="12.75" x14ac:dyDescent="0.2">
      <c r="A1572" s="3">
        <f ca="1">IFERROR(__xludf.DUMMYFUNCTION("""COMPUTED_VALUE"""),40148.5618055555)</f>
        <v>40148.561805555502</v>
      </c>
      <c r="B1572" s="1">
        <f ca="1">IFERROR(__xludf.DUMMYFUNCTION("""COMPUTED_VALUE"""),3.75)</f>
        <v>3.75</v>
      </c>
      <c r="J1572" s="1" t="str">
        <f ca="1">IFERROR(__xludf.DUMMYFUNCTION("""COMPUTED_VALUE"""),"VINTAGE SNAKES &amp; LADDERS")</f>
        <v>VINTAGE SNAKES &amp; LADDERS</v>
      </c>
      <c r="K1572" s="1">
        <f ca="1">IFERROR(__xludf.DUMMYFUNCTION("""COMPUTED_VALUE"""),3)</f>
        <v>3</v>
      </c>
      <c r="L1572" s="1">
        <f ca="1">IFERROR(__xludf.DUMMYFUNCTION("""COMPUTED_VALUE"""),3.75)</f>
        <v>3.75</v>
      </c>
      <c r="T1572" s="1">
        <f ca="1">IFERROR(__xludf.DUMMYFUNCTION("""COMPUTED_VALUE"""),489573)</f>
        <v>489573</v>
      </c>
      <c r="U1572" s="1">
        <f ca="1">IFERROR(__xludf.DUMMYFUNCTION("""COMPUTED_VALUE"""),11.25)</f>
        <v>11.25</v>
      </c>
    </row>
    <row r="1573" spans="1:21" ht="12.75" x14ac:dyDescent="0.2">
      <c r="A1573" s="3">
        <f ca="1">IFERROR(__xludf.DUMMYFUNCTION("""COMPUTED_VALUE"""),40148.5618055555)</f>
        <v>40148.561805555502</v>
      </c>
      <c r="B1573" s="1">
        <f ca="1">IFERROR(__xludf.DUMMYFUNCTION("""COMPUTED_VALUE"""),4.95)</f>
        <v>4.95</v>
      </c>
      <c r="J1573" s="1" t="str">
        <f ca="1">IFERROR(__xludf.DUMMYFUNCTION("""COMPUTED_VALUE"""),"RETRO SPOT TEA SET CERAMIC 11 PC")</f>
        <v>RETRO SPOT TEA SET CERAMIC 11 PC</v>
      </c>
      <c r="K1573" s="1">
        <f ca="1">IFERROR(__xludf.DUMMYFUNCTION("""COMPUTED_VALUE"""),3)</f>
        <v>3</v>
      </c>
      <c r="L1573" s="1">
        <f ca="1">IFERROR(__xludf.DUMMYFUNCTION("""COMPUTED_VALUE"""),4.95)</f>
        <v>4.95</v>
      </c>
      <c r="T1573" s="1">
        <f ca="1">IFERROR(__xludf.DUMMYFUNCTION("""COMPUTED_VALUE"""),489573)</f>
        <v>489573</v>
      </c>
      <c r="U1573" s="1">
        <f ca="1">IFERROR(__xludf.DUMMYFUNCTION("""COMPUTED_VALUE"""),14.85)</f>
        <v>14.85</v>
      </c>
    </row>
    <row r="1574" spans="1:21" ht="12.75" x14ac:dyDescent="0.2">
      <c r="A1574" s="3">
        <f ca="1">IFERROR(__xludf.DUMMYFUNCTION("""COMPUTED_VALUE"""),40148.5618055555)</f>
        <v>40148.561805555502</v>
      </c>
      <c r="B1574" s="1">
        <f ca="1">IFERROR(__xludf.DUMMYFUNCTION("""COMPUTED_VALUE"""),1.25)</f>
        <v>1.25</v>
      </c>
      <c r="J1574" s="1" t="str">
        <f ca="1">IFERROR(__xludf.DUMMYFUNCTION("""COMPUTED_VALUE"""),"POTTING SHED TEA MUG")</f>
        <v>POTTING SHED TEA MUG</v>
      </c>
      <c r="K1574" s="1">
        <f ca="1">IFERROR(__xludf.DUMMYFUNCTION("""COMPUTED_VALUE"""),3)</f>
        <v>3</v>
      </c>
      <c r="L1574" s="1">
        <f ca="1">IFERROR(__xludf.DUMMYFUNCTION("""COMPUTED_VALUE"""),1.25)</f>
        <v>1.25</v>
      </c>
      <c r="T1574" s="1">
        <f ca="1">IFERROR(__xludf.DUMMYFUNCTION("""COMPUTED_VALUE"""),489573)</f>
        <v>489573</v>
      </c>
      <c r="U1574" s="1">
        <f ca="1">IFERROR(__xludf.DUMMYFUNCTION("""COMPUTED_VALUE"""),3.75)</f>
        <v>3.75</v>
      </c>
    </row>
    <row r="1575" spans="1:21" ht="12.75" x14ac:dyDescent="0.2">
      <c r="A1575" s="3">
        <f ca="1">IFERROR(__xludf.DUMMYFUNCTION("""COMPUTED_VALUE"""),40148.5618055555)</f>
        <v>40148.561805555502</v>
      </c>
      <c r="B1575" s="1">
        <f ca="1">IFERROR(__xludf.DUMMYFUNCTION("""COMPUTED_VALUE"""),4.95)</f>
        <v>4.95</v>
      </c>
      <c r="J1575" s="1" t="str">
        <f ca="1">IFERROR(__xludf.DUMMYFUNCTION("""COMPUTED_VALUE"""),"BAKING SET 9 PIECE RETROSPOT")</f>
        <v>BAKING SET 9 PIECE RETROSPOT</v>
      </c>
      <c r="K1575" s="1">
        <f ca="1">IFERROR(__xludf.DUMMYFUNCTION("""COMPUTED_VALUE"""),3)</f>
        <v>3</v>
      </c>
      <c r="L1575" s="1">
        <f ca="1">IFERROR(__xludf.DUMMYFUNCTION("""COMPUTED_VALUE"""),4.95)</f>
        <v>4.95</v>
      </c>
      <c r="T1575" s="1">
        <f ca="1">IFERROR(__xludf.DUMMYFUNCTION("""COMPUTED_VALUE"""),489573)</f>
        <v>489573</v>
      </c>
      <c r="U1575" s="1">
        <f ca="1">IFERROR(__xludf.DUMMYFUNCTION("""COMPUTED_VALUE"""),14.85)</f>
        <v>14.85</v>
      </c>
    </row>
    <row r="1576" spans="1:21" ht="12.75" x14ac:dyDescent="0.2">
      <c r="A1576" s="3">
        <f ca="1">IFERROR(__xludf.DUMMYFUNCTION("""COMPUTED_VALUE"""),40148.5618055555)</f>
        <v>40148.561805555502</v>
      </c>
      <c r="B1576" s="1">
        <f ca="1">IFERROR(__xludf.DUMMYFUNCTION("""COMPUTED_VALUE"""),2.95)</f>
        <v>2.95</v>
      </c>
      <c r="J1576" s="1" t="str">
        <f ca="1">IFERROR(__xludf.DUMMYFUNCTION("""COMPUTED_VALUE"""),"PACK/12 BLUE REINDEER CARD")</f>
        <v>PACK/12 BLUE REINDEER CARD</v>
      </c>
      <c r="K1576" s="1">
        <f ca="1">IFERROR(__xludf.DUMMYFUNCTION("""COMPUTED_VALUE"""),1)</f>
        <v>1</v>
      </c>
      <c r="L1576" s="1">
        <f ca="1">IFERROR(__xludf.DUMMYFUNCTION("""COMPUTED_VALUE"""),2.95)</f>
        <v>2.95</v>
      </c>
      <c r="T1576" s="1">
        <f ca="1">IFERROR(__xludf.DUMMYFUNCTION("""COMPUTED_VALUE"""),489573)</f>
        <v>489573</v>
      </c>
      <c r="U1576" s="1">
        <f ca="1">IFERROR(__xludf.DUMMYFUNCTION("""COMPUTED_VALUE"""),2.95)</f>
        <v>2.95</v>
      </c>
    </row>
    <row r="1577" spans="1:21" ht="12.75" x14ac:dyDescent="0.2">
      <c r="A1577" s="3">
        <f ca="1">IFERROR(__xludf.DUMMYFUNCTION("""COMPUTED_VALUE"""),40148.5618055555)</f>
        <v>40148.561805555502</v>
      </c>
      <c r="B1577" s="1">
        <f ca="1">IFERROR(__xludf.DUMMYFUNCTION("""COMPUTED_VALUE"""),3.75)</f>
        <v>3.75</v>
      </c>
      <c r="J1577" s="1" t="str">
        <f ca="1">IFERROR(__xludf.DUMMYFUNCTION("""COMPUTED_VALUE"""),"ENGLISH ROSE PLACEMATS")</f>
        <v>ENGLISH ROSE PLACEMATS</v>
      </c>
      <c r="K1577" s="1">
        <f ca="1">IFERROR(__xludf.DUMMYFUNCTION("""COMPUTED_VALUE"""),1)</f>
        <v>1</v>
      </c>
      <c r="L1577" s="1">
        <f ca="1">IFERROR(__xludf.DUMMYFUNCTION("""COMPUTED_VALUE"""),3.75)</f>
        <v>3.75</v>
      </c>
      <c r="T1577" s="1">
        <f ca="1">IFERROR(__xludf.DUMMYFUNCTION("""COMPUTED_VALUE"""),489573)</f>
        <v>489573</v>
      </c>
      <c r="U1577" s="1">
        <f ca="1">IFERROR(__xludf.DUMMYFUNCTION("""COMPUTED_VALUE"""),3.75)</f>
        <v>3.75</v>
      </c>
    </row>
    <row r="1578" spans="1:21" ht="12.75" x14ac:dyDescent="0.2">
      <c r="A1578" s="3">
        <f ca="1">IFERROR(__xludf.DUMMYFUNCTION("""COMPUTED_VALUE"""),40148.5618055555)</f>
        <v>40148.561805555502</v>
      </c>
      <c r="B1578" s="1">
        <f ca="1">IFERROR(__xludf.DUMMYFUNCTION("""COMPUTED_VALUE"""),1.25)</f>
        <v>1.25</v>
      </c>
      <c r="J1578" s="1" t="str">
        <f ca="1">IFERROR(__xludf.DUMMYFUNCTION("""COMPUTED_VALUE"""),"SET OF 4 ENGLISH ROSE COASTERS")</f>
        <v>SET OF 4 ENGLISH ROSE COASTERS</v>
      </c>
      <c r="K1578" s="1">
        <f ca="1">IFERROR(__xludf.DUMMYFUNCTION("""COMPUTED_VALUE"""),1)</f>
        <v>1</v>
      </c>
      <c r="L1578" s="1">
        <f ca="1">IFERROR(__xludf.DUMMYFUNCTION("""COMPUTED_VALUE"""),1.25)</f>
        <v>1.25</v>
      </c>
      <c r="T1578" s="1">
        <f ca="1">IFERROR(__xludf.DUMMYFUNCTION("""COMPUTED_VALUE"""),489573)</f>
        <v>489573</v>
      </c>
      <c r="U1578" s="1">
        <f ca="1">IFERROR(__xludf.DUMMYFUNCTION("""COMPUTED_VALUE"""),1.25)</f>
        <v>1.25</v>
      </c>
    </row>
    <row r="1579" spans="1:21" ht="12.75" x14ac:dyDescent="0.2">
      <c r="A1579" s="3">
        <f ca="1">IFERROR(__xludf.DUMMYFUNCTION("""COMPUTED_VALUE"""),40148.5618055555)</f>
        <v>40148.561805555502</v>
      </c>
      <c r="B1579" s="1">
        <f ca="1">IFERROR(__xludf.DUMMYFUNCTION("""COMPUTED_VALUE"""),2.55)</f>
        <v>2.5499999999999998</v>
      </c>
      <c r="J1579" s="1" t="str">
        <f ca="1">IFERROR(__xludf.DUMMYFUNCTION("""COMPUTED_VALUE"""),"LARGE FIBRE OPTIC CHRISTMAS TREE")</f>
        <v>LARGE FIBRE OPTIC CHRISTMAS TREE</v>
      </c>
      <c r="K1579" s="1">
        <f ca="1">IFERROR(__xludf.DUMMYFUNCTION("""COMPUTED_VALUE"""),1)</f>
        <v>1</v>
      </c>
      <c r="L1579" s="1">
        <f ca="1">IFERROR(__xludf.DUMMYFUNCTION("""COMPUTED_VALUE"""),2.55)</f>
        <v>2.5499999999999998</v>
      </c>
      <c r="T1579" s="1">
        <f ca="1">IFERROR(__xludf.DUMMYFUNCTION("""COMPUTED_VALUE"""),489573)</f>
        <v>489573</v>
      </c>
      <c r="U1579" s="1">
        <f ca="1">IFERROR(__xludf.DUMMYFUNCTION("""COMPUTED_VALUE"""),2.55)</f>
        <v>2.5499999999999998</v>
      </c>
    </row>
    <row r="1580" spans="1:21" ht="12.75" x14ac:dyDescent="0.2">
      <c r="A1580" s="3">
        <f ca="1">IFERROR(__xludf.DUMMYFUNCTION("""COMPUTED_VALUE"""),40148.5631944444)</f>
        <v>40148.563194444403</v>
      </c>
      <c r="B1580" s="1">
        <f ca="1">IFERROR(__xludf.DUMMYFUNCTION("""COMPUTED_VALUE"""),0.42)</f>
        <v>0.42</v>
      </c>
      <c r="J1580" s="1" t="str">
        <f ca="1">IFERROR(__xludf.DUMMYFUNCTION("""COMPUTED_VALUE"""),"WRAP BLUE REINDEER")</f>
        <v>WRAP BLUE REINDEER</v>
      </c>
      <c r="K1580" s="1">
        <f ca="1">IFERROR(__xludf.DUMMYFUNCTION("""COMPUTED_VALUE"""),25)</f>
        <v>25</v>
      </c>
      <c r="L1580" s="1">
        <f ca="1">IFERROR(__xludf.DUMMYFUNCTION("""COMPUTED_VALUE"""),0.42)</f>
        <v>0.42</v>
      </c>
      <c r="T1580" s="1">
        <f ca="1">IFERROR(__xludf.DUMMYFUNCTION("""COMPUTED_VALUE"""),489574)</f>
        <v>489574</v>
      </c>
      <c r="U1580" s="1">
        <f ca="1">IFERROR(__xludf.DUMMYFUNCTION("""COMPUTED_VALUE"""),10.5)</f>
        <v>10.5</v>
      </c>
    </row>
    <row r="1581" spans="1:21" ht="12.75" x14ac:dyDescent="0.2">
      <c r="A1581" s="3">
        <f ca="1">IFERROR(__xludf.DUMMYFUNCTION("""COMPUTED_VALUE"""),40148.5631944444)</f>
        <v>40148.563194444403</v>
      </c>
      <c r="B1581" s="1">
        <f ca="1">IFERROR(__xludf.DUMMYFUNCTION("""COMPUTED_VALUE"""),0.42)</f>
        <v>0.42</v>
      </c>
      <c r="J1581" s="1" t="str">
        <f ca="1">IFERROR(__xludf.DUMMYFUNCTION("""COMPUTED_VALUE"""),"VINTAGE CARAVAN GREETING CARD")</f>
        <v>VINTAGE CARAVAN GREETING CARD</v>
      </c>
      <c r="K1581" s="1">
        <f ca="1">IFERROR(__xludf.DUMMYFUNCTION("""COMPUTED_VALUE"""),24)</f>
        <v>24</v>
      </c>
      <c r="L1581" s="1">
        <f ca="1">IFERROR(__xludf.DUMMYFUNCTION("""COMPUTED_VALUE"""),0.42)</f>
        <v>0.42</v>
      </c>
      <c r="T1581" s="1">
        <f ca="1">IFERROR(__xludf.DUMMYFUNCTION("""COMPUTED_VALUE"""),489574)</f>
        <v>489574</v>
      </c>
      <c r="U1581" s="1">
        <f ca="1">IFERROR(__xludf.DUMMYFUNCTION("""COMPUTED_VALUE"""),10.08)</f>
        <v>10.08</v>
      </c>
    </row>
    <row r="1582" spans="1:21" ht="12.75" x14ac:dyDescent="0.2">
      <c r="A1582" s="3">
        <f ca="1">IFERROR(__xludf.DUMMYFUNCTION("""COMPUTED_VALUE"""),40148.5631944444)</f>
        <v>40148.563194444403</v>
      </c>
      <c r="B1582" s="1">
        <f ca="1">IFERROR(__xludf.DUMMYFUNCTION("""COMPUTED_VALUE"""),0.42)</f>
        <v>0.42</v>
      </c>
      <c r="J1582" s="1" t="str">
        <f ca="1">IFERROR(__xludf.DUMMYFUNCTION("""COMPUTED_VALUE"""),"ROBOT BIRTHDAY CARD")</f>
        <v>ROBOT BIRTHDAY CARD</v>
      </c>
      <c r="K1582" s="1">
        <f ca="1">IFERROR(__xludf.DUMMYFUNCTION("""COMPUTED_VALUE"""),24)</f>
        <v>24</v>
      </c>
      <c r="L1582" s="1">
        <f ca="1">IFERROR(__xludf.DUMMYFUNCTION("""COMPUTED_VALUE"""),0.42)</f>
        <v>0.42</v>
      </c>
      <c r="T1582" s="1">
        <f ca="1">IFERROR(__xludf.DUMMYFUNCTION("""COMPUTED_VALUE"""),489574)</f>
        <v>489574</v>
      </c>
      <c r="U1582" s="1">
        <f ca="1">IFERROR(__xludf.DUMMYFUNCTION("""COMPUTED_VALUE"""),10.08)</f>
        <v>10.08</v>
      </c>
    </row>
    <row r="1583" spans="1:21" ht="12.75" x14ac:dyDescent="0.2">
      <c r="A1583" s="3">
        <f ca="1">IFERROR(__xludf.DUMMYFUNCTION("""COMPUTED_VALUE"""),40148.5631944444)</f>
        <v>40148.563194444403</v>
      </c>
      <c r="B1583" s="1">
        <f ca="1">IFERROR(__xludf.DUMMYFUNCTION("""COMPUTED_VALUE"""),0.85)</f>
        <v>0.85</v>
      </c>
      <c r="J1583" s="1" t="str">
        <f ca="1">IFERROR(__xludf.DUMMYFUNCTION("""COMPUTED_VALUE"""),"SEWING SUSAN 21 NEEDLE SET")</f>
        <v>SEWING SUSAN 21 NEEDLE SET</v>
      </c>
      <c r="K1583" s="1">
        <f ca="1">IFERROR(__xludf.DUMMYFUNCTION("""COMPUTED_VALUE"""),12)</f>
        <v>12</v>
      </c>
      <c r="L1583" s="1">
        <f ca="1">IFERROR(__xludf.DUMMYFUNCTION("""COMPUTED_VALUE"""),0.85)</f>
        <v>0.85</v>
      </c>
      <c r="T1583" s="1">
        <f ca="1">IFERROR(__xludf.DUMMYFUNCTION("""COMPUTED_VALUE"""),489574)</f>
        <v>489574</v>
      </c>
      <c r="U1583" s="1">
        <f ca="1">IFERROR(__xludf.DUMMYFUNCTION("""COMPUTED_VALUE"""),10.2)</f>
        <v>10.199999999999999</v>
      </c>
    </row>
    <row r="1584" spans="1:21" ht="12.75" x14ac:dyDescent="0.2">
      <c r="A1584" s="3">
        <f ca="1">IFERROR(__xludf.DUMMYFUNCTION("""COMPUTED_VALUE"""),40148.5631944444)</f>
        <v>40148.563194444403</v>
      </c>
      <c r="B1584" s="1">
        <f ca="1">IFERROR(__xludf.DUMMYFUNCTION("""COMPUTED_VALUE"""),1.25)</f>
        <v>1.25</v>
      </c>
      <c r="J1584" s="1" t="str">
        <f ca="1">IFERROR(__xludf.DUMMYFUNCTION("""COMPUTED_VALUE"""),"WOODEN BOX OF DOMINOES")</f>
        <v>WOODEN BOX OF DOMINOES</v>
      </c>
      <c r="K1584" s="1">
        <f ca="1">IFERROR(__xludf.DUMMYFUNCTION("""COMPUTED_VALUE"""),12)</f>
        <v>12</v>
      </c>
      <c r="L1584" s="1">
        <f ca="1">IFERROR(__xludf.DUMMYFUNCTION("""COMPUTED_VALUE"""),1.25)</f>
        <v>1.25</v>
      </c>
      <c r="T1584" s="1">
        <f ca="1">IFERROR(__xludf.DUMMYFUNCTION("""COMPUTED_VALUE"""),489574)</f>
        <v>489574</v>
      </c>
      <c r="U1584" s="1">
        <f ca="1">IFERROR(__xludf.DUMMYFUNCTION("""COMPUTED_VALUE"""),15)</f>
        <v>15</v>
      </c>
    </row>
    <row r="1585" spans="1:21" ht="12.75" x14ac:dyDescent="0.2">
      <c r="A1585" s="3">
        <f ca="1">IFERROR(__xludf.DUMMYFUNCTION("""COMPUTED_VALUE"""),40148.5631944444)</f>
        <v>40148.563194444403</v>
      </c>
      <c r="B1585" s="1">
        <f ca="1">IFERROR(__xludf.DUMMYFUNCTION("""COMPUTED_VALUE"""),1.95)</f>
        <v>1.95</v>
      </c>
      <c r="J1585" s="1" t="str">
        <f ca="1">IFERROR(__xludf.DUMMYFUNCTION("""COMPUTED_VALUE"""),"CHERRY DESIGN PAPERLANTERNS")</f>
        <v>CHERRY DESIGN PAPERLANTERNS</v>
      </c>
      <c r="K1585" s="1">
        <f ca="1">IFERROR(__xludf.DUMMYFUNCTION("""COMPUTED_VALUE"""),10)</f>
        <v>10</v>
      </c>
      <c r="L1585" s="1">
        <f ca="1">IFERROR(__xludf.DUMMYFUNCTION("""COMPUTED_VALUE"""),1.95)</f>
        <v>1.95</v>
      </c>
      <c r="T1585" s="1">
        <f ca="1">IFERROR(__xludf.DUMMYFUNCTION("""COMPUTED_VALUE"""),489574)</f>
        <v>489574</v>
      </c>
      <c r="U1585" s="1">
        <f ca="1">IFERROR(__xludf.DUMMYFUNCTION("""COMPUTED_VALUE"""),19.5)</f>
        <v>19.5</v>
      </c>
    </row>
    <row r="1586" spans="1:21" ht="12.75" x14ac:dyDescent="0.2">
      <c r="A1586" s="3">
        <f ca="1">IFERROR(__xludf.DUMMYFUNCTION("""COMPUTED_VALUE"""),40148.5631944444)</f>
        <v>40148.563194444403</v>
      </c>
      <c r="B1586" s="1">
        <f ca="1">IFERROR(__xludf.DUMMYFUNCTION("""COMPUTED_VALUE"""),1.95)</f>
        <v>1.95</v>
      </c>
      <c r="J1586" s="1" t="str">
        <f ca="1">IFERROR(__xludf.DUMMYFUNCTION("""COMPUTED_VALUE"""),"TEA TIME PAPER LANTERNS")</f>
        <v>TEA TIME PAPER LANTERNS</v>
      </c>
      <c r="K1586" s="1">
        <f ca="1">IFERROR(__xludf.DUMMYFUNCTION("""COMPUTED_VALUE"""),10)</f>
        <v>10</v>
      </c>
      <c r="L1586" s="1">
        <f ca="1">IFERROR(__xludf.DUMMYFUNCTION("""COMPUTED_VALUE"""),1.95)</f>
        <v>1.95</v>
      </c>
      <c r="T1586" s="1">
        <f ca="1">IFERROR(__xludf.DUMMYFUNCTION("""COMPUTED_VALUE"""),489574)</f>
        <v>489574</v>
      </c>
      <c r="U1586" s="1">
        <f ca="1">IFERROR(__xludf.DUMMYFUNCTION("""COMPUTED_VALUE"""),19.5)</f>
        <v>19.5</v>
      </c>
    </row>
    <row r="1587" spans="1:21" ht="12.75" x14ac:dyDescent="0.2">
      <c r="A1587" s="3">
        <f ca="1">IFERROR(__xludf.DUMMYFUNCTION("""COMPUTED_VALUE"""),40148.5631944444)</f>
        <v>40148.563194444403</v>
      </c>
      <c r="B1587" s="1">
        <f ca="1">IFERROR(__xludf.DUMMYFUNCTION("""COMPUTED_VALUE"""),1.25)</f>
        <v>1.25</v>
      </c>
      <c r="J1587" s="1" t="str">
        <f ca="1">IFERROR(__xludf.DUMMYFUNCTION("""COMPUTED_VALUE"""),"VICTORIAN SEWING KIT")</f>
        <v>VICTORIAN SEWING KIT</v>
      </c>
      <c r="K1587" s="1">
        <f ca="1">IFERROR(__xludf.DUMMYFUNCTION("""COMPUTED_VALUE"""),10)</f>
        <v>10</v>
      </c>
      <c r="L1587" s="1">
        <f ca="1">IFERROR(__xludf.DUMMYFUNCTION("""COMPUTED_VALUE"""),1.25)</f>
        <v>1.25</v>
      </c>
      <c r="T1587" s="1">
        <f ca="1">IFERROR(__xludf.DUMMYFUNCTION("""COMPUTED_VALUE"""),489574)</f>
        <v>489574</v>
      </c>
      <c r="U1587" s="1">
        <f ca="1">IFERROR(__xludf.DUMMYFUNCTION("""COMPUTED_VALUE"""),12.5)</f>
        <v>12.5</v>
      </c>
    </row>
    <row r="1588" spans="1:21" ht="12.75" x14ac:dyDescent="0.2">
      <c r="A1588" s="3">
        <f ca="1">IFERROR(__xludf.DUMMYFUNCTION("""COMPUTED_VALUE"""),40148.5631944444)</f>
        <v>40148.563194444403</v>
      </c>
      <c r="B1588" s="1">
        <f ca="1">IFERROR(__xludf.DUMMYFUNCTION("""COMPUTED_VALUE"""),0.42)</f>
        <v>0.42</v>
      </c>
      <c r="J1588" s="1" t="str">
        <f ca="1">IFERROR(__xludf.DUMMYFUNCTION("""COMPUTED_VALUE"""),"SET 12 KIDS  WHITE CHALK STICKS")</f>
        <v>SET 12 KIDS  WHITE CHALK STICKS</v>
      </c>
      <c r="K1588" s="1">
        <f ca="1">IFERROR(__xludf.DUMMYFUNCTION("""COMPUTED_VALUE"""),10)</f>
        <v>10</v>
      </c>
      <c r="L1588" s="1">
        <f ca="1">IFERROR(__xludf.DUMMYFUNCTION("""COMPUTED_VALUE"""),0.42)</f>
        <v>0.42</v>
      </c>
      <c r="T1588" s="1">
        <f ca="1">IFERROR(__xludf.DUMMYFUNCTION("""COMPUTED_VALUE"""),489574)</f>
        <v>489574</v>
      </c>
      <c r="U1588" s="1">
        <f ca="1">IFERROR(__xludf.DUMMYFUNCTION("""COMPUTED_VALUE"""),4.2)</f>
        <v>4.2</v>
      </c>
    </row>
    <row r="1589" spans="1:21" ht="12.75" x14ac:dyDescent="0.2">
      <c r="A1589" s="3">
        <f ca="1">IFERROR(__xludf.DUMMYFUNCTION("""COMPUTED_VALUE"""),40148.5631944444)</f>
        <v>40148.563194444403</v>
      </c>
      <c r="B1589" s="1">
        <f ca="1">IFERROR(__xludf.DUMMYFUNCTION("""COMPUTED_VALUE"""),0.42)</f>
        <v>0.42</v>
      </c>
      <c r="J1589" s="1" t="str">
        <f ca="1">IFERROR(__xludf.DUMMYFUNCTION("""COMPUTED_VALUE"""),"SET 12 RETRO WHITE CHALK STICKS")</f>
        <v>SET 12 RETRO WHITE CHALK STICKS</v>
      </c>
      <c r="K1589" s="1">
        <f ca="1">IFERROR(__xludf.DUMMYFUNCTION("""COMPUTED_VALUE"""),10)</f>
        <v>10</v>
      </c>
      <c r="L1589" s="1">
        <f ca="1">IFERROR(__xludf.DUMMYFUNCTION("""COMPUTED_VALUE"""),0.42)</f>
        <v>0.42</v>
      </c>
      <c r="T1589" s="1">
        <f ca="1">IFERROR(__xludf.DUMMYFUNCTION("""COMPUTED_VALUE"""),489574)</f>
        <v>489574</v>
      </c>
      <c r="U1589" s="1">
        <f ca="1">IFERROR(__xludf.DUMMYFUNCTION("""COMPUTED_VALUE"""),4.2)</f>
        <v>4.2</v>
      </c>
    </row>
    <row r="1590" spans="1:21" ht="12.75" x14ac:dyDescent="0.2">
      <c r="A1590" s="3">
        <f ca="1">IFERROR(__xludf.DUMMYFUNCTION("""COMPUTED_VALUE"""),40148.5631944444)</f>
        <v>40148.563194444403</v>
      </c>
      <c r="B1590" s="1">
        <f ca="1">IFERROR(__xludf.DUMMYFUNCTION("""COMPUTED_VALUE"""),0.42)</f>
        <v>0.42</v>
      </c>
      <c r="J1590" s="1" t="str">
        <f ca="1">IFERROR(__xludf.DUMMYFUNCTION("""COMPUTED_VALUE"""),"SET 12 KIDS COLOUR  CHALK STICKS")</f>
        <v>SET 12 KIDS COLOUR  CHALK STICKS</v>
      </c>
      <c r="K1590" s="1">
        <f ca="1">IFERROR(__xludf.DUMMYFUNCTION("""COMPUTED_VALUE"""),10)</f>
        <v>10</v>
      </c>
      <c r="L1590" s="1">
        <f ca="1">IFERROR(__xludf.DUMMYFUNCTION("""COMPUTED_VALUE"""),0.42)</f>
        <v>0.42</v>
      </c>
      <c r="T1590" s="1">
        <f ca="1">IFERROR(__xludf.DUMMYFUNCTION("""COMPUTED_VALUE"""),489574)</f>
        <v>489574</v>
      </c>
      <c r="U1590" s="1">
        <f ca="1">IFERROR(__xludf.DUMMYFUNCTION("""COMPUTED_VALUE"""),4.2)</f>
        <v>4.2</v>
      </c>
    </row>
    <row r="1591" spans="1:21" ht="12.75" x14ac:dyDescent="0.2">
      <c r="A1591" s="3">
        <f ca="1">IFERROR(__xludf.DUMMYFUNCTION("""COMPUTED_VALUE"""),40148.5631944444)</f>
        <v>40148.563194444403</v>
      </c>
      <c r="B1591" s="1">
        <f ca="1">IFERROR(__xludf.DUMMYFUNCTION("""COMPUTED_VALUE"""),1.25)</f>
        <v>1.25</v>
      </c>
      <c r="J1591" s="1" t="str">
        <f ca="1">IFERROR(__xludf.DUMMYFUNCTION("""COMPUTED_VALUE"""),"VINTAGE HEADS AND TAILS CARD GAME")</f>
        <v>VINTAGE HEADS AND TAILS CARD GAME</v>
      </c>
      <c r="K1591" s="1">
        <f ca="1">IFERROR(__xludf.DUMMYFUNCTION("""COMPUTED_VALUE"""),10)</f>
        <v>10</v>
      </c>
      <c r="L1591" s="1">
        <f ca="1">IFERROR(__xludf.DUMMYFUNCTION("""COMPUTED_VALUE"""),1.25)</f>
        <v>1.25</v>
      </c>
      <c r="T1591" s="1">
        <f ca="1">IFERROR(__xludf.DUMMYFUNCTION("""COMPUTED_VALUE"""),489574)</f>
        <v>489574</v>
      </c>
      <c r="U1591" s="1">
        <f ca="1">IFERROR(__xludf.DUMMYFUNCTION("""COMPUTED_VALUE"""),12.5)</f>
        <v>12.5</v>
      </c>
    </row>
    <row r="1592" spans="1:21" ht="12.75" x14ac:dyDescent="0.2">
      <c r="A1592" s="3">
        <f ca="1">IFERROR(__xludf.DUMMYFUNCTION("""COMPUTED_VALUE"""),40148.5631944444)</f>
        <v>40148.563194444403</v>
      </c>
      <c r="B1592" s="1">
        <f ca="1">IFERROR(__xludf.DUMMYFUNCTION("""COMPUTED_VALUE"""),1.25)</f>
        <v>1.25</v>
      </c>
      <c r="J1592" s="1" t="str">
        <f ca="1">IFERROR(__xludf.DUMMYFUNCTION("""COMPUTED_VALUE"""),"COLOURING PENCILS BROWN TUBE")</f>
        <v>COLOURING PENCILS BROWN TUBE</v>
      </c>
      <c r="K1592" s="1">
        <f ca="1">IFERROR(__xludf.DUMMYFUNCTION("""COMPUTED_VALUE"""),10)</f>
        <v>10</v>
      </c>
      <c r="L1592" s="1">
        <f ca="1">IFERROR(__xludf.DUMMYFUNCTION("""COMPUTED_VALUE"""),1.25)</f>
        <v>1.25</v>
      </c>
      <c r="T1592" s="1">
        <f ca="1">IFERROR(__xludf.DUMMYFUNCTION("""COMPUTED_VALUE"""),489574)</f>
        <v>489574</v>
      </c>
      <c r="U1592" s="1">
        <f ca="1">IFERROR(__xludf.DUMMYFUNCTION("""COMPUTED_VALUE"""),12.5)</f>
        <v>12.5</v>
      </c>
    </row>
    <row r="1593" spans="1:21" ht="12.75" x14ac:dyDescent="0.2">
      <c r="A1593" s="3">
        <f ca="1">IFERROR(__xludf.DUMMYFUNCTION("""COMPUTED_VALUE"""),40148.5631944444)</f>
        <v>40148.563194444403</v>
      </c>
      <c r="B1593" s="1">
        <f ca="1">IFERROR(__xludf.DUMMYFUNCTION("""COMPUTED_VALUE"""),1.25)</f>
        <v>1.25</v>
      </c>
      <c r="J1593" s="1" t="str">
        <f ca="1">IFERROR(__xludf.DUMMYFUNCTION("""COMPUTED_VALUE"""),"POTTING SHED TEA MUG")</f>
        <v>POTTING SHED TEA MUG</v>
      </c>
      <c r="K1593" s="1">
        <f ca="1">IFERROR(__xludf.DUMMYFUNCTION("""COMPUTED_VALUE"""),6)</f>
        <v>6</v>
      </c>
      <c r="L1593" s="1">
        <f ca="1">IFERROR(__xludf.DUMMYFUNCTION("""COMPUTED_VALUE"""),1.25)</f>
        <v>1.25</v>
      </c>
      <c r="T1593" s="1">
        <f ca="1">IFERROR(__xludf.DUMMYFUNCTION("""COMPUTED_VALUE"""),489574)</f>
        <v>489574</v>
      </c>
      <c r="U1593" s="1">
        <f ca="1">IFERROR(__xludf.DUMMYFUNCTION("""COMPUTED_VALUE"""),7.5)</f>
        <v>7.5</v>
      </c>
    </row>
    <row r="1594" spans="1:21" ht="12.75" x14ac:dyDescent="0.2">
      <c r="A1594" s="3">
        <f ca="1">IFERROR(__xludf.DUMMYFUNCTION("""COMPUTED_VALUE"""),40148.5631944444)</f>
        <v>40148.563194444403</v>
      </c>
      <c r="B1594" s="1">
        <f ca="1">IFERROR(__xludf.DUMMYFUNCTION("""COMPUTED_VALUE"""),3.25)</f>
        <v>3.25</v>
      </c>
      <c r="J1594" s="1" t="str">
        <f ca="1">IFERROR(__xludf.DUMMYFUNCTION("""COMPUTED_VALUE"""),"FIRST AID TIN")</f>
        <v>FIRST AID TIN</v>
      </c>
      <c r="K1594" s="1">
        <f ca="1">IFERROR(__xludf.DUMMYFUNCTION("""COMPUTED_VALUE"""),6)</f>
        <v>6</v>
      </c>
      <c r="L1594" s="1">
        <f ca="1">IFERROR(__xludf.DUMMYFUNCTION("""COMPUTED_VALUE"""),3.25)</f>
        <v>3.25</v>
      </c>
      <c r="T1594" s="1">
        <f ca="1">IFERROR(__xludf.DUMMYFUNCTION("""COMPUTED_VALUE"""),489574)</f>
        <v>489574</v>
      </c>
      <c r="U1594" s="1">
        <f ca="1">IFERROR(__xludf.DUMMYFUNCTION("""COMPUTED_VALUE"""),19.5)</f>
        <v>19.5</v>
      </c>
    </row>
    <row r="1595" spans="1:21" ht="12.75" x14ac:dyDescent="0.2">
      <c r="A1595" s="3">
        <f ca="1">IFERROR(__xludf.DUMMYFUNCTION("""COMPUTED_VALUE"""),40148.5631944444)</f>
        <v>40148.563194444403</v>
      </c>
      <c r="B1595" s="1">
        <f ca="1">IFERROR(__xludf.DUMMYFUNCTION("""COMPUTED_VALUE"""),1.25)</f>
        <v>1.25</v>
      </c>
      <c r="J1595" s="1" t="str">
        <f ca="1">IFERROR(__xludf.DUMMYFUNCTION("""COMPUTED_VALUE"""),"KINGS CHOICE MUG")</f>
        <v>KINGS CHOICE MUG</v>
      </c>
      <c r="K1595" s="1">
        <f ca="1">IFERROR(__xludf.DUMMYFUNCTION("""COMPUTED_VALUE"""),6)</f>
        <v>6</v>
      </c>
      <c r="L1595" s="1">
        <f ca="1">IFERROR(__xludf.DUMMYFUNCTION("""COMPUTED_VALUE"""),1.25)</f>
        <v>1.25</v>
      </c>
      <c r="T1595" s="1">
        <f ca="1">IFERROR(__xludf.DUMMYFUNCTION("""COMPUTED_VALUE"""),489574)</f>
        <v>489574</v>
      </c>
      <c r="U1595" s="1">
        <f ca="1">IFERROR(__xludf.DUMMYFUNCTION("""COMPUTED_VALUE"""),7.5)</f>
        <v>7.5</v>
      </c>
    </row>
    <row r="1596" spans="1:21" ht="12.75" x14ac:dyDescent="0.2">
      <c r="A1596" s="3">
        <f ca="1">IFERROR(__xludf.DUMMYFUNCTION("""COMPUTED_VALUE"""),40148.5631944444)</f>
        <v>40148.563194444403</v>
      </c>
      <c r="B1596" s="1">
        <f ca="1">IFERROR(__xludf.DUMMYFUNCTION("""COMPUTED_VALUE"""),2.95)</f>
        <v>2.95</v>
      </c>
      <c r="J1596" s="1" t="str">
        <f ca="1">IFERROR(__xludf.DUMMYFUNCTION("""COMPUTED_VALUE"""),"PAPER CHAIN KIT RETRO SPOT")</f>
        <v>PAPER CHAIN KIT RETRO SPOT</v>
      </c>
      <c r="K1596" s="1">
        <f ca="1">IFERROR(__xludf.DUMMYFUNCTION("""COMPUTED_VALUE"""),5)</f>
        <v>5</v>
      </c>
      <c r="L1596" s="1">
        <f ca="1">IFERROR(__xludf.DUMMYFUNCTION("""COMPUTED_VALUE"""),2.95)</f>
        <v>2.95</v>
      </c>
      <c r="T1596" s="1">
        <f ca="1">IFERROR(__xludf.DUMMYFUNCTION("""COMPUTED_VALUE"""),489574)</f>
        <v>489574</v>
      </c>
      <c r="U1596" s="1">
        <f ca="1">IFERROR(__xludf.DUMMYFUNCTION("""COMPUTED_VALUE"""),14.75)</f>
        <v>14.75</v>
      </c>
    </row>
    <row r="1597" spans="1:21" ht="12.75" x14ac:dyDescent="0.2">
      <c r="A1597" s="3">
        <f ca="1">IFERROR(__xludf.DUMMYFUNCTION("""COMPUTED_VALUE"""),40148.5631944444)</f>
        <v>40148.563194444403</v>
      </c>
      <c r="B1597" s="1">
        <f ca="1">IFERROR(__xludf.DUMMYFUNCTION("""COMPUTED_VALUE"""),3.75)</f>
        <v>3.75</v>
      </c>
      <c r="J1597" s="1" t="str">
        <f ca="1">IFERROR(__xludf.DUMMYFUNCTION("""COMPUTED_VALUE"""),"GAOLERS KEYS DECORATIVE GARDEN")</f>
        <v>GAOLERS KEYS DECORATIVE GARDEN</v>
      </c>
      <c r="K1597" s="1">
        <f ca="1">IFERROR(__xludf.DUMMYFUNCTION("""COMPUTED_VALUE"""),4)</f>
        <v>4</v>
      </c>
      <c r="L1597" s="1">
        <f ca="1">IFERROR(__xludf.DUMMYFUNCTION("""COMPUTED_VALUE"""),3.75)</f>
        <v>3.75</v>
      </c>
      <c r="T1597" s="1">
        <f ca="1">IFERROR(__xludf.DUMMYFUNCTION("""COMPUTED_VALUE"""),489574)</f>
        <v>489574</v>
      </c>
      <c r="U1597" s="1">
        <f ca="1">IFERROR(__xludf.DUMMYFUNCTION("""COMPUTED_VALUE"""),15)</f>
        <v>15</v>
      </c>
    </row>
    <row r="1598" spans="1:21" ht="12.75" x14ac:dyDescent="0.2">
      <c r="A1598" s="3">
        <f ca="1">IFERROR(__xludf.DUMMYFUNCTION("""COMPUTED_VALUE"""),40148.5631944444)</f>
        <v>40148.563194444403</v>
      </c>
      <c r="B1598" s="1">
        <f ca="1">IFERROR(__xludf.DUMMYFUNCTION("""COMPUTED_VALUE"""),1.25)</f>
        <v>1.25</v>
      </c>
      <c r="J1598" s="1" t="str">
        <f ca="1">IFERROR(__xludf.DUMMYFUNCTION("""COMPUTED_VALUE"""),"FROG CANDLE")</f>
        <v>FROG CANDLE</v>
      </c>
      <c r="K1598" s="1">
        <f ca="1">IFERROR(__xludf.DUMMYFUNCTION("""COMPUTED_VALUE"""),4)</f>
        <v>4</v>
      </c>
      <c r="L1598" s="1">
        <f ca="1">IFERROR(__xludf.DUMMYFUNCTION("""COMPUTED_VALUE"""),1.25)</f>
        <v>1.25</v>
      </c>
      <c r="T1598" s="1">
        <f ca="1">IFERROR(__xludf.DUMMYFUNCTION("""COMPUTED_VALUE"""),489574)</f>
        <v>489574</v>
      </c>
      <c r="U1598" s="1">
        <f ca="1">IFERROR(__xludf.DUMMYFUNCTION("""COMPUTED_VALUE"""),5)</f>
        <v>5</v>
      </c>
    </row>
    <row r="1599" spans="1:21" ht="12.75" x14ac:dyDescent="0.2">
      <c r="A1599" s="3">
        <f ca="1">IFERROR(__xludf.DUMMYFUNCTION("""COMPUTED_VALUE"""),40148.5631944444)</f>
        <v>40148.563194444403</v>
      </c>
      <c r="B1599" s="1">
        <f ca="1">IFERROR(__xludf.DUMMYFUNCTION("""COMPUTED_VALUE"""),4.95)</f>
        <v>4.95</v>
      </c>
      <c r="J1599" s="1" t="str">
        <f ca="1">IFERROR(__xludf.DUMMYFUNCTION("""COMPUTED_VALUE"""),"BAKING SET 9 PIECE RETROSPOT")</f>
        <v>BAKING SET 9 PIECE RETROSPOT</v>
      </c>
      <c r="K1599" s="1">
        <f ca="1">IFERROR(__xludf.DUMMYFUNCTION("""COMPUTED_VALUE"""),4)</f>
        <v>4</v>
      </c>
      <c r="L1599" s="1">
        <f ca="1">IFERROR(__xludf.DUMMYFUNCTION("""COMPUTED_VALUE"""),4.95)</f>
        <v>4.95</v>
      </c>
      <c r="T1599" s="1">
        <f ca="1">IFERROR(__xludf.DUMMYFUNCTION("""COMPUTED_VALUE"""),489574)</f>
        <v>489574</v>
      </c>
      <c r="U1599" s="1">
        <f ca="1">IFERROR(__xludf.DUMMYFUNCTION("""COMPUTED_VALUE"""),19.8)</f>
        <v>19.8</v>
      </c>
    </row>
    <row r="1600" spans="1:21" ht="12.75" x14ac:dyDescent="0.2">
      <c r="A1600" s="3">
        <f ca="1">IFERROR(__xludf.DUMMYFUNCTION("""COMPUTED_VALUE"""),40148.5631944444)</f>
        <v>40148.563194444403</v>
      </c>
      <c r="B1600" s="1">
        <f ca="1">IFERROR(__xludf.DUMMYFUNCTION("""COMPUTED_VALUE"""),1.65)</f>
        <v>1.65</v>
      </c>
      <c r="J1600" s="1" t="str">
        <f ca="1">IFERROR(__xludf.DUMMYFUNCTION("""COMPUTED_VALUE"""),"GLASS CHICKEN BUTTER DISH")</f>
        <v>GLASS CHICKEN BUTTER DISH</v>
      </c>
      <c r="K1600" s="1">
        <f ca="1">IFERROR(__xludf.DUMMYFUNCTION("""COMPUTED_VALUE"""),4)</f>
        <v>4</v>
      </c>
      <c r="L1600" s="1">
        <f ca="1">IFERROR(__xludf.DUMMYFUNCTION("""COMPUTED_VALUE"""),1.65)</f>
        <v>1.65</v>
      </c>
      <c r="T1600" s="1">
        <f ca="1">IFERROR(__xludf.DUMMYFUNCTION("""COMPUTED_VALUE"""),489574)</f>
        <v>489574</v>
      </c>
      <c r="U1600" s="1">
        <f ca="1">IFERROR(__xludf.DUMMYFUNCTION("""COMPUTED_VALUE"""),6.6)</f>
        <v>6.6</v>
      </c>
    </row>
    <row r="1601" spans="1:21" ht="12.75" x14ac:dyDescent="0.2">
      <c r="A1601" s="3">
        <f ca="1">IFERROR(__xludf.DUMMYFUNCTION("""COMPUTED_VALUE"""),40148.5631944444)</f>
        <v>40148.563194444403</v>
      </c>
      <c r="B1601" s="1">
        <f ca="1">IFERROR(__xludf.DUMMYFUNCTION("""COMPUTED_VALUE"""),1.65)</f>
        <v>1.65</v>
      </c>
      <c r="J1601" s="1" t="str">
        <f ca="1">IFERROR(__xludf.DUMMYFUNCTION("""COMPUTED_VALUE"""),"GLASS CHICKEN BUTTER DISH")</f>
        <v>GLASS CHICKEN BUTTER DISH</v>
      </c>
      <c r="K1601" s="1">
        <f ca="1">IFERROR(__xludf.DUMMYFUNCTION("""COMPUTED_VALUE"""),4)</f>
        <v>4</v>
      </c>
      <c r="L1601" s="1">
        <f ca="1">IFERROR(__xludf.DUMMYFUNCTION("""COMPUTED_VALUE"""),1.65)</f>
        <v>1.65</v>
      </c>
      <c r="T1601" s="1">
        <f ca="1">IFERROR(__xludf.DUMMYFUNCTION("""COMPUTED_VALUE"""),489574)</f>
        <v>489574</v>
      </c>
      <c r="U1601" s="1">
        <f ca="1">IFERROR(__xludf.DUMMYFUNCTION("""COMPUTED_VALUE"""),6.6)</f>
        <v>6.6</v>
      </c>
    </row>
    <row r="1602" spans="1:21" ht="12.75" x14ac:dyDescent="0.2">
      <c r="A1602" s="3">
        <f ca="1">IFERROR(__xludf.DUMMYFUNCTION("""COMPUTED_VALUE"""),40148.5631944444)</f>
        <v>40148.563194444403</v>
      </c>
      <c r="B1602" s="1">
        <f ca="1">IFERROR(__xludf.DUMMYFUNCTION("""COMPUTED_VALUE"""),0.85)</f>
        <v>0.85</v>
      </c>
      <c r="J1602" s="1" t="str">
        <f ca="1">IFERROR(__xludf.DUMMYFUNCTION("""COMPUTED_VALUE"""),"LIGHT BIRD HOUSE TREE DECORATION")</f>
        <v>LIGHT BIRD HOUSE TREE DECORATION</v>
      </c>
      <c r="K1602" s="1">
        <f ca="1">IFERROR(__xludf.DUMMYFUNCTION("""COMPUTED_VALUE"""),4)</f>
        <v>4</v>
      </c>
      <c r="L1602" s="1">
        <f ca="1">IFERROR(__xludf.DUMMYFUNCTION("""COMPUTED_VALUE"""),0.85)</f>
        <v>0.85</v>
      </c>
      <c r="T1602" s="1">
        <f ca="1">IFERROR(__xludf.DUMMYFUNCTION("""COMPUTED_VALUE"""),489574)</f>
        <v>489574</v>
      </c>
      <c r="U1602" s="1">
        <f ca="1">IFERROR(__xludf.DUMMYFUNCTION("""COMPUTED_VALUE"""),3.4)</f>
        <v>3.4</v>
      </c>
    </row>
    <row r="1603" spans="1:21" ht="12.75" x14ac:dyDescent="0.2">
      <c r="A1603" s="3">
        <f ca="1">IFERROR(__xludf.DUMMYFUNCTION("""COMPUTED_VALUE"""),40148.5631944444)</f>
        <v>40148.563194444403</v>
      </c>
      <c r="B1603" s="1">
        <f ca="1">IFERROR(__xludf.DUMMYFUNCTION("""COMPUTED_VALUE"""),0.85)</f>
        <v>0.85</v>
      </c>
      <c r="J1603" s="1" t="str">
        <f ca="1">IFERROR(__xludf.DUMMYFUNCTION("""COMPUTED_VALUE"""),"DARK BIRD HOUSE TREE DECORATION")</f>
        <v>DARK BIRD HOUSE TREE DECORATION</v>
      </c>
      <c r="K1603" s="1">
        <f ca="1">IFERROR(__xludf.DUMMYFUNCTION("""COMPUTED_VALUE"""),4)</f>
        <v>4</v>
      </c>
      <c r="L1603" s="1">
        <f ca="1">IFERROR(__xludf.DUMMYFUNCTION("""COMPUTED_VALUE"""),0.85)</f>
        <v>0.85</v>
      </c>
      <c r="T1603" s="1">
        <f ca="1">IFERROR(__xludf.DUMMYFUNCTION("""COMPUTED_VALUE"""),489574)</f>
        <v>489574</v>
      </c>
      <c r="U1603" s="1">
        <f ca="1">IFERROR(__xludf.DUMMYFUNCTION("""COMPUTED_VALUE"""),3.4)</f>
        <v>3.4</v>
      </c>
    </row>
    <row r="1604" spans="1:21" ht="12.75" x14ac:dyDescent="0.2">
      <c r="A1604" s="3">
        <f ca="1">IFERROR(__xludf.DUMMYFUNCTION("""COMPUTED_VALUE"""),40148.5631944444)</f>
        <v>40148.563194444403</v>
      </c>
      <c r="B1604" s="1">
        <f ca="1">IFERROR(__xludf.DUMMYFUNCTION("""COMPUTED_VALUE"""),0.85)</f>
        <v>0.85</v>
      </c>
      <c r="J1604" s="1" t="str">
        <f ca="1">IFERROR(__xludf.DUMMYFUNCTION("""COMPUTED_VALUE"""),"SWISS CHALET TREE DECORATION")</f>
        <v>SWISS CHALET TREE DECORATION</v>
      </c>
      <c r="K1604" s="1">
        <f ca="1">IFERROR(__xludf.DUMMYFUNCTION("""COMPUTED_VALUE"""),4)</f>
        <v>4</v>
      </c>
      <c r="L1604" s="1">
        <f ca="1">IFERROR(__xludf.DUMMYFUNCTION("""COMPUTED_VALUE"""),0.85)</f>
        <v>0.85</v>
      </c>
      <c r="T1604" s="1">
        <f ca="1">IFERROR(__xludf.DUMMYFUNCTION("""COMPUTED_VALUE"""),489574)</f>
        <v>489574</v>
      </c>
      <c r="U1604" s="1">
        <f ca="1">IFERROR(__xludf.DUMMYFUNCTION("""COMPUTED_VALUE"""),3.4)</f>
        <v>3.4</v>
      </c>
    </row>
    <row r="1605" spans="1:21" ht="12.75" x14ac:dyDescent="0.2">
      <c r="A1605" s="3">
        <f ca="1">IFERROR(__xludf.DUMMYFUNCTION("""COMPUTED_VALUE"""),40148.5631944444)</f>
        <v>40148.563194444403</v>
      </c>
      <c r="B1605" s="1">
        <f ca="1">IFERROR(__xludf.DUMMYFUNCTION("""COMPUTED_VALUE"""),1.25)</f>
        <v>1.25</v>
      </c>
      <c r="J1605" s="1" t="str">
        <f ca="1">IFERROR(__xludf.DUMMYFUNCTION("""COMPUTED_VALUE"""),"STRAWBERRY CERAMIC TRINKET BOX")</f>
        <v>STRAWBERRY CERAMIC TRINKET BOX</v>
      </c>
      <c r="K1605" s="1">
        <f ca="1">IFERROR(__xludf.DUMMYFUNCTION("""COMPUTED_VALUE"""),4)</f>
        <v>4</v>
      </c>
      <c r="L1605" s="1">
        <f ca="1">IFERROR(__xludf.DUMMYFUNCTION("""COMPUTED_VALUE"""),1.25)</f>
        <v>1.25</v>
      </c>
      <c r="T1605" s="1">
        <f ca="1">IFERROR(__xludf.DUMMYFUNCTION("""COMPUTED_VALUE"""),489574)</f>
        <v>489574</v>
      </c>
      <c r="U1605" s="1">
        <f ca="1">IFERROR(__xludf.DUMMYFUNCTION("""COMPUTED_VALUE"""),5)</f>
        <v>5</v>
      </c>
    </row>
    <row r="1606" spans="1:21" ht="12.75" x14ac:dyDescent="0.2">
      <c r="A1606" s="3">
        <f ca="1">IFERROR(__xludf.DUMMYFUNCTION("""COMPUTED_VALUE"""),40148.5631944444)</f>
        <v>40148.563194444403</v>
      </c>
      <c r="B1606" s="1">
        <f ca="1">IFERROR(__xludf.DUMMYFUNCTION("""COMPUTED_VALUE"""),4.25)</f>
        <v>4.25</v>
      </c>
      <c r="J1606" s="1" t="str">
        <f ca="1">IFERROR(__xludf.DUMMYFUNCTION("""COMPUTED_VALUE"""),"POTTING SHED SEED TIN")</f>
        <v>POTTING SHED SEED TIN</v>
      </c>
      <c r="K1606" s="1">
        <f ca="1">IFERROR(__xludf.DUMMYFUNCTION("""COMPUTED_VALUE"""),3)</f>
        <v>3</v>
      </c>
      <c r="L1606" s="1">
        <f ca="1">IFERROR(__xludf.DUMMYFUNCTION("""COMPUTED_VALUE"""),4.25)</f>
        <v>4.25</v>
      </c>
      <c r="T1606" s="1">
        <f ca="1">IFERROR(__xludf.DUMMYFUNCTION("""COMPUTED_VALUE"""),489574)</f>
        <v>489574</v>
      </c>
      <c r="U1606" s="1">
        <f ca="1">IFERROR(__xludf.DUMMYFUNCTION("""COMPUTED_VALUE"""),12.75)</f>
        <v>12.75</v>
      </c>
    </row>
    <row r="1607" spans="1:21" ht="12.75" x14ac:dyDescent="0.2">
      <c r="A1607" s="3">
        <f ca="1">IFERROR(__xludf.DUMMYFUNCTION("""COMPUTED_VALUE"""),40148.5631944444)</f>
        <v>40148.563194444403</v>
      </c>
      <c r="B1607" s="1">
        <f ca="1">IFERROR(__xludf.DUMMYFUNCTION("""COMPUTED_VALUE"""),1.25)</f>
        <v>1.25</v>
      </c>
      <c r="J1607" s="1" t="str">
        <f ca="1">IFERROR(__xludf.DUMMYFUNCTION("""COMPUTED_VALUE"""),"MOTORING TISSUE BOX")</f>
        <v>MOTORING TISSUE BOX</v>
      </c>
      <c r="K1607" s="1">
        <f ca="1">IFERROR(__xludf.DUMMYFUNCTION("""COMPUTED_VALUE"""),3)</f>
        <v>3</v>
      </c>
      <c r="L1607" s="1">
        <f ca="1">IFERROR(__xludf.DUMMYFUNCTION("""COMPUTED_VALUE"""),1.25)</f>
        <v>1.25</v>
      </c>
      <c r="T1607" s="1">
        <f ca="1">IFERROR(__xludf.DUMMYFUNCTION("""COMPUTED_VALUE"""),489574)</f>
        <v>489574</v>
      </c>
      <c r="U1607" s="1">
        <f ca="1">IFERROR(__xludf.DUMMYFUNCTION("""COMPUTED_VALUE"""),3.75)</f>
        <v>3.75</v>
      </c>
    </row>
    <row r="1608" spans="1:21" ht="12.75" x14ac:dyDescent="0.2">
      <c r="A1608" s="3">
        <f ca="1">IFERROR(__xludf.DUMMYFUNCTION("""COMPUTED_VALUE"""),40148.5631944444)</f>
        <v>40148.563194444403</v>
      </c>
      <c r="B1608" s="1">
        <f ca="1">IFERROR(__xludf.DUMMYFUNCTION("""COMPUTED_VALUE"""),2.95)</f>
        <v>2.95</v>
      </c>
      <c r="J1608" s="1" t="str">
        <f ca="1">IFERROR(__xludf.DUMMYFUNCTION("""COMPUTED_VALUE"""),"COSY SLIPPER SHOES LARGE GREEN")</f>
        <v>COSY SLIPPER SHOES LARGE GREEN</v>
      </c>
      <c r="K1608" s="1">
        <f ca="1">IFERROR(__xludf.DUMMYFUNCTION("""COMPUTED_VALUE"""),3)</f>
        <v>3</v>
      </c>
      <c r="L1608" s="1">
        <f ca="1">IFERROR(__xludf.DUMMYFUNCTION("""COMPUTED_VALUE"""),2.95)</f>
        <v>2.95</v>
      </c>
      <c r="T1608" s="1">
        <f ca="1">IFERROR(__xludf.DUMMYFUNCTION("""COMPUTED_VALUE"""),489574)</f>
        <v>489574</v>
      </c>
      <c r="U1608" s="1">
        <f ca="1">IFERROR(__xludf.DUMMYFUNCTION("""COMPUTED_VALUE"""),8.85)</f>
        <v>8.85</v>
      </c>
    </row>
    <row r="1609" spans="1:21" ht="12.75" x14ac:dyDescent="0.2">
      <c r="A1609" s="3">
        <f ca="1">IFERROR(__xludf.DUMMYFUNCTION("""COMPUTED_VALUE"""),40148.5631944444)</f>
        <v>40148.563194444403</v>
      </c>
      <c r="B1609" s="1">
        <f ca="1">IFERROR(__xludf.DUMMYFUNCTION("""COMPUTED_VALUE"""),2.95)</f>
        <v>2.95</v>
      </c>
      <c r="J1609" s="1" t="str">
        <f ca="1">IFERROR(__xludf.DUMMYFUNCTION("""COMPUTED_VALUE"""),"COSY SLIPPER SHOES LARGE RED")</f>
        <v>COSY SLIPPER SHOES LARGE RED</v>
      </c>
      <c r="K1609" s="1">
        <f ca="1">IFERROR(__xludf.DUMMYFUNCTION("""COMPUTED_VALUE"""),3)</f>
        <v>3</v>
      </c>
      <c r="L1609" s="1">
        <f ca="1">IFERROR(__xludf.DUMMYFUNCTION("""COMPUTED_VALUE"""),2.95)</f>
        <v>2.95</v>
      </c>
      <c r="T1609" s="1">
        <f ca="1">IFERROR(__xludf.DUMMYFUNCTION("""COMPUTED_VALUE"""),489574)</f>
        <v>489574</v>
      </c>
      <c r="U1609" s="1">
        <f ca="1">IFERROR(__xludf.DUMMYFUNCTION("""COMPUTED_VALUE"""),8.85)</f>
        <v>8.85</v>
      </c>
    </row>
    <row r="1610" spans="1:21" ht="12.75" x14ac:dyDescent="0.2">
      <c r="A1610" s="3">
        <f ca="1">IFERROR(__xludf.DUMMYFUNCTION("""COMPUTED_VALUE"""),40148.5631944444)</f>
        <v>40148.563194444403</v>
      </c>
      <c r="B1610" s="1">
        <f ca="1">IFERROR(__xludf.DUMMYFUNCTION("""COMPUTED_VALUE"""),2.1)</f>
        <v>2.1</v>
      </c>
      <c r="J1610" s="1" t="str">
        <f ca="1">IFERROR(__xludf.DUMMYFUNCTION("""COMPUTED_VALUE"""),"HANGING FAIRY CAKE DECORATION")</f>
        <v>HANGING FAIRY CAKE DECORATION</v>
      </c>
      <c r="K1610" s="1">
        <f ca="1">IFERROR(__xludf.DUMMYFUNCTION("""COMPUTED_VALUE"""),3)</f>
        <v>3</v>
      </c>
      <c r="L1610" s="1">
        <f ca="1">IFERROR(__xludf.DUMMYFUNCTION("""COMPUTED_VALUE"""),2.1)</f>
        <v>2.1</v>
      </c>
      <c r="T1610" s="1">
        <f ca="1">IFERROR(__xludf.DUMMYFUNCTION("""COMPUTED_VALUE"""),489574)</f>
        <v>489574</v>
      </c>
      <c r="U1610" s="1">
        <f ca="1">IFERROR(__xludf.DUMMYFUNCTION("""COMPUTED_VALUE"""),6.3)</f>
        <v>6.3</v>
      </c>
    </row>
    <row r="1611" spans="1:21" ht="12.75" x14ac:dyDescent="0.2">
      <c r="A1611" s="3">
        <f ca="1">IFERROR(__xludf.DUMMYFUNCTION("""COMPUTED_VALUE"""),40148.5631944444)</f>
        <v>40148.563194444403</v>
      </c>
      <c r="B1611" s="1">
        <f ca="1">IFERROR(__xludf.DUMMYFUNCTION("""COMPUTED_VALUE"""),4.95)</f>
        <v>4.95</v>
      </c>
      <c r="J1611" s="1" t="str">
        <f ca="1">IFERROR(__xludf.DUMMYFUNCTION("""COMPUTED_VALUE"""),"DAIRY MAID LARGE MILK JUG")</f>
        <v>DAIRY MAID LARGE MILK JUG</v>
      </c>
      <c r="K1611" s="1">
        <f ca="1">IFERROR(__xludf.DUMMYFUNCTION("""COMPUTED_VALUE"""),3)</f>
        <v>3</v>
      </c>
      <c r="L1611" s="1">
        <f ca="1">IFERROR(__xludf.DUMMYFUNCTION("""COMPUTED_VALUE"""),4.95)</f>
        <v>4.95</v>
      </c>
      <c r="T1611" s="1">
        <f ca="1">IFERROR(__xludf.DUMMYFUNCTION("""COMPUTED_VALUE"""),489574)</f>
        <v>489574</v>
      </c>
      <c r="U1611" s="1">
        <f ca="1">IFERROR(__xludf.DUMMYFUNCTION("""COMPUTED_VALUE"""),14.85)</f>
        <v>14.85</v>
      </c>
    </row>
    <row r="1612" spans="1:21" ht="12.75" x14ac:dyDescent="0.2">
      <c r="A1612" s="3">
        <f ca="1">IFERROR(__xludf.DUMMYFUNCTION("""COMPUTED_VALUE"""),40148.5631944444)</f>
        <v>40148.563194444403</v>
      </c>
      <c r="B1612" s="1">
        <f ca="1">IFERROR(__xludf.DUMMYFUNCTION("""COMPUTED_VALUE"""),2.95)</f>
        <v>2.95</v>
      </c>
      <c r="J1612" s="1" t="str">
        <f ca="1">IFERROR(__xludf.DUMMYFUNCTION("""COMPUTED_VALUE"""),"MUSHROOM BLUE HOT WATER BOTTLE")</f>
        <v>MUSHROOM BLUE HOT WATER BOTTLE</v>
      </c>
      <c r="K1612" s="1">
        <f ca="1">IFERROR(__xludf.DUMMYFUNCTION("""COMPUTED_VALUE"""),3)</f>
        <v>3</v>
      </c>
      <c r="L1612" s="1">
        <f ca="1">IFERROR(__xludf.DUMMYFUNCTION("""COMPUTED_VALUE"""),2.95)</f>
        <v>2.95</v>
      </c>
      <c r="T1612" s="1">
        <f ca="1">IFERROR(__xludf.DUMMYFUNCTION("""COMPUTED_VALUE"""),489574)</f>
        <v>489574</v>
      </c>
      <c r="U1612" s="1">
        <f ca="1">IFERROR(__xludf.DUMMYFUNCTION("""COMPUTED_VALUE"""),8.85)</f>
        <v>8.85</v>
      </c>
    </row>
    <row r="1613" spans="1:21" ht="12.75" x14ac:dyDescent="0.2">
      <c r="A1613" s="3">
        <f ca="1">IFERROR(__xludf.DUMMYFUNCTION("""COMPUTED_VALUE"""),40148.5631944444)</f>
        <v>40148.563194444403</v>
      </c>
      <c r="B1613" s="1">
        <f ca="1">IFERROR(__xludf.DUMMYFUNCTION("""COMPUTED_VALUE"""),1.25)</f>
        <v>1.25</v>
      </c>
      <c r="J1613" s="1" t="str">
        <f ca="1">IFERROR(__xludf.DUMMYFUNCTION("""COMPUTED_VALUE"""),"CHRISTMAS TOILET ROLL")</f>
        <v>CHRISTMAS TOILET ROLL</v>
      </c>
      <c r="K1613" s="1">
        <f ca="1">IFERROR(__xludf.DUMMYFUNCTION("""COMPUTED_VALUE"""),3)</f>
        <v>3</v>
      </c>
      <c r="L1613" s="1">
        <f ca="1">IFERROR(__xludf.DUMMYFUNCTION("""COMPUTED_VALUE"""),1.25)</f>
        <v>1.25</v>
      </c>
      <c r="T1613" s="1">
        <f ca="1">IFERROR(__xludf.DUMMYFUNCTION("""COMPUTED_VALUE"""),489574)</f>
        <v>489574</v>
      </c>
      <c r="U1613" s="1">
        <f ca="1">IFERROR(__xludf.DUMMYFUNCTION("""COMPUTED_VALUE"""),3.75)</f>
        <v>3.75</v>
      </c>
    </row>
    <row r="1614" spans="1:21" ht="12.75" x14ac:dyDescent="0.2">
      <c r="A1614" s="3">
        <f ca="1">IFERROR(__xludf.DUMMYFUNCTION("""COMPUTED_VALUE"""),40148.5631944444)</f>
        <v>40148.563194444403</v>
      </c>
      <c r="B1614" s="1">
        <f ca="1">IFERROR(__xludf.DUMMYFUNCTION("""COMPUTED_VALUE"""),3.75)</f>
        <v>3.75</v>
      </c>
      <c r="J1614" s="1" t="str">
        <f ca="1">IFERROR(__xludf.DUMMYFUNCTION("""COMPUTED_VALUE"""),"BINGO SET")</f>
        <v>BINGO SET</v>
      </c>
      <c r="K1614" s="1">
        <f ca="1">IFERROR(__xludf.DUMMYFUNCTION("""COMPUTED_VALUE"""),3)</f>
        <v>3</v>
      </c>
      <c r="L1614" s="1">
        <f ca="1">IFERROR(__xludf.DUMMYFUNCTION("""COMPUTED_VALUE"""),3.75)</f>
        <v>3.75</v>
      </c>
      <c r="T1614" s="1">
        <f ca="1">IFERROR(__xludf.DUMMYFUNCTION("""COMPUTED_VALUE"""),489574)</f>
        <v>489574</v>
      </c>
      <c r="U1614" s="1">
        <f ca="1">IFERROR(__xludf.DUMMYFUNCTION("""COMPUTED_VALUE"""),11.25)</f>
        <v>11.25</v>
      </c>
    </row>
    <row r="1615" spans="1:21" ht="12.75" x14ac:dyDescent="0.2">
      <c r="A1615" s="3">
        <f ca="1">IFERROR(__xludf.DUMMYFUNCTION("""COMPUTED_VALUE"""),40148.5631944444)</f>
        <v>40148.563194444403</v>
      </c>
      <c r="B1615" s="1">
        <f ca="1">IFERROR(__xludf.DUMMYFUNCTION("""COMPUTED_VALUE"""),3.75)</f>
        <v>3.75</v>
      </c>
      <c r="J1615" s="1" t="str">
        <f ca="1">IFERROR(__xludf.DUMMYFUNCTION("""COMPUTED_VALUE"""),"VINTAGE SEASIDE JIGSAW PUZZLES")</f>
        <v>VINTAGE SEASIDE JIGSAW PUZZLES</v>
      </c>
      <c r="K1615" s="1">
        <f ca="1">IFERROR(__xludf.DUMMYFUNCTION("""COMPUTED_VALUE"""),3)</f>
        <v>3</v>
      </c>
      <c r="L1615" s="1">
        <f ca="1">IFERROR(__xludf.DUMMYFUNCTION("""COMPUTED_VALUE"""),3.75)</f>
        <v>3.75</v>
      </c>
      <c r="T1615" s="1">
        <f ca="1">IFERROR(__xludf.DUMMYFUNCTION("""COMPUTED_VALUE"""),489574)</f>
        <v>489574</v>
      </c>
      <c r="U1615" s="1">
        <f ca="1">IFERROR(__xludf.DUMMYFUNCTION("""COMPUTED_VALUE"""),11.25)</f>
        <v>11.25</v>
      </c>
    </row>
    <row r="1616" spans="1:21" ht="12.75" x14ac:dyDescent="0.2">
      <c r="A1616" s="3">
        <f ca="1">IFERROR(__xludf.DUMMYFUNCTION("""COMPUTED_VALUE"""),40148.5631944444)</f>
        <v>40148.563194444403</v>
      </c>
      <c r="B1616" s="1">
        <f ca="1">IFERROR(__xludf.DUMMYFUNCTION("""COMPUTED_VALUE"""),3.75)</f>
        <v>3.75</v>
      </c>
      <c r="J1616" s="1" t="str">
        <f ca="1">IFERROR(__xludf.DUMMYFUNCTION("""COMPUTED_VALUE"""),"VINTAGE SNAKES &amp; LADDERS")</f>
        <v>VINTAGE SNAKES &amp; LADDERS</v>
      </c>
      <c r="K1616" s="1">
        <f ca="1">IFERROR(__xludf.DUMMYFUNCTION("""COMPUTED_VALUE"""),3)</f>
        <v>3</v>
      </c>
      <c r="L1616" s="1">
        <f ca="1">IFERROR(__xludf.DUMMYFUNCTION("""COMPUTED_VALUE"""),3.75)</f>
        <v>3.75</v>
      </c>
      <c r="T1616" s="1">
        <f ca="1">IFERROR(__xludf.DUMMYFUNCTION("""COMPUTED_VALUE"""),489574)</f>
        <v>489574</v>
      </c>
      <c r="U1616" s="1">
        <f ca="1">IFERROR(__xludf.DUMMYFUNCTION("""COMPUTED_VALUE"""),11.25)</f>
        <v>11.25</v>
      </c>
    </row>
    <row r="1617" spans="1:21" ht="12.75" x14ac:dyDescent="0.2">
      <c r="A1617" s="3">
        <f ca="1">IFERROR(__xludf.DUMMYFUNCTION("""COMPUTED_VALUE"""),40148.5631944444)</f>
        <v>40148.563194444403</v>
      </c>
      <c r="B1617" s="1">
        <f ca="1">IFERROR(__xludf.DUMMYFUNCTION("""COMPUTED_VALUE"""),6.75)</f>
        <v>6.75</v>
      </c>
      <c r="J1617" s="1" t="str">
        <f ca="1">IFERROR(__xludf.DUMMYFUNCTION("""COMPUTED_VALUE"""),"SPOTTY  HOME SWEET HOME DOORMAT")</f>
        <v>SPOTTY  HOME SWEET HOME DOORMAT</v>
      </c>
      <c r="K1617" s="1">
        <f ca="1">IFERROR(__xludf.DUMMYFUNCTION("""COMPUTED_VALUE"""),2)</f>
        <v>2</v>
      </c>
      <c r="L1617" s="1">
        <f ca="1">IFERROR(__xludf.DUMMYFUNCTION("""COMPUTED_VALUE"""),6.75)</f>
        <v>6.75</v>
      </c>
      <c r="T1617" s="1">
        <f ca="1">IFERROR(__xludf.DUMMYFUNCTION("""COMPUTED_VALUE"""),489574)</f>
        <v>489574</v>
      </c>
      <c r="U1617" s="1">
        <f ca="1">IFERROR(__xludf.DUMMYFUNCTION("""COMPUTED_VALUE"""),13.5)</f>
        <v>13.5</v>
      </c>
    </row>
    <row r="1618" spans="1:21" ht="12.75" x14ac:dyDescent="0.2">
      <c r="A1618" s="3">
        <f ca="1">IFERROR(__xludf.DUMMYFUNCTION("""COMPUTED_VALUE"""),40148.5631944444)</f>
        <v>40148.563194444403</v>
      </c>
      <c r="B1618" s="1">
        <f ca="1">IFERROR(__xludf.DUMMYFUNCTION("""COMPUTED_VALUE"""),5.95)</f>
        <v>5.95</v>
      </c>
      <c r="J1618" s="1" t="str">
        <f ca="1">IFERROR(__xludf.DUMMYFUNCTION("""COMPUTED_VALUE"""),"RED/WHITE DOTS RUFFLED UMBRELLA")</f>
        <v>RED/WHITE DOTS RUFFLED UMBRELLA</v>
      </c>
      <c r="K1618" s="1">
        <f ca="1">IFERROR(__xludf.DUMMYFUNCTION("""COMPUTED_VALUE"""),2)</f>
        <v>2</v>
      </c>
      <c r="L1618" s="1">
        <f ca="1">IFERROR(__xludf.DUMMYFUNCTION("""COMPUTED_VALUE"""),5.95)</f>
        <v>5.95</v>
      </c>
      <c r="T1618" s="1">
        <f ca="1">IFERROR(__xludf.DUMMYFUNCTION("""COMPUTED_VALUE"""),489574)</f>
        <v>489574</v>
      </c>
      <c r="U1618" s="1">
        <f ca="1">IFERROR(__xludf.DUMMYFUNCTION("""COMPUTED_VALUE"""),11.9)</f>
        <v>11.9</v>
      </c>
    </row>
    <row r="1619" spans="1:21" ht="12.75" x14ac:dyDescent="0.2">
      <c r="A1619" s="3">
        <f ca="1">IFERROR(__xludf.DUMMYFUNCTION("""COMPUTED_VALUE"""),40148.5631944444)</f>
        <v>40148.563194444403</v>
      </c>
      <c r="B1619" s="1">
        <f ca="1">IFERROR(__xludf.DUMMYFUNCTION("""COMPUTED_VALUE"""),5.95)</f>
        <v>5.95</v>
      </c>
      <c r="J1619" s="1" t="str">
        <f ca="1">IFERROR(__xludf.DUMMYFUNCTION("""COMPUTED_VALUE"""),"PINK/BROWN DOTS RUFFLED UMBRELLA")</f>
        <v>PINK/BROWN DOTS RUFFLED UMBRELLA</v>
      </c>
      <c r="K1619" s="1">
        <f ca="1">IFERROR(__xludf.DUMMYFUNCTION("""COMPUTED_VALUE"""),2)</f>
        <v>2</v>
      </c>
      <c r="L1619" s="1">
        <f ca="1">IFERROR(__xludf.DUMMYFUNCTION("""COMPUTED_VALUE"""),5.95)</f>
        <v>5.95</v>
      </c>
      <c r="T1619" s="1">
        <f ca="1">IFERROR(__xludf.DUMMYFUNCTION("""COMPUTED_VALUE"""),489574)</f>
        <v>489574</v>
      </c>
      <c r="U1619" s="1">
        <f ca="1">IFERROR(__xludf.DUMMYFUNCTION("""COMPUTED_VALUE"""),11.9)</f>
        <v>11.9</v>
      </c>
    </row>
    <row r="1620" spans="1:21" ht="12.75" x14ac:dyDescent="0.2">
      <c r="A1620" s="3">
        <f ca="1">IFERROR(__xludf.DUMMYFUNCTION("""COMPUTED_VALUE"""),40148.5631944444)</f>
        <v>40148.563194444403</v>
      </c>
      <c r="B1620" s="1">
        <f ca="1">IFERROR(__xludf.DUMMYFUNCTION("""COMPUTED_VALUE"""),5.95)</f>
        <v>5.95</v>
      </c>
      <c r="J1620" s="1" t="str">
        <f ca="1">IFERROR(__xludf.DUMMYFUNCTION("""COMPUTED_VALUE"""),"BLUE/BROWN DOTS RUFFLED UMBRELLA")</f>
        <v>BLUE/BROWN DOTS RUFFLED UMBRELLA</v>
      </c>
      <c r="K1620" s="1">
        <f ca="1">IFERROR(__xludf.DUMMYFUNCTION("""COMPUTED_VALUE"""),2)</f>
        <v>2</v>
      </c>
      <c r="L1620" s="1">
        <f ca="1">IFERROR(__xludf.DUMMYFUNCTION("""COMPUTED_VALUE"""),5.95)</f>
        <v>5.95</v>
      </c>
      <c r="T1620" s="1">
        <f ca="1">IFERROR(__xludf.DUMMYFUNCTION("""COMPUTED_VALUE"""),489574)</f>
        <v>489574</v>
      </c>
      <c r="U1620" s="1">
        <f ca="1">IFERROR(__xludf.DUMMYFUNCTION("""COMPUTED_VALUE"""),11.9)</f>
        <v>11.9</v>
      </c>
    </row>
    <row r="1621" spans="1:21" ht="12.75" x14ac:dyDescent="0.2">
      <c r="A1621" s="3">
        <f ca="1">IFERROR(__xludf.DUMMYFUNCTION("""COMPUTED_VALUE"""),40148.5631944444)</f>
        <v>40148.563194444403</v>
      </c>
      <c r="B1621" s="1">
        <f ca="1">IFERROR(__xludf.DUMMYFUNCTION("""COMPUTED_VALUE"""),5.95)</f>
        <v>5.95</v>
      </c>
      <c r="J1621" s="1" t="str">
        <f ca="1">IFERROR(__xludf.DUMMYFUNCTION("""COMPUTED_VALUE"""),"BLACK/BLUE DOTS RUFFLED UMBRELLA")</f>
        <v>BLACK/BLUE DOTS RUFFLED UMBRELLA</v>
      </c>
      <c r="K1621" s="1">
        <f ca="1">IFERROR(__xludf.DUMMYFUNCTION("""COMPUTED_VALUE"""),2)</f>
        <v>2</v>
      </c>
      <c r="L1621" s="1">
        <f ca="1">IFERROR(__xludf.DUMMYFUNCTION("""COMPUTED_VALUE"""),5.95)</f>
        <v>5.95</v>
      </c>
      <c r="T1621" s="1">
        <f ca="1">IFERROR(__xludf.DUMMYFUNCTION("""COMPUTED_VALUE"""),489574)</f>
        <v>489574</v>
      </c>
      <c r="U1621" s="1">
        <f ca="1">IFERROR(__xludf.DUMMYFUNCTION("""COMPUTED_VALUE"""),11.9)</f>
        <v>11.9</v>
      </c>
    </row>
    <row r="1622" spans="1:21" ht="12.75" x14ac:dyDescent="0.2">
      <c r="A1622" s="3">
        <f ca="1">IFERROR(__xludf.DUMMYFUNCTION("""COMPUTED_VALUE"""),40148.5631944444)</f>
        <v>40148.563194444403</v>
      </c>
      <c r="B1622" s="1">
        <f ca="1">IFERROR(__xludf.DUMMYFUNCTION("""COMPUTED_VALUE"""),0.21)</f>
        <v>0.21</v>
      </c>
      <c r="J1622" s="1" t="str">
        <f ca="1">IFERROR(__xludf.DUMMYFUNCTION("""COMPUTED_VALUE"""),"LOVE POTION MASALA INCENSE")</f>
        <v>LOVE POTION MASALA INCENSE</v>
      </c>
      <c r="K1622" s="1">
        <f ca="1">IFERROR(__xludf.DUMMYFUNCTION("""COMPUTED_VALUE"""),2)</f>
        <v>2</v>
      </c>
      <c r="L1622" s="1">
        <f ca="1">IFERROR(__xludf.DUMMYFUNCTION("""COMPUTED_VALUE"""),0.21)</f>
        <v>0.21</v>
      </c>
      <c r="T1622" s="1">
        <f ca="1">IFERROR(__xludf.DUMMYFUNCTION("""COMPUTED_VALUE"""),489574)</f>
        <v>489574</v>
      </c>
      <c r="U1622" s="1">
        <f ca="1">IFERROR(__xludf.DUMMYFUNCTION("""COMPUTED_VALUE"""),0.42)</f>
        <v>0.42</v>
      </c>
    </row>
    <row r="1623" spans="1:21" ht="12.75" x14ac:dyDescent="0.2">
      <c r="A1623" s="3">
        <f ca="1">IFERROR(__xludf.DUMMYFUNCTION("""COMPUTED_VALUE"""),40148.5631944444)</f>
        <v>40148.563194444403</v>
      </c>
      <c r="B1623" s="1">
        <f ca="1">IFERROR(__xludf.DUMMYFUNCTION("""COMPUTED_VALUE"""),2.95)</f>
        <v>2.95</v>
      </c>
      <c r="J1623" s="1" t="str">
        <f ca="1">IFERROR(__xludf.DUMMYFUNCTION("""COMPUTED_VALUE"""),"PINK GLASS CANDLEHOLDER")</f>
        <v>PINK GLASS CANDLEHOLDER</v>
      </c>
      <c r="K1623" s="1">
        <f ca="1">IFERROR(__xludf.DUMMYFUNCTION("""COMPUTED_VALUE"""),2)</f>
        <v>2</v>
      </c>
      <c r="L1623" s="1">
        <f ca="1">IFERROR(__xludf.DUMMYFUNCTION("""COMPUTED_VALUE"""),2.95)</f>
        <v>2.95</v>
      </c>
      <c r="T1623" s="1">
        <f ca="1">IFERROR(__xludf.DUMMYFUNCTION("""COMPUTED_VALUE"""),489574)</f>
        <v>489574</v>
      </c>
      <c r="U1623" s="1">
        <f ca="1">IFERROR(__xludf.DUMMYFUNCTION("""COMPUTED_VALUE"""),5.9)</f>
        <v>5.9</v>
      </c>
    </row>
    <row r="1624" spans="1:21" ht="12.75" x14ac:dyDescent="0.2">
      <c r="A1624" s="3">
        <f ca="1">IFERROR(__xludf.DUMMYFUNCTION("""COMPUTED_VALUE"""),40148.5631944444)</f>
        <v>40148.563194444403</v>
      </c>
      <c r="B1624" s="1">
        <f ca="1">IFERROR(__xludf.DUMMYFUNCTION("""COMPUTED_VALUE"""),2.1)</f>
        <v>2.1</v>
      </c>
      <c r="J1624" s="1" t="str">
        <f ca="1">IFERROR(__xludf.DUMMYFUNCTION("""COMPUTED_VALUE"""),"COCKLE SHELL DISH")</f>
        <v>COCKLE SHELL DISH</v>
      </c>
      <c r="K1624" s="1">
        <f ca="1">IFERROR(__xludf.DUMMYFUNCTION("""COMPUTED_VALUE"""),2)</f>
        <v>2</v>
      </c>
      <c r="L1624" s="1">
        <f ca="1">IFERROR(__xludf.DUMMYFUNCTION("""COMPUTED_VALUE"""),2.1)</f>
        <v>2.1</v>
      </c>
      <c r="T1624" s="1">
        <f ca="1">IFERROR(__xludf.DUMMYFUNCTION("""COMPUTED_VALUE"""),489574)</f>
        <v>489574</v>
      </c>
      <c r="U1624" s="1">
        <f ca="1">IFERROR(__xludf.DUMMYFUNCTION("""COMPUTED_VALUE"""),4.2)</f>
        <v>4.2</v>
      </c>
    </row>
    <row r="1625" spans="1:21" ht="12.75" x14ac:dyDescent="0.2">
      <c r="A1625" s="3">
        <f ca="1">IFERROR(__xludf.DUMMYFUNCTION("""COMPUTED_VALUE"""),40148.5631944444)</f>
        <v>40148.563194444403</v>
      </c>
      <c r="B1625" s="1">
        <f ca="1">IFERROR(__xludf.DUMMYFUNCTION("""COMPUTED_VALUE"""),5.95)</f>
        <v>5.95</v>
      </c>
      <c r="J1625" s="1" t="str">
        <f ca="1">IFERROR(__xludf.DUMMYFUNCTION("""COMPUTED_VALUE"""),"UNION JACK HOT WATER BOTTLE")</f>
        <v>UNION JACK HOT WATER BOTTLE</v>
      </c>
      <c r="K1625" s="1">
        <f ca="1">IFERROR(__xludf.DUMMYFUNCTION("""COMPUTED_VALUE"""),2)</f>
        <v>2</v>
      </c>
      <c r="L1625" s="1">
        <f ca="1">IFERROR(__xludf.DUMMYFUNCTION("""COMPUTED_VALUE"""),5.95)</f>
        <v>5.95</v>
      </c>
      <c r="T1625" s="1">
        <f ca="1">IFERROR(__xludf.DUMMYFUNCTION("""COMPUTED_VALUE"""),489574)</f>
        <v>489574</v>
      </c>
      <c r="U1625" s="1">
        <f ca="1">IFERROR(__xludf.DUMMYFUNCTION("""COMPUTED_VALUE"""),11.9)</f>
        <v>11.9</v>
      </c>
    </row>
    <row r="1626" spans="1:21" ht="12.75" x14ac:dyDescent="0.2">
      <c r="A1626" s="3">
        <f ca="1">IFERROR(__xludf.DUMMYFUNCTION("""COMPUTED_VALUE"""),40148.5631944444)</f>
        <v>40148.563194444403</v>
      </c>
      <c r="B1626" s="1">
        <f ca="1">IFERROR(__xludf.DUMMYFUNCTION("""COMPUTED_VALUE"""),2.1)</f>
        <v>2.1</v>
      </c>
      <c r="J1626" s="1" t="str">
        <f ca="1">IFERROR(__xludf.DUMMYFUNCTION("""COMPUTED_VALUE"""),"AIRLINE LOUNGE,METAL SIGN")</f>
        <v>AIRLINE LOUNGE,METAL SIGN</v>
      </c>
      <c r="K1626" s="1">
        <f ca="1">IFERROR(__xludf.DUMMYFUNCTION("""COMPUTED_VALUE"""),2)</f>
        <v>2</v>
      </c>
      <c r="L1626" s="1">
        <f ca="1">IFERROR(__xludf.DUMMYFUNCTION("""COMPUTED_VALUE"""),2.1)</f>
        <v>2.1</v>
      </c>
      <c r="T1626" s="1">
        <f ca="1">IFERROR(__xludf.DUMMYFUNCTION("""COMPUTED_VALUE"""),489574)</f>
        <v>489574</v>
      </c>
      <c r="U1626" s="1">
        <f ca="1">IFERROR(__xludf.DUMMYFUNCTION("""COMPUTED_VALUE"""),4.2)</f>
        <v>4.2</v>
      </c>
    </row>
    <row r="1627" spans="1:21" ht="12.75" x14ac:dyDescent="0.2">
      <c r="A1627" s="3">
        <f ca="1">IFERROR(__xludf.DUMMYFUNCTION("""COMPUTED_VALUE"""),40148.5631944444)</f>
        <v>40148.563194444403</v>
      </c>
      <c r="B1627" s="1">
        <f ca="1">IFERROR(__xludf.DUMMYFUNCTION("""COMPUTED_VALUE"""),2.95)</f>
        <v>2.95</v>
      </c>
      <c r="J1627" s="1" t="str">
        <f ca="1">IFERROR(__xludf.DUMMYFUNCTION("""COMPUTED_VALUE"""),"PAPER BUNTING COLOURED LACE")</f>
        <v>PAPER BUNTING COLOURED LACE</v>
      </c>
      <c r="K1627" s="1">
        <f ca="1">IFERROR(__xludf.DUMMYFUNCTION("""COMPUTED_VALUE"""),2)</f>
        <v>2</v>
      </c>
      <c r="L1627" s="1">
        <f ca="1">IFERROR(__xludf.DUMMYFUNCTION("""COMPUTED_VALUE"""),2.95)</f>
        <v>2.95</v>
      </c>
      <c r="T1627" s="1">
        <f ca="1">IFERROR(__xludf.DUMMYFUNCTION("""COMPUTED_VALUE"""),489574)</f>
        <v>489574</v>
      </c>
      <c r="U1627" s="1">
        <f ca="1">IFERROR(__xludf.DUMMYFUNCTION("""COMPUTED_VALUE"""),5.9)</f>
        <v>5.9</v>
      </c>
    </row>
    <row r="1628" spans="1:21" ht="12.75" x14ac:dyDescent="0.2">
      <c r="A1628" s="3">
        <f ca="1">IFERROR(__xludf.DUMMYFUNCTION("""COMPUTED_VALUE"""),40148.5631944444)</f>
        <v>40148.563194444403</v>
      </c>
      <c r="B1628" s="1">
        <f ca="1">IFERROR(__xludf.DUMMYFUNCTION("""COMPUTED_VALUE"""),4.95)</f>
        <v>4.95</v>
      </c>
      <c r="J1628" s="1" t="str">
        <f ca="1">IFERROR(__xludf.DUMMYFUNCTION("""COMPUTED_VALUE"""),"CAKE PLATE LOVEBIRD WHITE")</f>
        <v>CAKE PLATE LOVEBIRD WHITE</v>
      </c>
      <c r="K1628" s="1">
        <f ca="1">IFERROR(__xludf.DUMMYFUNCTION("""COMPUTED_VALUE"""),2)</f>
        <v>2</v>
      </c>
      <c r="L1628" s="1">
        <f ca="1">IFERROR(__xludf.DUMMYFUNCTION("""COMPUTED_VALUE"""),4.95)</f>
        <v>4.95</v>
      </c>
      <c r="T1628" s="1">
        <f ca="1">IFERROR(__xludf.DUMMYFUNCTION("""COMPUTED_VALUE"""),489574)</f>
        <v>489574</v>
      </c>
      <c r="U1628" s="1">
        <f ca="1">IFERROR(__xludf.DUMMYFUNCTION("""COMPUTED_VALUE"""),9.9)</f>
        <v>9.9</v>
      </c>
    </row>
    <row r="1629" spans="1:21" ht="12.75" x14ac:dyDescent="0.2">
      <c r="A1629" s="3">
        <f ca="1">IFERROR(__xludf.DUMMYFUNCTION("""COMPUTED_VALUE"""),40148.5631944444)</f>
        <v>40148.563194444403</v>
      </c>
      <c r="B1629" s="1">
        <f ca="1">IFERROR(__xludf.DUMMYFUNCTION("""COMPUTED_VALUE"""),2.95)</f>
        <v>2.95</v>
      </c>
      <c r="J1629" s="1" t="str">
        <f ca="1">IFERROR(__xludf.DUMMYFUNCTION("""COMPUTED_VALUE"""),"FAWN BLUE HOT WATER BOTTLE")</f>
        <v>FAWN BLUE HOT WATER BOTTLE</v>
      </c>
      <c r="K1629" s="1">
        <f ca="1">IFERROR(__xludf.DUMMYFUNCTION("""COMPUTED_VALUE"""),2)</f>
        <v>2</v>
      </c>
      <c r="L1629" s="1">
        <f ca="1">IFERROR(__xludf.DUMMYFUNCTION("""COMPUTED_VALUE"""),2.95)</f>
        <v>2.95</v>
      </c>
      <c r="T1629" s="1">
        <f ca="1">IFERROR(__xludf.DUMMYFUNCTION("""COMPUTED_VALUE"""),489574)</f>
        <v>489574</v>
      </c>
      <c r="U1629" s="1">
        <f ca="1">IFERROR(__xludf.DUMMYFUNCTION("""COMPUTED_VALUE"""),5.9)</f>
        <v>5.9</v>
      </c>
    </row>
    <row r="1630" spans="1:21" ht="12.75" x14ac:dyDescent="0.2">
      <c r="A1630" s="3">
        <f ca="1">IFERROR(__xludf.DUMMYFUNCTION("""COMPUTED_VALUE"""),40148.5631944444)</f>
        <v>40148.563194444403</v>
      </c>
      <c r="B1630" s="1">
        <f ca="1">IFERROR(__xludf.DUMMYFUNCTION("""COMPUTED_VALUE"""),4.95)</f>
        <v>4.95</v>
      </c>
      <c r="J1630" s="1" t="str">
        <f ca="1">IFERROR(__xludf.DUMMYFUNCTION("""COMPUTED_VALUE"""),"SET/3 DECOUPAGE STACKING TINS")</f>
        <v>SET/3 DECOUPAGE STACKING TINS</v>
      </c>
      <c r="K1630" s="1">
        <f ca="1">IFERROR(__xludf.DUMMYFUNCTION("""COMPUTED_VALUE"""),2)</f>
        <v>2</v>
      </c>
      <c r="L1630" s="1">
        <f ca="1">IFERROR(__xludf.DUMMYFUNCTION("""COMPUTED_VALUE"""),4.95)</f>
        <v>4.95</v>
      </c>
      <c r="T1630" s="1">
        <f ca="1">IFERROR(__xludf.DUMMYFUNCTION("""COMPUTED_VALUE"""),489574)</f>
        <v>489574</v>
      </c>
      <c r="U1630" s="1">
        <f ca="1">IFERROR(__xludf.DUMMYFUNCTION("""COMPUTED_VALUE"""),9.9)</f>
        <v>9.9</v>
      </c>
    </row>
    <row r="1631" spans="1:21" ht="12.75" x14ac:dyDescent="0.2">
      <c r="A1631" s="3">
        <f ca="1">IFERROR(__xludf.DUMMYFUNCTION("""COMPUTED_VALUE"""),40148.5631944444)</f>
        <v>40148.563194444403</v>
      </c>
      <c r="B1631" s="1">
        <f ca="1">IFERROR(__xludf.DUMMYFUNCTION("""COMPUTED_VALUE"""),8.5)</f>
        <v>8.5</v>
      </c>
      <c r="J1631" s="1" t="str">
        <f ca="1">IFERROR(__xludf.DUMMYFUNCTION("""COMPUTED_VALUE"""),"CAKE STAND WHITE TWO TIER LACE")</f>
        <v>CAKE STAND WHITE TWO TIER LACE</v>
      </c>
      <c r="K1631" s="1">
        <f ca="1">IFERROR(__xludf.DUMMYFUNCTION("""COMPUTED_VALUE"""),2)</f>
        <v>2</v>
      </c>
      <c r="L1631" s="1">
        <f ca="1">IFERROR(__xludf.DUMMYFUNCTION("""COMPUTED_VALUE"""),8.5)</f>
        <v>8.5</v>
      </c>
      <c r="T1631" s="1">
        <f ca="1">IFERROR(__xludf.DUMMYFUNCTION("""COMPUTED_VALUE"""),489574)</f>
        <v>489574</v>
      </c>
      <c r="U1631" s="1">
        <f ca="1">IFERROR(__xludf.DUMMYFUNCTION("""COMPUTED_VALUE"""),17)</f>
        <v>17</v>
      </c>
    </row>
    <row r="1632" spans="1:21" ht="12.75" x14ac:dyDescent="0.2">
      <c r="A1632" s="3">
        <f ca="1">IFERROR(__xludf.DUMMYFUNCTION("""COMPUTED_VALUE"""),40148.5631944444)</f>
        <v>40148.563194444403</v>
      </c>
      <c r="B1632" s="1">
        <f ca="1">IFERROR(__xludf.DUMMYFUNCTION("""COMPUTED_VALUE"""),1.95)</f>
        <v>1.95</v>
      </c>
      <c r="J1632" s="1" t="str">
        <f ca="1">IFERROR(__xludf.DUMMYFUNCTION("""COMPUTED_VALUE"""),"SET OF THREE VINTAGE GIFT WRAPS")</f>
        <v>SET OF THREE VINTAGE GIFT WRAPS</v>
      </c>
      <c r="K1632" s="1">
        <f ca="1">IFERROR(__xludf.DUMMYFUNCTION("""COMPUTED_VALUE"""),2)</f>
        <v>2</v>
      </c>
      <c r="L1632" s="1">
        <f ca="1">IFERROR(__xludf.DUMMYFUNCTION("""COMPUTED_VALUE"""),1.95)</f>
        <v>1.95</v>
      </c>
      <c r="T1632" s="1">
        <f ca="1">IFERROR(__xludf.DUMMYFUNCTION("""COMPUTED_VALUE"""),489574)</f>
        <v>489574</v>
      </c>
      <c r="U1632" s="1">
        <f ca="1">IFERROR(__xludf.DUMMYFUNCTION("""COMPUTED_VALUE"""),3.9)</f>
        <v>3.9</v>
      </c>
    </row>
    <row r="1633" spans="1:21" ht="12.75" x14ac:dyDescent="0.2">
      <c r="A1633" s="3">
        <f ca="1">IFERROR(__xludf.DUMMYFUNCTION("""COMPUTED_VALUE"""),40148.5631944444)</f>
        <v>40148.563194444403</v>
      </c>
      <c r="B1633" s="1">
        <f ca="1">IFERROR(__xludf.DUMMYFUNCTION("""COMPUTED_VALUE"""),6.75)</f>
        <v>6.75</v>
      </c>
      <c r="J1633" s="1" t="str">
        <f ca="1">IFERROR(__xludf.DUMMYFUNCTION("""COMPUTED_VALUE"""),"DOOR MAT NEW ENGLAND")</f>
        <v>DOOR MAT NEW ENGLAND</v>
      </c>
      <c r="K1633" s="1">
        <f ca="1">IFERROR(__xludf.DUMMYFUNCTION("""COMPUTED_VALUE"""),1)</f>
        <v>1</v>
      </c>
      <c r="L1633" s="1">
        <f ca="1">IFERROR(__xludf.DUMMYFUNCTION("""COMPUTED_VALUE"""),6.75)</f>
        <v>6.75</v>
      </c>
      <c r="T1633" s="1">
        <f ca="1">IFERROR(__xludf.DUMMYFUNCTION("""COMPUTED_VALUE"""),489574)</f>
        <v>489574</v>
      </c>
      <c r="U1633" s="1">
        <f ca="1">IFERROR(__xludf.DUMMYFUNCTION("""COMPUTED_VALUE"""),6.75)</f>
        <v>6.75</v>
      </c>
    </row>
    <row r="1634" spans="1:21" ht="12.75" x14ac:dyDescent="0.2">
      <c r="A1634" s="3">
        <f ca="1">IFERROR(__xludf.DUMMYFUNCTION("""COMPUTED_VALUE"""),40148.5631944444)</f>
        <v>40148.563194444403</v>
      </c>
      <c r="B1634" s="1">
        <f ca="1">IFERROR(__xludf.DUMMYFUNCTION("""COMPUTED_VALUE"""),6.75)</f>
        <v>6.75</v>
      </c>
      <c r="J1634" s="1" t="str">
        <f ca="1">IFERROR(__xludf.DUMMYFUNCTION("""COMPUTED_VALUE"""),"DOOR MAT FAIRY CAKE")</f>
        <v>DOOR MAT FAIRY CAKE</v>
      </c>
      <c r="K1634" s="1">
        <f ca="1">IFERROR(__xludf.DUMMYFUNCTION("""COMPUTED_VALUE"""),1)</f>
        <v>1</v>
      </c>
      <c r="L1634" s="1">
        <f ca="1">IFERROR(__xludf.DUMMYFUNCTION("""COMPUTED_VALUE"""),6.75)</f>
        <v>6.75</v>
      </c>
      <c r="T1634" s="1">
        <f ca="1">IFERROR(__xludf.DUMMYFUNCTION("""COMPUTED_VALUE"""),489574)</f>
        <v>489574</v>
      </c>
      <c r="U1634" s="1">
        <f ca="1">IFERROR(__xludf.DUMMYFUNCTION("""COMPUTED_VALUE"""),6.75)</f>
        <v>6.75</v>
      </c>
    </row>
    <row r="1635" spans="1:21" ht="12.75" x14ac:dyDescent="0.2">
      <c r="A1635" s="3">
        <f ca="1">IFERROR(__xludf.DUMMYFUNCTION("""COMPUTED_VALUE"""),40148.5631944444)</f>
        <v>40148.563194444403</v>
      </c>
      <c r="B1635" s="1">
        <f ca="1">IFERROR(__xludf.DUMMYFUNCTION("""COMPUTED_VALUE"""),2.95)</f>
        <v>2.95</v>
      </c>
      <c r="J1635" s="1" t="str">
        <f ca="1">IFERROR(__xludf.DUMMYFUNCTION("""COMPUTED_VALUE"""),"SET/6 GARDEN GNOME T-LIGHT CANDLES")</f>
        <v>SET/6 GARDEN GNOME T-LIGHT CANDLES</v>
      </c>
      <c r="K1635" s="1">
        <f ca="1">IFERROR(__xludf.DUMMYFUNCTION("""COMPUTED_VALUE"""),1)</f>
        <v>1</v>
      </c>
      <c r="L1635" s="1">
        <f ca="1">IFERROR(__xludf.DUMMYFUNCTION("""COMPUTED_VALUE"""),2.95)</f>
        <v>2.95</v>
      </c>
      <c r="T1635" s="1">
        <f ca="1">IFERROR(__xludf.DUMMYFUNCTION("""COMPUTED_VALUE"""),489574)</f>
        <v>489574</v>
      </c>
      <c r="U1635" s="1">
        <f ca="1">IFERROR(__xludf.DUMMYFUNCTION("""COMPUTED_VALUE"""),2.95)</f>
        <v>2.95</v>
      </c>
    </row>
    <row r="1636" spans="1:21" ht="12.75" x14ac:dyDescent="0.2">
      <c r="A1636" s="3">
        <f ca="1">IFERROR(__xludf.DUMMYFUNCTION("""COMPUTED_VALUE"""),40148.5631944444)</f>
        <v>40148.563194444403</v>
      </c>
      <c r="B1636" s="1">
        <f ca="1">IFERROR(__xludf.DUMMYFUNCTION("""COMPUTED_VALUE"""),1.65)</f>
        <v>1.65</v>
      </c>
      <c r="J1636" s="1" t="str">
        <f ca="1">IFERROR(__xludf.DUMMYFUNCTION("""COMPUTED_VALUE"""),"SET/4 GARDEN ROSE DINNER CANDLE")</f>
        <v>SET/4 GARDEN ROSE DINNER CANDLE</v>
      </c>
      <c r="K1636" s="1">
        <f ca="1">IFERROR(__xludf.DUMMYFUNCTION("""COMPUTED_VALUE"""),1)</f>
        <v>1</v>
      </c>
      <c r="L1636" s="1">
        <f ca="1">IFERROR(__xludf.DUMMYFUNCTION("""COMPUTED_VALUE"""),1.65)</f>
        <v>1.65</v>
      </c>
      <c r="T1636" s="1">
        <f ca="1">IFERROR(__xludf.DUMMYFUNCTION("""COMPUTED_VALUE"""),489574)</f>
        <v>489574</v>
      </c>
      <c r="U1636" s="1">
        <f ca="1">IFERROR(__xludf.DUMMYFUNCTION("""COMPUTED_VALUE"""),1.65)</f>
        <v>1.65</v>
      </c>
    </row>
    <row r="1637" spans="1:21" ht="12.75" x14ac:dyDescent="0.2">
      <c r="A1637" s="3">
        <f ca="1">IFERROR(__xludf.DUMMYFUNCTION("""COMPUTED_VALUE"""),40148.5631944444)</f>
        <v>40148.563194444403</v>
      </c>
      <c r="B1637" s="1">
        <f ca="1">IFERROR(__xludf.DUMMYFUNCTION("""COMPUTED_VALUE"""),2.95)</f>
        <v>2.95</v>
      </c>
      <c r="J1637" s="1" t="str">
        <f ca="1">IFERROR(__xludf.DUMMYFUNCTION("""COMPUTED_VALUE"""),"PAPER BUNTING COLOURED LACE")</f>
        <v>PAPER BUNTING COLOURED LACE</v>
      </c>
      <c r="K1637" s="1">
        <f ca="1">IFERROR(__xludf.DUMMYFUNCTION("""COMPUTED_VALUE"""),1)</f>
        <v>1</v>
      </c>
      <c r="L1637" s="1">
        <f ca="1">IFERROR(__xludf.DUMMYFUNCTION("""COMPUTED_VALUE"""),2.95)</f>
        <v>2.95</v>
      </c>
      <c r="T1637" s="1">
        <f ca="1">IFERROR(__xludf.DUMMYFUNCTION("""COMPUTED_VALUE"""),489574)</f>
        <v>489574</v>
      </c>
      <c r="U1637" s="1">
        <f ca="1">IFERROR(__xludf.DUMMYFUNCTION("""COMPUTED_VALUE"""),2.95)</f>
        <v>2.95</v>
      </c>
    </row>
    <row r="1638" spans="1:21" ht="12.75" x14ac:dyDescent="0.2">
      <c r="A1638" s="3">
        <f ca="1">IFERROR(__xludf.DUMMYFUNCTION("""COMPUTED_VALUE"""),40148.5631944444)</f>
        <v>40148.563194444403</v>
      </c>
      <c r="B1638" s="1">
        <f ca="1">IFERROR(__xludf.DUMMYFUNCTION("""COMPUTED_VALUE"""),1.95)</f>
        <v>1.95</v>
      </c>
      <c r="J1638" s="1" t="str">
        <f ca="1">IFERROR(__xludf.DUMMYFUNCTION("""COMPUTED_VALUE"""),"SET/2 BLUE  NOODLE BASKETS")</f>
        <v>SET/2 BLUE  NOODLE BASKETS</v>
      </c>
      <c r="K1638" s="1">
        <f ca="1">IFERROR(__xludf.DUMMYFUNCTION("""COMPUTED_VALUE"""),1)</f>
        <v>1</v>
      </c>
      <c r="L1638" s="1">
        <f ca="1">IFERROR(__xludf.DUMMYFUNCTION("""COMPUTED_VALUE"""),1.95)</f>
        <v>1.95</v>
      </c>
      <c r="T1638" s="1">
        <f ca="1">IFERROR(__xludf.DUMMYFUNCTION("""COMPUTED_VALUE"""),489574)</f>
        <v>489574</v>
      </c>
      <c r="U1638" s="1">
        <f ca="1">IFERROR(__xludf.DUMMYFUNCTION("""COMPUTED_VALUE"""),1.95)</f>
        <v>1.95</v>
      </c>
    </row>
    <row r="1639" spans="1:21" ht="12.75" x14ac:dyDescent="0.2">
      <c r="A1639" s="3">
        <f ca="1">IFERROR(__xludf.DUMMYFUNCTION("""COMPUTED_VALUE"""),40148.5631944444)</f>
        <v>40148.563194444403</v>
      </c>
      <c r="B1639" s="1">
        <f ca="1">IFERROR(__xludf.DUMMYFUNCTION("""COMPUTED_VALUE"""),4.95)</f>
        <v>4.95</v>
      </c>
      <c r="J1639" s="1" t="str">
        <f ca="1">IFERROR(__xludf.DUMMYFUNCTION("""COMPUTED_VALUE"""),"SET/3 POLKA DOT STACKING TINS")</f>
        <v>SET/3 POLKA DOT STACKING TINS</v>
      </c>
      <c r="K1639" s="1">
        <f ca="1">IFERROR(__xludf.DUMMYFUNCTION("""COMPUTED_VALUE"""),1)</f>
        <v>1</v>
      </c>
      <c r="L1639" s="1">
        <f ca="1">IFERROR(__xludf.DUMMYFUNCTION("""COMPUTED_VALUE"""),4.95)</f>
        <v>4.95</v>
      </c>
      <c r="T1639" s="1">
        <f ca="1">IFERROR(__xludf.DUMMYFUNCTION("""COMPUTED_VALUE"""),489574)</f>
        <v>489574</v>
      </c>
      <c r="U1639" s="1">
        <f ca="1">IFERROR(__xludf.DUMMYFUNCTION("""COMPUTED_VALUE"""),4.95)</f>
        <v>4.95</v>
      </c>
    </row>
    <row r="1640" spans="1:21" ht="12.75" x14ac:dyDescent="0.2">
      <c r="A1640" s="3">
        <f ca="1">IFERROR(__xludf.DUMMYFUNCTION("""COMPUTED_VALUE"""),40148.5631944444)</f>
        <v>40148.563194444403</v>
      </c>
      <c r="B1640" s="1">
        <f ca="1">IFERROR(__xludf.DUMMYFUNCTION("""COMPUTED_VALUE"""),2.95)</f>
        <v>2.95</v>
      </c>
      <c r="J1640" s="1" t="str">
        <f ca="1">IFERROR(__xludf.DUMMYFUNCTION("""COMPUTED_VALUE"""),"CERAMIC BIRDHOUSE FINCH BLUE ROOF")</f>
        <v>CERAMIC BIRDHOUSE FINCH BLUE ROOF</v>
      </c>
      <c r="K1640" s="1">
        <f ca="1">IFERROR(__xludf.DUMMYFUNCTION("""COMPUTED_VALUE"""),1)</f>
        <v>1</v>
      </c>
      <c r="L1640" s="1">
        <f ca="1">IFERROR(__xludf.DUMMYFUNCTION("""COMPUTED_VALUE"""),2.95)</f>
        <v>2.95</v>
      </c>
      <c r="T1640" s="1">
        <f ca="1">IFERROR(__xludf.DUMMYFUNCTION("""COMPUTED_VALUE"""),489574)</f>
        <v>489574</v>
      </c>
      <c r="U1640" s="1">
        <f ca="1">IFERROR(__xludf.DUMMYFUNCTION("""COMPUTED_VALUE"""),2.95)</f>
        <v>2.95</v>
      </c>
    </row>
    <row r="1641" spans="1:21" ht="12.75" x14ac:dyDescent="0.2">
      <c r="A1641" s="3">
        <f ca="1">IFERROR(__xludf.DUMMYFUNCTION("""COMPUTED_VALUE"""),40148.5631944444)</f>
        <v>40148.563194444403</v>
      </c>
      <c r="B1641" s="1">
        <f ca="1">IFERROR(__xludf.DUMMYFUNCTION("""COMPUTED_VALUE"""),2.95)</f>
        <v>2.95</v>
      </c>
      <c r="J1641" s="1" t="str">
        <f ca="1">IFERROR(__xludf.DUMMYFUNCTION("""COMPUTED_VALUE"""),"CERAMIC BIRDHOUSE CRESTED TIT SMALL")</f>
        <v>CERAMIC BIRDHOUSE CRESTED TIT SMALL</v>
      </c>
      <c r="K1641" s="1">
        <f ca="1">IFERROR(__xludf.DUMMYFUNCTION("""COMPUTED_VALUE"""),1)</f>
        <v>1</v>
      </c>
      <c r="L1641" s="1">
        <f ca="1">IFERROR(__xludf.DUMMYFUNCTION("""COMPUTED_VALUE"""),2.95)</f>
        <v>2.95</v>
      </c>
      <c r="T1641" s="1">
        <f ca="1">IFERROR(__xludf.DUMMYFUNCTION("""COMPUTED_VALUE"""),489574)</f>
        <v>489574</v>
      </c>
      <c r="U1641" s="1">
        <f ca="1">IFERROR(__xludf.DUMMYFUNCTION("""COMPUTED_VALUE"""),2.95)</f>
        <v>2.95</v>
      </c>
    </row>
    <row r="1642" spans="1:21" ht="12.75" x14ac:dyDescent="0.2">
      <c r="A1642" s="3">
        <f ca="1">IFERROR(__xludf.DUMMYFUNCTION("""COMPUTED_VALUE"""),40148.5631944444)</f>
        <v>40148.563194444403</v>
      </c>
      <c r="B1642" s="1">
        <f ca="1">IFERROR(__xludf.DUMMYFUNCTION("""COMPUTED_VALUE"""),5.95)</f>
        <v>5.95</v>
      </c>
      <c r="J1642" s="1" t="str">
        <f ca="1">IFERROR(__xludf.DUMMYFUNCTION("""COMPUTED_VALUE"""),"CERAMIC BIRDHOUSE FINCH BLUE  LARGE")</f>
        <v>CERAMIC BIRDHOUSE FINCH BLUE  LARGE</v>
      </c>
      <c r="K1642" s="1">
        <f ca="1">IFERROR(__xludf.DUMMYFUNCTION("""COMPUTED_VALUE"""),1)</f>
        <v>1</v>
      </c>
      <c r="L1642" s="1">
        <f ca="1">IFERROR(__xludf.DUMMYFUNCTION("""COMPUTED_VALUE"""),5.95)</f>
        <v>5.95</v>
      </c>
      <c r="T1642" s="1">
        <f ca="1">IFERROR(__xludf.DUMMYFUNCTION("""COMPUTED_VALUE"""),489574)</f>
        <v>489574</v>
      </c>
      <c r="U1642" s="1">
        <f ca="1">IFERROR(__xludf.DUMMYFUNCTION("""COMPUTED_VALUE"""),5.95)</f>
        <v>5.95</v>
      </c>
    </row>
    <row r="1643" spans="1:21" ht="12.75" x14ac:dyDescent="0.2">
      <c r="A1643" s="3">
        <f ca="1">IFERROR(__xludf.DUMMYFUNCTION("""COMPUTED_VALUE"""),40148.5631944444)</f>
        <v>40148.563194444403</v>
      </c>
      <c r="B1643" s="1">
        <f ca="1">IFERROR(__xludf.DUMMYFUNCTION("""COMPUTED_VALUE"""),5.95)</f>
        <v>5.95</v>
      </c>
      <c r="J1643" s="1" t="str">
        <f ca="1">IFERROR(__xludf.DUMMYFUNCTION("""COMPUTED_VALUE"""),"CERAMIC BIRDHOUSE RED ROOF LARGE")</f>
        <v>CERAMIC BIRDHOUSE RED ROOF LARGE</v>
      </c>
      <c r="K1643" s="1">
        <f ca="1">IFERROR(__xludf.DUMMYFUNCTION("""COMPUTED_VALUE"""),1)</f>
        <v>1</v>
      </c>
      <c r="L1643" s="1">
        <f ca="1">IFERROR(__xludf.DUMMYFUNCTION("""COMPUTED_VALUE"""),5.95)</f>
        <v>5.95</v>
      </c>
      <c r="T1643" s="1">
        <f ca="1">IFERROR(__xludf.DUMMYFUNCTION("""COMPUTED_VALUE"""),489574)</f>
        <v>489574</v>
      </c>
      <c r="U1643" s="1">
        <f ca="1">IFERROR(__xludf.DUMMYFUNCTION("""COMPUTED_VALUE"""),5.95)</f>
        <v>5.95</v>
      </c>
    </row>
    <row r="1644" spans="1:21" ht="12.75" x14ac:dyDescent="0.2">
      <c r="A1644" s="3">
        <f ca="1">IFERROR(__xludf.DUMMYFUNCTION("""COMPUTED_VALUE"""),40148.5631944444)</f>
        <v>40148.563194444403</v>
      </c>
      <c r="B1644" s="1">
        <f ca="1">IFERROR(__xludf.DUMMYFUNCTION("""COMPUTED_VALUE"""),1.25)</f>
        <v>1.25</v>
      </c>
      <c r="J1644" s="1" t="str">
        <f ca="1">IFERROR(__xludf.DUMMYFUNCTION("""COMPUTED_VALUE"""),"SWEETHEART CERAMIC TRINKET BOX")</f>
        <v>SWEETHEART CERAMIC TRINKET BOX</v>
      </c>
      <c r="K1644" s="1">
        <f ca="1">IFERROR(__xludf.DUMMYFUNCTION("""COMPUTED_VALUE"""),1)</f>
        <v>1</v>
      </c>
      <c r="L1644" s="1">
        <f ca="1">IFERROR(__xludf.DUMMYFUNCTION("""COMPUTED_VALUE"""),1.25)</f>
        <v>1.25</v>
      </c>
      <c r="T1644" s="1">
        <f ca="1">IFERROR(__xludf.DUMMYFUNCTION("""COMPUTED_VALUE"""),489574)</f>
        <v>489574</v>
      </c>
      <c r="U1644" s="1">
        <f ca="1">IFERROR(__xludf.DUMMYFUNCTION("""COMPUTED_VALUE"""),1.25)</f>
        <v>1.25</v>
      </c>
    </row>
    <row r="1645" spans="1:21" ht="12.75" x14ac:dyDescent="0.2">
      <c r="A1645" s="3">
        <f ca="1">IFERROR(__xludf.DUMMYFUNCTION("""COMPUTED_VALUE"""),40148.5673611111)</f>
        <v>40148.567361111098</v>
      </c>
      <c r="B1645" s="1">
        <f ca="1">IFERROR(__xludf.DUMMYFUNCTION("""COMPUTED_VALUE"""),0.19)</f>
        <v>0.19</v>
      </c>
      <c r="J1645" s="1" t="str">
        <f ca="1">IFERROR(__xludf.DUMMYFUNCTION("""COMPUTED_VALUE"""),"SMALLFOLKART BAUBLE CHRISTMAS DEC")</f>
        <v>SMALLFOLKART BAUBLE CHRISTMAS DEC</v>
      </c>
      <c r="K1645" s="1">
        <f ca="1">IFERROR(__xludf.DUMMYFUNCTION("""COMPUTED_VALUE"""),96)</f>
        <v>96</v>
      </c>
      <c r="L1645" s="1">
        <f ca="1">IFERROR(__xludf.DUMMYFUNCTION("""COMPUTED_VALUE"""),0.19)</f>
        <v>0.19</v>
      </c>
      <c r="T1645" s="1">
        <f ca="1">IFERROR(__xludf.DUMMYFUNCTION("""COMPUTED_VALUE"""),489575)</f>
        <v>489575</v>
      </c>
      <c r="U1645" s="1">
        <f ca="1">IFERROR(__xludf.DUMMYFUNCTION("""COMPUTED_VALUE"""),18.24)</f>
        <v>18.239999999999998</v>
      </c>
    </row>
    <row r="1646" spans="1:21" ht="12.75" x14ac:dyDescent="0.2">
      <c r="A1646" s="3">
        <f ca="1">IFERROR(__xludf.DUMMYFUNCTION("""COMPUTED_VALUE"""),40148.5673611111)</f>
        <v>40148.567361111098</v>
      </c>
      <c r="B1646" s="1">
        <f ca="1">IFERROR(__xludf.DUMMYFUNCTION("""COMPUTED_VALUE"""),0.38)</f>
        <v>0.38</v>
      </c>
      <c r="J1646" s="1" t="str">
        <f ca="1">IFERROR(__xludf.DUMMYFUNCTION("""COMPUTED_VALUE"""),"FOLKART BAUBLE CHRISTMAS DECORATION")</f>
        <v>FOLKART BAUBLE CHRISTMAS DECORATION</v>
      </c>
      <c r="K1646" s="1">
        <f ca="1">IFERROR(__xludf.DUMMYFUNCTION("""COMPUTED_VALUE"""),48)</f>
        <v>48</v>
      </c>
      <c r="L1646" s="1">
        <f ca="1">IFERROR(__xludf.DUMMYFUNCTION("""COMPUTED_VALUE"""),0.38)</f>
        <v>0.38</v>
      </c>
      <c r="T1646" s="1">
        <f ca="1">IFERROR(__xludf.DUMMYFUNCTION("""COMPUTED_VALUE"""),489575)</f>
        <v>489575</v>
      </c>
      <c r="U1646" s="1">
        <f ca="1">IFERROR(__xludf.DUMMYFUNCTION("""COMPUTED_VALUE"""),18.24)</f>
        <v>18.239999999999998</v>
      </c>
    </row>
    <row r="1647" spans="1:21" ht="12.75" x14ac:dyDescent="0.2">
      <c r="A1647" s="3">
        <f ca="1">IFERROR(__xludf.DUMMYFUNCTION("""COMPUTED_VALUE"""),40148.5673611111)</f>
        <v>40148.567361111098</v>
      </c>
      <c r="B1647" s="1">
        <f ca="1">IFERROR(__xludf.DUMMYFUNCTION("""COMPUTED_VALUE"""),0.55)</f>
        <v>0.55000000000000004</v>
      </c>
      <c r="J1647" s="1" t="str">
        <f ca="1">IFERROR(__xludf.DUMMYFUNCTION("""COMPUTED_VALUE"""),"60 TEATIME FAIRY CAKE CASES")</f>
        <v>60 TEATIME FAIRY CAKE CASES</v>
      </c>
      <c r="K1647" s="1">
        <f ca="1">IFERROR(__xludf.DUMMYFUNCTION("""COMPUTED_VALUE"""),24)</f>
        <v>24</v>
      </c>
      <c r="L1647" s="1">
        <f ca="1">IFERROR(__xludf.DUMMYFUNCTION("""COMPUTED_VALUE"""),0.55)</f>
        <v>0.55000000000000004</v>
      </c>
      <c r="T1647" s="1">
        <f ca="1">IFERROR(__xludf.DUMMYFUNCTION("""COMPUTED_VALUE"""),489575)</f>
        <v>489575</v>
      </c>
      <c r="U1647" s="1">
        <f ca="1">IFERROR(__xludf.DUMMYFUNCTION("""COMPUTED_VALUE"""),13.2)</f>
        <v>13.2</v>
      </c>
    </row>
    <row r="1648" spans="1:21" ht="12.75" x14ac:dyDescent="0.2">
      <c r="A1648" s="3">
        <f ca="1">IFERROR(__xludf.DUMMYFUNCTION("""COMPUTED_VALUE"""),40148.5673611111)</f>
        <v>40148.567361111098</v>
      </c>
      <c r="B1648" s="1">
        <f ca="1">IFERROR(__xludf.DUMMYFUNCTION("""COMPUTED_VALUE"""),1.25)</f>
        <v>1.25</v>
      </c>
      <c r="J1648" s="1" t="str">
        <f ca="1">IFERROR(__xludf.DUMMYFUNCTION("""COMPUTED_VALUE"""),"STRAWBERRY CERAMIC TRINKET BOX")</f>
        <v>STRAWBERRY CERAMIC TRINKET BOX</v>
      </c>
      <c r="K1648" s="1">
        <f ca="1">IFERROR(__xludf.DUMMYFUNCTION("""COMPUTED_VALUE"""),12)</f>
        <v>12</v>
      </c>
      <c r="L1648" s="1">
        <f ca="1">IFERROR(__xludf.DUMMYFUNCTION("""COMPUTED_VALUE"""),1.25)</f>
        <v>1.25</v>
      </c>
      <c r="T1648" s="1">
        <f ca="1">IFERROR(__xludf.DUMMYFUNCTION("""COMPUTED_VALUE"""),489575)</f>
        <v>489575</v>
      </c>
      <c r="U1648" s="1">
        <f ca="1">IFERROR(__xludf.DUMMYFUNCTION("""COMPUTED_VALUE"""),15)</f>
        <v>15</v>
      </c>
    </row>
    <row r="1649" spans="1:21" ht="12.75" x14ac:dyDescent="0.2">
      <c r="A1649" s="3">
        <f ca="1">IFERROR(__xludf.DUMMYFUNCTION("""COMPUTED_VALUE"""),40148.5673611111)</f>
        <v>40148.567361111098</v>
      </c>
      <c r="B1649" s="1">
        <f ca="1">IFERROR(__xludf.DUMMYFUNCTION("""COMPUTED_VALUE"""),1.65)</f>
        <v>1.65</v>
      </c>
      <c r="J1649" s="1" t="str">
        <f ca="1">IFERROR(__xludf.DUMMYFUNCTION("""COMPUTED_VALUE"""),"BROWN  PIRATE TREASURE CHEST")</f>
        <v>BROWN  PIRATE TREASURE CHEST</v>
      </c>
      <c r="K1649" s="1">
        <f ca="1">IFERROR(__xludf.DUMMYFUNCTION("""COMPUTED_VALUE"""),12)</f>
        <v>12</v>
      </c>
      <c r="L1649" s="1">
        <f ca="1">IFERROR(__xludf.DUMMYFUNCTION("""COMPUTED_VALUE"""),1.65)</f>
        <v>1.65</v>
      </c>
      <c r="T1649" s="1">
        <f ca="1">IFERROR(__xludf.DUMMYFUNCTION("""COMPUTED_VALUE"""),489575)</f>
        <v>489575</v>
      </c>
      <c r="U1649" s="1">
        <f ca="1">IFERROR(__xludf.DUMMYFUNCTION("""COMPUTED_VALUE"""),19.7999999999999)</f>
        <v>19.799999999999901</v>
      </c>
    </row>
    <row r="1650" spans="1:21" ht="12.75" x14ac:dyDescent="0.2">
      <c r="A1650" s="3">
        <f ca="1">IFERROR(__xludf.DUMMYFUNCTION("""COMPUTED_VALUE"""),40148.5673611111)</f>
        <v>40148.567361111098</v>
      </c>
      <c r="B1650" s="1">
        <f ca="1">IFERROR(__xludf.DUMMYFUNCTION("""COMPUTED_VALUE"""),1.25)</f>
        <v>1.25</v>
      </c>
      <c r="J1650" s="1" t="str">
        <f ca="1">IFERROR(__xludf.DUMMYFUNCTION("""COMPUTED_VALUE"""),"CHRISTMAS TOILET ROLL")</f>
        <v>CHRISTMAS TOILET ROLL</v>
      </c>
      <c r="K1650" s="1">
        <f ca="1">IFERROR(__xludf.DUMMYFUNCTION("""COMPUTED_VALUE"""),12)</f>
        <v>12</v>
      </c>
      <c r="L1650" s="1">
        <f ca="1">IFERROR(__xludf.DUMMYFUNCTION("""COMPUTED_VALUE"""),1.25)</f>
        <v>1.25</v>
      </c>
      <c r="T1650" s="1">
        <f ca="1">IFERROR(__xludf.DUMMYFUNCTION("""COMPUTED_VALUE"""),489575)</f>
        <v>489575</v>
      </c>
      <c r="U1650" s="1">
        <f ca="1">IFERROR(__xludf.DUMMYFUNCTION("""COMPUTED_VALUE"""),15)</f>
        <v>15</v>
      </c>
    </row>
    <row r="1651" spans="1:21" ht="12.75" x14ac:dyDescent="0.2">
      <c r="A1651" s="3">
        <f ca="1">IFERROR(__xludf.DUMMYFUNCTION("""COMPUTED_VALUE"""),40148.5673611111)</f>
        <v>40148.567361111098</v>
      </c>
      <c r="B1651" s="1">
        <f ca="1">IFERROR(__xludf.DUMMYFUNCTION("""COMPUTED_VALUE"""),1.65)</f>
        <v>1.65</v>
      </c>
      <c r="J1651" s="1" t="str">
        <f ca="1">IFERROR(__xludf.DUMMYFUNCTION("""COMPUTED_VALUE"""),"PINK DOUGHNUT TRINKET POT")</f>
        <v>PINK DOUGHNUT TRINKET POT</v>
      </c>
      <c r="K1651" s="1">
        <f ca="1">IFERROR(__xludf.DUMMYFUNCTION("""COMPUTED_VALUE"""),12)</f>
        <v>12</v>
      </c>
      <c r="L1651" s="1">
        <f ca="1">IFERROR(__xludf.DUMMYFUNCTION("""COMPUTED_VALUE"""),1.65)</f>
        <v>1.65</v>
      </c>
      <c r="T1651" s="1">
        <f ca="1">IFERROR(__xludf.DUMMYFUNCTION("""COMPUTED_VALUE"""),489575)</f>
        <v>489575</v>
      </c>
      <c r="U1651" s="1">
        <f ca="1">IFERROR(__xludf.DUMMYFUNCTION("""COMPUTED_VALUE"""),19.7999999999999)</f>
        <v>19.799999999999901</v>
      </c>
    </row>
    <row r="1652" spans="1:21" ht="12.75" x14ac:dyDescent="0.2">
      <c r="A1652" s="3">
        <f ca="1">IFERROR(__xludf.DUMMYFUNCTION("""COMPUTED_VALUE"""),40148.5673611111)</f>
        <v>40148.567361111098</v>
      </c>
      <c r="B1652" s="1">
        <f ca="1">IFERROR(__xludf.DUMMYFUNCTION("""COMPUTED_VALUE"""),1.65)</f>
        <v>1.65</v>
      </c>
      <c r="J1652" s="1" t="str">
        <f ca="1">IFERROR(__xludf.DUMMYFUNCTION("""COMPUTED_VALUE"""),"RED TOADSTOOL LED NIGHT LIGHT")</f>
        <v>RED TOADSTOOL LED NIGHT LIGHT</v>
      </c>
      <c r="K1652" s="1">
        <f ca="1">IFERROR(__xludf.DUMMYFUNCTION("""COMPUTED_VALUE"""),12)</f>
        <v>12</v>
      </c>
      <c r="L1652" s="1">
        <f ca="1">IFERROR(__xludf.DUMMYFUNCTION("""COMPUTED_VALUE"""),1.65)</f>
        <v>1.65</v>
      </c>
      <c r="T1652" s="1">
        <f ca="1">IFERROR(__xludf.DUMMYFUNCTION("""COMPUTED_VALUE"""),489575)</f>
        <v>489575</v>
      </c>
      <c r="U1652" s="1">
        <f ca="1">IFERROR(__xludf.DUMMYFUNCTION("""COMPUTED_VALUE"""),19.7999999999999)</f>
        <v>19.799999999999901</v>
      </c>
    </row>
    <row r="1653" spans="1:21" ht="12.75" x14ac:dyDescent="0.2">
      <c r="A1653" s="3">
        <f ca="1">IFERROR(__xludf.DUMMYFUNCTION("""COMPUTED_VALUE"""),40148.5673611111)</f>
        <v>40148.567361111098</v>
      </c>
      <c r="B1653" s="1">
        <f ca="1">IFERROR(__xludf.DUMMYFUNCTION("""COMPUTED_VALUE"""),1.95)</f>
        <v>1.95</v>
      </c>
      <c r="J1653" s="1" t="str">
        <f ca="1">IFERROR(__xludf.DUMMYFUNCTION("""COMPUTED_VALUE"""),"PINK FAIRY CAKE CHILD'S APRON")</f>
        <v>PINK FAIRY CAKE CHILD'S APRON</v>
      </c>
      <c r="K1653" s="1">
        <f ca="1">IFERROR(__xludf.DUMMYFUNCTION("""COMPUTED_VALUE"""),8)</f>
        <v>8</v>
      </c>
      <c r="L1653" s="1">
        <f ca="1">IFERROR(__xludf.DUMMYFUNCTION("""COMPUTED_VALUE"""),1.95)</f>
        <v>1.95</v>
      </c>
      <c r="T1653" s="1">
        <f ca="1">IFERROR(__xludf.DUMMYFUNCTION("""COMPUTED_VALUE"""),489575)</f>
        <v>489575</v>
      </c>
      <c r="U1653" s="1">
        <f ca="1">IFERROR(__xludf.DUMMYFUNCTION("""COMPUTED_VALUE"""),15.6)</f>
        <v>15.6</v>
      </c>
    </row>
    <row r="1654" spans="1:21" ht="12.75" x14ac:dyDescent="0.2">
      <c r="A1654" s="3">
        <f ca="1">IFERROR(__xludf.DUMMYFUNCTION("""COMPUTED_VALUE"""),40148.5673611111)</f>
        <v>40148.567361111098</v>
      </c>
      <c r="B1654" s="1">
        <f ca="1">IFERROR(__xludf.DUMMYFUNCTION("""COMPUTED_VALUE"""),1.95)</f>
        <v>1.95</v>
      </c>
      <c r="J1654" s="1" t="str">
        <f ca="1">IFERROR(__xludf.DUMMYFUNCTION("""COMPUTED_VALUE"""),"BLUE FAIRY CAKE CHILD'S APRON")</f>
        <v>BLUE FAIRY CAKE CHILD'S APRON</v>
      </c>
      <c r="K1654" s="1">
        <f ca="1">IFERROR(__xludf.DUMMYFUNCTION("""COMPUTED_VALUE"""),8)</f>
        <v>8</v>
      </c>
      <c r="L1654" s="1">
        <f ca="1">IFERROR(__xludf.DUMMYFUNCTION("""COMPUTED_VALUE"""),1.95)</f>
        <v>1.95</v>
      </c>
      <c r="T1654" s="1">
        <f ca="1">IFERROR(__xludf.DUMMYFUNCTION("""COMPUTED_VALUE"""),489575)</f>
        <v>489575</v>
      </c>
      <c r="U1654" s="1">
        <f ca="1">IFERROR(__xludf.DUMMYFUNCTION("""COMPUTED_VALUE"""),15.6)</f>
        <v>15.6</v>
      </c>
    </row>
    <row r="1655" spans="1:21" ht="12.75" x14ac:dyDescent="0.2">
      <c r="A1655" s="3">
        <f ca="1">IFERROR(__xludf.DUMMYFUNCTION("""COMPUTED_VALUE"""),40148.5673611111)</f>
        <v>40148.567361111098</v>
      </c>
      <c r="B1655" s="1">
        <f ca="1">IFERROR(__xludf.DUMMYFUNCTION("""COMPUTED_VALUE"""),2.55)</f>
        <v>2.5499999999999998</v>
      </c>
      <c r="J1655" s="1" t="str">
        <f ca="1">IFERROR(__xludf.DUMMYFUNCTION("""COMPUTED_VALUE"""),"LADIES &amp; GENTLEMEN METAL SIGN")</f>
        <v>LADIES &amp; GENTLEMEN METAL SIGN</v>
      </c>
      <c r="K1655" s="1">
        <f ca="1">IFERROR(__xludf.DUMMYFUNCTION("""COMPUTED_VALUE"""),6)</f>
        <v>6</v>
      </c>
      <c r="L1655" s="1">
        <f ca="1">IFERROR(__xludf.DUMMYFUNCTION("""COMPUTED_VALUE"""),2.55)</f>
        <v>2.5499999999999998</v>
      </c>
      <c r="T1655" s="1">
        <f ca="1">IFERROR(__xludf.DUMMYFUNCTION("""COMPUTED_VALUE"""),489575)</f>
        <v>489575</v>
      </c>
      <c r="U1655" s="1">
        <f ca="1">IFERROR(__xludf.DUMMYFUNCTION("""COMPUTED_VALUE"""),15.2999999999999)</f>
        <v>15.299999999999899</v>
      </c>
    </row>
    <row r="1656" spans="1:21" ht="12.75" x14ac:dyDescent="0.2">
      <c r="A1656" s="3">
        <f ca="1">IFERROR(__xludf.DUMMYFUNCTION("""COMPUTED_VALUE"""),40148.5673611111)</f>
        <v>40148.567361111098</v>
      </c>
      <c r="B1656" s="1">
        <f ca="1">IFERROR(__xludf.DUMMYFUNCTION("""COMPUTED_VALUE"""),3.75)</f>
        <v>3.75</v>
      </c>
      <c r="J1656" s="1" t="str">
        <f ca="1">IFERROR(__xludf.DUMMYFUNCTION("""COMPUTED_VALUE"""),"GREEN 3 PIECE MINI DOTS CUTLERY SET")</f>
        <v>GREEN 3 PIECE MINI DOTS CUTLERY SET</v>
      </c>
      <c r="K1656" s="1">
        <f ca="1">IFERROR(__xludf.DUMMYFUNCTION("""COMPUTED_VALUE"""),6)</f>
        <v>6</v>
      </c>
      <c r="L1656" s="1">
        <f ca="1">IFERROR(__xludf.DUMMYFUNCTION("""COMPUTED_VALUE"""),3.75)</f>
        <v>3.75</v>
      </c>
      <c r="T1656" s="1">
        <f ca="1">IFERROR(__xludf.DUMMYFUNCTION("""COMPUTED_VALUE"""),489575)</f>
        <v>489575</v>
      </c>
      <c r="U1656" s="1">
        <f ca="1">IFERROR(__xludf.DUMMYFUNCTION("""COMPUTED_VALUE"""),22.5)</f>
        <v>22.5</v>
      </c>
    </row>
    <row r="1657" spans="1:21" ht="12.75" x14ac:dyDescent="0.2">
      <c r="A1657" s="3">
        <f ca="1">IFERROR(__xludf.DUMMYFUNCTION("""COMPUTED_VALUE"""),40148.5673611111)</f>
        <v>40148.567361111098</v>
      </c>
      <c r="B1657" s="1">
        <f ca="1">IFERROR(__xludf.DUMMYFUNCTION("""COMPUTED_VALUE"""),3.75)</f>
        <v>3.75</v>
      </c>
      <c r="J1657" s="1" t="str">
        <f ca="1">IFERROR(__xludf.DUMMYFUNCTION("""COMPUTED_VALUE"""),"RED 3 PIECE MINI DOTS CUTLERY SET")</f>
        <v>RED 3 PIECE MINI DOTS CUTLERY SET</v>
      </c>
      <c r="K1657" s="1">
        <f ca="1">IFERROR(__xludf.DUMMYFUNCTION("""COMPUTED_VALUE"""),6)</f>
        <v>6</v>
      </c>
      <c r="L1657" s="1">
        <f ca="1">IFERROR(__xludf.DUMMYFUNCTION("""COMPUTED_VALUE"""),3.75)</f>
        <v>3.75</v>
      </c>
      <c r="T1657" s="1">
        <f ca="1">IFERROR(__xludf.DUMMYFUNCTION("""COMPUTED_VALUE"""),489575)</f>
        <v>489575</v>
      </c>
      <c r="U1657" s="1">
        <f ca="1">IFERROR(__xludf.DUMMYFUNCTION("""COMPUTED_VALUE"""),22.5)</f>
        <v>22.5</v>
      </c>
    </row>
    <row r="1658" spans="1:21" ht="12.75" x14ac:dyDescent="0.2">
      <c r="A1658" s="3">
        <f ca="1">IFERROR(__xludf.DUMMYFUNCTION("""COMPUTED_VALUE"""),40148.5673611111)</f>
        <v>40148.567361111098</v>
      </c>
      <c r="B1658" s="1">
        <f ca="1">IFERROR(__xludf.DUMMYFUNCTION("""COMPUTED_VALUE"""),2.1)</f>
        <v>2.1</v>
      </c>
      <c r="J1658" s="1" t="str">
        <f ca="1">IFERROR(__xludf.DUMMYFUNCTION("""COMPUTED_VALUE"""),"GIN + TONIC DIET METAL SIGN")</f>
        <v>GIN + TONIC DIET METAL SIGN</v>
      </c>
      <c r="K1658" s="1">
        <f ca="1">IFERROR(__xludf.DUMMYFUNCTION("""COMPUTED_VALUE"""),6)</f>
        <v>6</v>
      </c>
      <c r="L1658" s="1">
        <f ca="1">IFERROR(__xludf.DUMMYFUNCTION("""COMPUTED_VALUE"""),2.1)</f>
        <v>2.1</v>
      </c>
      <c r="T1658" s="1">
        <f ca="1">IFERROR(__xludf.DUMMYFUNCTION("""COMPUTED_VALUE"""),489575)</f>
        <v>489575</v>
      </c>
      <c r="U1658" s="1">
        <f ca="1">IFERROR(__xludf.DUMMYFUNCTION("""COMPUTED_VALUE"""),12.6)</f>
        <v>12.6</v>
      </c>
    </row>
    <row r="1659" spans="1:21" ht="12.75" x14ac:dyDescent="0.2">
      <c r="A1659" s="3">
        <f ca="1">IFERROR(__xludf.DUMMYFUNCTION("""COMPUTED_VALUE"""),40148.5673611111)</f>
        <v>40148.567361111098</v>
      </c>
      <c r="B1659" s="1">
        <f ca="1">IFERROR(__xludf.DUMMYFUNCTION("""COMPUTED_VALUE"""),2.95)</f>
        <v>2.95</v>
      </c>
      <c r="J1659" s="1" t="str">
        <f ca="1">IFERROR(__xludf.DUMMYFUNCTION("""COMPUTED_VALUE"""),"STAR PORTABLE TABLE LIGHT")</f>
        <v>STAR PORTABLE TABLE LIGHT</v>
      </c>
      <c r="K1659" s="1">
        <f ca="1">IFERROR(__xludf.DUMMYFUNCTION("""COMPUTED_VALUE"""),6)</f>
        <v>6</v>
      </c>
      <c r="L1659" s="1">
        <f ca="1">IFERROR(__xludf.DUMMYFUNCTION("""COMPUTED_VALUE"""),2.95)</f>
        <v>2.95</v>
      </c>
      <c r="T1659" s="1">
        <f ca="1">IFERROR(__xludf.DUMMYFUNCTION("""COMPUTED_VALUE"""),489575)</f>
        <v>489575</v>
      </c>
      <c r="U1659" s="1">
        <f ca="1">IFERROR(__xludf.DUMMYFUNCTION("""COMPUTED_VALUE"""),17.7)</f>
        <v>17.7</v>
      </c>
    </row>
    <row r="1660" spans="1:21" ht="12.75" x14ac:dyDescent="0.2">
      <c r="A1660" s="3">
        <f ca="1">IFERROR(__xludf.DUMMYFUNCTION("""COMPUTED_VALUE"""),40148.5673611111)</f>
        <v>40148.567361111098</v>
      </c>
      <c r="B1660" s="1">
        <f ca="1">IFERROR(__xludf.DUMMYFUNCTION("""COMPUTED_VALUE"""),2.95)</f>
        <v>2.95</v>
      </c>
      <c r="J1660" s="1" t="str">
        <f ca="1">IFERROR(__xludf.DUMMYFUNCTION("""COMPUTED_VALUE"""),"SNOWFLAKE PORTABLE TABLE LIGHT")</f>
        <v>SNOWFLAKE PORTABLE TABLE LIGHT</v>
      </c>
      <c r="K1660" s="1">
        <f ca="1">IFERROR(__xludf.DUMMYFUNCTION("""COMPUTED_VALUE"""),6)</f>
        <v>6</v>
      </c>
      <c r="L1660" s="1">
        <f ca="1">IFERROR(__xludf.DUMMYFUNCTION("""COMPUTED_VALUE"""),2.95)</f>
        <v>2.95</v>
      </c>
      <c r="T1660" s="1">
        <f ca="1">IFERROR(__xludf.DUMMYFUNCTION("""COMPUTED_VALUE"""),489575)</f>
        <v>489575</v>
      </c>
      <c r="U1660" s="1">
        <f ca="1">IFERROR(__xludf.DUMMYFUNCTION("""COMPUTED_VALUE"""),17.7)</f>
        <v>17.7</v>
      </c>
    </row>
    <row r="1661" spans="1:21" ht="12.75" x14ac:dyDescent="0.2">
      <c r="A1661" s="3">
        <f ca="1">IFERROR(__xludf.DUMMYFUNCTION("""COMPUTED_VALUE"""),40148.5673611111)</f>
        <v>40148.567361111098</v>
      </c>
      <c r="B1661" s="1">
        <f ca="1">IFERROR(__xludf.DUMMYFUNCTION("""COMPUTED_VALUE"""),2.95)</f>
        <v>2.95</v>
      </c>
      <c r="J1661" s="1" t="str">
        <f ca="1">IFERROR(__xludf.DUMMYFUNCTION("""COMPUTED_VALUE"""),"MUSHROOM BLUE HOT WATER BOTTLE")</f>
        <v>MUSHROOM BLUE HOT WATER BOTTLE</v>
      </c>
      <c r="K1661" s="1">
        <f ca="1">IFERROR(__xludf.DUMMYFUNCTION("""COMPUTED_VALUE"""),6)</f>
        <v>6</v>
      </c>
      <c r="L1661" s="1">
        <f ca="1">IFERROR(__xludf.DUMMYFUNCTION("""COMPUTED_VALUE"""),2.95)</f>
        <v>2.95</v>
      </c>
      <c r="T1661" s="1">
        <f ca="1">IFERROR(__xludf.DUMMYFUNCTION("""COMPUTED_VALUE"""),489575)</f>
        <v>489575</v>
      </c>
      <c r="U1661" s="1">
        <f ca="1">IFERROR(__xludf.DUMMYFUNCTION("""COMPUTED_VALUE"""),17.7)</f>
        <v>17.7</v>
      </c>
    </row>
    <row r="1662" spans="1:21" ht="12.75" x14ac:dyDescent="0.2">
      <c r="A1662" s="3">
        <f ca="1">IFERROR(__xludf.DUMMYFUNCTION("""COMPUTED_VALUE"""),40148.5673611111)</f>
        <v>40148.567361111098</v>
      </c>
      <c r="B1662" s="1">
        <f ca="1">IFERROR(__xludf.DUMMYFUNCTION("""COMPUTED_VALUE"""),2.95)</f>
        <v>2.95</v>
      </c>
      <c r="J1662" s="1" t="str">
        <f ca="1">IFERROR(__xludf.DUMMYFUNCTION("""COMPUTED_VALUE"""),"FAWN BLUE HOT WATER BOTTLE")</f>
        <v>FAWN BLUE HOT WATER BOTTLE</v>
      </c>
      <c r="K1662" s="1">
        <f ca="1">IFERROR(__xludf.DUMMYFUNCTION("""COMPUTED_VALUE"""),6)</f>
        <v>6</v>
      </c>
      <c r="L1662" s="1">
        <f ca="1">IFERROR(__xludf.DUMMYFUNCTION("""COMPUTED_VALUE"""),2.95)</f>
        <v>2.95</v>
      </c>
      <c r="T1662" s="1">
        <f ca="1">IFERROR(__xludf.DUMMYFUNCTION("""COMPUTED_VALUE"""),489575)</f>
        <v>489575</v>
      </c>
      <c r="U1662" s="1">
        <f ca="1">IFERROR(__xludf.DUMMYFUNCTION("""COMPUTED_VALUE"""),17.7)</f>
        <v>17.7</v>
      </c>
    </row>
    <row r="1663" spans="1:21" ht="12.75" x14ac:dyDescent="0.2">
      <c r="A1663" s="3">
        <f ca="1">IFERROR(__xludf.DUMMYFUNCTION("""COMPUTED_VALUE"""),40148.5673611111)</f>
        <v>40148.567361111098</v>
      </c>
      <c r="B1663" s="1">
        <f ca="1">IFERROR(__xludf.DUMMYFUNCTION("""COMPUTED_VALUE"""),4.95)</f>
        <v>4.95</v>
      </c>
      <c r="J1663" s="1" t="str">
        <f ca="1">IFERROR(__xludf.DUMMYFUNCTION("""COMPUTED_VALUE"""),"BAKING SET 9 PIECE RETROSPOT")</f>
        <v>BAKING SET 9 PIECE RETROSPOT</v>
      </c>
      <c r="K1663" s="1">
        <f ca="1">IFERROR(__xludf.DUMMYFUNCTION("""COMPUTED_VALUE"""),3)</f>
        <v>3</v>
      </c>
      <c r="L1663" s="1">
        <f ca="1">IFERROR(__xludf.DUMMYFUNCTION("""COMPUTED_VALUE"""),4.95)</f>
        <v>4.95</v>
      </c>
      <c r="T1663" s="1">
        <f ca="1">IFERROR(__xludf.DUMMYFUNCTION("""COMPUTED_VALUE"""),489575)</f>
        <v>489575</v>
      </c>
      <c r="U1663" s="1">
        <f ca="1">IFERROR(__xludf.DUMMYFUNCTION("""COMPUTED_VALUE"""),14.85)</f>
        <v>14.85</v>
      </c>
    </row>
    <row r="1664" spans="1:21" ht="12.75" x14ac:dyDescent="0.2">
      <c r="A1664" s="3">
        <f ca="1">IFERROR(__xludf.DUMMYFUNCTION("""COMPUTED_VALUE"""),40148.5673611111)</f>
        <v>40148.567361111098</v>
      </c>
      <c r="B1664" s="1">
        <f ca="1">IFERROR(__xludf.DUMMYFUNCTION("""COMPUTED_VALUE"""),6.75)</f>
        <v>6.75</v>
      </c>
      <c r="J1664" s="1" t="str">
        <f ca="1">IFERROR(__xludf.DUMMYFUNCTION("""COMPUTED_VALUE"""),"DOOR MAT 3 SMILEY CATS")</f>
        <v>DOOR MAT 3 SMILEY CATS</v>
      </c>
      <c r="K1664" s="1">
        <f ca="1">IFERROR(__xludf.DUMMYFUNCTION("""COMPUTED_VALUE"""),2)</f>
        <v>2</v>
      </c>
      <c r="L1664" s="1">
        <f ca="1">IFERROR(__xludf.DUMMYFUNCTION("""COMPUTED_VALUE"""),6.75)</f>
        <v>6.75</v>
      </c>
      <c r="T1664" s="1">
        <f ca="1">IFERROR(__xludf.DUMMYFUNCTION("""COMPUTED_VALUE"""),489575)</f>
        <v>489575</v>
      </c>
      <c r="U1664" s="1">
        <f ca="1">IFERROR(__xludf.DUMMYFUNCTION("""COMPUTED_VALUE"""),13.5)</f>
        <v>13.5</v>
      </c>
    </row>
    <row r="1665" spans="1:21" ht="12.75" x14ac:dyDescent="0.2">
      <c r="A1665" s="3">
        <f ca="1">IFERROR(__xludf.DUMMYFUNCTION("""COMPUTED_VALUE"""),40148.5673611111)</f>
        <v>40148.567361111098</v>
      </c>
      <c r="B1665" s="1">
        <f ca="1">IFERROR(__xludf.DUMMYFUNCTION("""COMPUTED_VALUE"""),8.5)</f>
        <v>8.5</v>
      </c>
      <c r="J1665" s="1" t="str">
        <f ca="1">IFERROR(__xludf.DUMMYFUNCTION("""COMPUTED_VALUE"""),"CAKE STAND WHITE TWO TIER LACE")</f>
        <v>CAKE STAND WHITE TWO TIER LACE</v>
      </c>
      <c r="K1665" s="1">
        <f ca="1">IFERROR(__xludf.DUMMYFUNCTION("""COMPUTED_VALUE"""),2)</f>
        <v>2</v>
      </c>
      <c r="L1665" s="1">
        <f ca="1">IFERROR(__xludf.DUMMYFUNCTION("""COMPUTED_VALUE"""),8.5)</f>
        <v>8.5</v>
      </c>
      <c r="T1665" s="1">
        <f ca="1">IFERROR(__xludf.DUMMYFUNCTION("""COMPUTED_VALUE"""),489575)</f>
        <v>489575</v>
      </c>
      <c r="U1665" s="1">
        <f ca="1">IFERROR(__xludf.DUMMYFUNCTION("""COMPUTED_VALUE"""),17)</f>
        <v>17</v>
      </c>
    </row>
    <row r="1666" spans="1:21" ht="12.75" x14ac:dyDescent="0.2">
      <c r="A1666" s="3">
        <f ca="1">IFERROR(__xludf.DUMMYFUNCTION("""COMPUTED_VALUE"""),40148.5673611111)</f>
        <v>40148.567361111098</v>
      </c>
      <c r="B1666" s="1">
        <f ca="1">IFERROR(__xludf.DUMMYFUNCTION("""COMPUTED_VALUE"""),7.95)</f>
        <v>7.95</v>
      </c>
      <c r="J1666" s="1" t="str">
        <f ca="1">IFERROR(__xludf.DUMMYFUNCTION("""COMPUTED_VALUE"""),"WHITE TISSUE REAM")</f>
        <v>WHITE TISSUE REAM</v>
      </c>
      <c r="K1666" s="1">
        <f ca="1">IFERROR(__xludf.DUMMYFUNCTION("""COMPUTED_VALUE"""),1)</f>
        <v>1</v>
      </c>
      <c r="L1666" s="1">
        <f ca="1">IFERROR(__xludf.DUMMYFUNCTION("""COMPUTED_VALUE"""),7.95)</f>
        <v>7.95</v>
      </c>
      <c r="T1666" s="1">
        <f ca="1">IFERROR(__xludf.DUMMYFUNCTION("""COMPUTED_VALUE"""),489575)</f>
        <v>489575</v>
      </c>
      <c r="U1666" s="1">
        <f ca="1">IFERROR(__xludf.DUMMYFUNCTION("""COMPUTED_VALUE"""),7.95)</f>
        <v>7.95</v>
      </c>
    </row>
    <row r="1667" spans="1:21" ht="12.75" x14ac:dyDescent="0.2">
      <c r="A1667" s="3">
        <f ca="1">IFERROR(__xludf.DUMMYFUNCTION("""COMPUTED_VALUE"""),40148.5680555555)</f>
        <v>40148.568055555501</v>
      </c>
      <c r="B1667" s="1">
        <f ca="1">IFERROR(__xludf.DUMMYFUNCTION("""COMPUTED_VALUE"""),0.42)</f>
        <v>0.42</v>
      </c>
      <c r="J1667" s="1" t="str">
        <f ca="1">IFERROR(__xludf.DUMMYFUNCTION("""COMPUTED_VALUE"""),"PLACE SETTING WHITE STAR")</f>
        <v>PLACE SETTING WHITE STAR</v>
      </c>
      <c r="K1667" s="1">
        <f ca="1">IFERROR(__xludf.DUMMYFUNCTION("""COMPUTED_VALUE"""),24)</f>
        <v>24</v>
      </c>
      <c r="L1667" s="1">
        <f ca="1">IFERROR(__xludf.DUMMYFUNCTION("""COMPUTED_VALUE"""),0.42)</f>
        <v>0.42</v>
      </c>
      <c r="T1667" s="1">
        <f ca="1">IFERROR(__xludf.DUMMYFUNCTION("""COMPUTED_VALUE"""),489576)</f>
        <v>489576</v>
      </c>
      <c r="U1667" s="1">
        <f ca="1">IFERROR(__xludf.DUMMYFUNCTION("""COMPUTED_VALUE"""),10.08)</f>
        <v>10.08</v>
      </c>
    </row>
    <row r="1668" spans="1:21" ht="12.75" x14ac:dyDescent="0.2">
      <c r="A1668" s="3">
        <f ca="1">IFERROR(__xludf.DUMMYFUNCTION("""COMPUTED_VALUE"""),40148.5680555555)</f>
        <v>40148.568055555501</v>
      </c>
      <c r="B1668" s="1">
        <f ca="1">IFERROR(__xludf.DUMMYFUNCTION("""COMPUTED_VALUE"""),0.85)</f>
        <v>0.85</v>
      </c>
      <c r="J1668" s="1" t="str">
        <f ca="1">IFERROR(__xludf.DUMMYFUNCTION("""COMPUTED_VALUE"""),"IVORY HANGING DECORATION  HEART")</f>
        <v>IVORY HANGING DECORATION  HEART</v>
      </c>
      <c r="K1668" s="1">
        <f ca="1">IFERROR(__xludf.DUMMYFUNCTION("""COMPUTED_VALUE"""),24)</f>
        <v>24</v>
      </c>
      <c r="L1668" s="1">
        <f ca="1">IFERROR(__xludf.DUMMYFUNCTION("""COMPUTED_VALUE"""),0.85)</f>
        <v>0.85</v>
      </c>
      <c r="T1668" s="1">
        <f ca="1">IFERROR(__xludf.DUMMYFUNCTION("""COMPUTED_VALUE"""),489576)</f>
        <v>489576</v>
      </c>
      <c r="U1668" s="1">
        <f ca="1">IFERROR(__xludf.DUMMYFUNCTION("""COMPUTED_VALUE"""),20.4)</f>
        <v>20.399999999999999</v>
      </c>
    </row>
    <row r="1669" spans="1:21" ht="12.75" x14ac:dyDescent="0.2">
      <c r="A1669" s="3">
        <f ca="1">IFERROR(__xludf.DUMMYFUNCTION("""COMPUTED_VALUE"""),40148.5680555555)</f>
        <v>40148.568055555501</v>
      </c>
      <c r="B1669" s="1">
        <f ca="1">IFERROR(__xludf.DUMMYFUNCTION("""COMPUTED_VALUE"""),0.42)</f>
        <v>0.42</v>
      </c>
      <c r="J1669" s="1" t="str">
        <f ca="1">IFERROR(__xludf.DUMMYFUNCTION("""COMPUTED_VALUE"""),"PLACE SETTING WHITE HEART")</f>
        <v>PLACE SETTING WHITE HEART</v>
      </c>
      <c r="K1669" s="1">
        <f ca="1">IFERROR(__xludf.DUMMYFUNCTION("""COMPUTED_VALUE"""),24)</f>
        <v>24</v>
      </c>
      <c r="L1669" s="1">
        <f ca="1">IFERROR(__xludf.DUMMYFUNCTION("""COMPUTED_VALUE"""),0.42)</f>
        <v>0.42</v>
      </c>
      <c r="T1669" s="1">
        <f ca="1">IFERROR(__xludf.DUMMYFUNCTION("""COMPUTED_VALUE"""),489576)</f>
        <v>489576</v>
      </c>
      <c r="U1669" s="1">
        <f ca="1">IFERROR(__xludf.DUMMYFUNCTION("""COMPUTED_VALUE"""),10.08)</f>
        <v>10.08</v>
      </c>
    </row>
    <row r="1670" spans="1:21" ht="12.75" x14ac:dyDescent="0.2">
      <c r="A1670" s="3">
        <f ca="1">IFERROR(__xludf.DUMMYFUNCTION("""COMPUTED_VALUE"""),40148.5680555555)</f>
        <v>40148.568055555501</v>
      </c>
      <c r="B1670" s="1">
        <f ca="1">IFERROR(__xludf.DUMMYFUNCTION("""COMPUTED_VALUE"""),3.45)</f>
        <v>3.45</v>
      </c>
      <c r="J1670" s="1" t="str">
        <f ca="1">IFERROR(__xludf.DUMMYFUNCTION("""COMPUTED_VALUE"""),"GREY HEART HOT WATER BOTTLE")</f>
        <v>GREY HEART HOT WATER BOTTLE</v>
      </c>
      <c r="K1670" s="1">
        <f ca="1">IFERROR(__xludf.DUMMYFUNCTION("""COMPUTED_VALUE"""),18)</f>
        <v>18</v>
      </c>
      <c r="L1670" s="1">
        <f ca="1">IFERROR(__xludf.DUMMYFUNCTION("""COMPUTED_VALUE"""),3.45)</f>
        <v>3.45</v>
      </c>
      <c r="T1670" s="1">
        <f ca="1">IFERROR(__xludf.DUMMYFUNCTION("""COMPUTED_VALUE"""),489576)</f>
        <v>489576</v>
      </c>
      <c r="U1670" s="1">
        <f ca="1">IFERROR(__xludf.DUMMYFUNCTION("""COMPUTED_VALUE"""),62.1)</f>
        <v>62.1</v>
      </c>
    </row>
    <row r="1671" spans="1:21" ht="12.75" x14ac:dyDescent="0.2">
      <c r="A1671" s="3">
        <f ca="1">IFERROR(__xludf.DUMMYFUNCTION("""COMPUTED_VALUE"""),40148.5680555555)</f>
        <v>40148.568055555501</v>
      </c>
      <c r="B1671" s="1">
        <f ca="1">IFERROR(__xludf.DUMMYFUNCTION("""COMPUTED_VALUE"""),1.25)</f>
        <v>1.25</v>
      </c>
      <c r="J1671" s="1" t="str">
        <f ca="1">IFERROR(__xludf.DUMMYFUNCTION("""COMPUTED_VALUE"""),"TRADITIONAL CHRISTMAS RIBBONS")</f>
        <v>TRADITIONAL CHRISTMAS RIBBONS</v>
      </c>
      <c r="K1671" s="1">
        <f ca="1">IFERROR(__xludf.DUMMYFUNCTION("""COMPUTED_VALUE"""),17)</f>
        <v>17</v>
      </c>
      <c r="L1671" s="1">
        <f ca="1">IFERROR(__xludf.DUMMYFUNCTION("""COMPUTED_VALUE"""),1.25)</f>
        <v>1.25</v>
      </c>
      <c r="T1671" s="1">
        <f ca="1">IFERROR(__xludf.DUMMYFUNCTION("""COMPUTED_VALUE"""),489576)</f>
        <v>489576</v>
      </c>
      <c r="U1671" s="1">
        <f ca="1">IFERROR(__xludf.DUMMYFUNCTION("""COMPUTED_VALUE"""),21.25)</f>
        <v>21.25</v>
      </c>
    </row>
    <row r="1672" spans="1:21" ht="12.75" x14ac:dyDescent="0.2">
      <c r="A1672" s="3">
        <f ca="1">IFERROR(__xludf.DUMMYFUNCTION("""COMPUTED_VALUE"""),40148.5680555555)</f>
        <v>40148.568055555501</v>
      </c>
      <c r="B1672" s="1">
        <f ca="1">IFERROR(__xludf.DUMMYFUNCTION("""COMPUTED_VALUE"""),1.25)</f>
        <v>1.25</v>
      </c>
      <c r="J1672" s="1" t="str">
        <f ca="1">IFERROR(__xludf.DUMMYFUNCTION("""COMPUTED_VALUE"""),"ZINC METAL HEART DECORATION")</f>
        <v>ZINC METAL HEART DECORATION</v>
      </c>
      <c r="K1672" s="1">
        <f ca="1">IFERROR(__xludf.DUMMYFUNCTION("""COMPUTED_VALUE"""),12)</f>
        <v>12</v>
      </c>
      <c r="L1672" s="1">
        <f ca="1">IFERROR(__xludf.DUMMYFUNCTION("""COMPUTED_VALUE"""),1.25)</f>
        <v>1.25</v>
      </c>
      <c r="T1672" s="1">
        <f ca="1">IFERROR(__xludf.DUMMYFUNCTION("""COMPUTED_VALUE"""),489576)</f>
        <v>489576</v>
      </c>
      <c r="U1672" s="1">
        <f ca="1">IFERROR(__xludf.DUMMYFUNCTION("""COMPUTED_VALUE"""),15)</f>
        <v>15</v>
      </c>
    </row>
    <row r="1673" spans="1:21" ht="12.75" x14ac:dyDescent="0.2">
      <c r="A1673" s="3">
        <f ca="1">IFERROR(__xludf.DUMMYFUNCTION("""COMPUTED_VALUE"""),40148.5680555555)</f>
        <v>40148.568055555501</v>
      </c>
      <c r="B1673" s="1">
        <f ca="1">IFERROR(__xludf.DUMMYFUNCTION("""COMPUTED_VALUE"""),1.65)</f>
        <v>1.65</v>
      </c>
      <c r="J1673" s="1" t="str">
        <f ca="1">IFERROR(__xludf.DUMMYFUNCTION("""COMPUTED_VALUE"""),"HEART IVORY TRELLIS LARGE")</f>
        <v>HEART IVORY TRELLIS LARGE</v>
      </c>
      <c r="K1673" s="1">
        <f ca="1">IFERROR(__xludf.DUMMYFUNCTION("""COMPUTED_VALUE"""),12)</f>
        <v>12</v>
      </c>
      <c r="L1673" s="1">
        <f ca="1">IFERROR(__xludf.DUMMYFUNCTION("""COMPUTED_VALUE"""),1.65)</f>
        <v>1.65</v>
      </c>
      <c r="T1673" s="1">
        <f ca="1">IFERROR(__xludf.DUMMYFUNCTION("""COMPUTED_VALUE"""),489576)</f>
        <v>489576</v>
      </c>
      <c r="U1673" s="1">
        <f ca="1">IFERROR(__xludf.DUMMYFUNCTION("""COMPUTED_VALUE"""),19.7999999999999)</f>
        <v>19.799999999999901</v>
      </c>
    </row>
    <row r="1674" spans="1:21" ht="12.75" x14ac:dyDescent="0.2">
      <c r="A1674" s="3">
        <f ca="1">IFERROR(__xludf.DUMMYFUNCTION("""COMPUTED_VALUE"""),40148.5680555555)</f>
        <v>40148.568055555501</v>
      </c>
      <c r="B1674" s="1">
        <f ca="1">IFERROR(__xludf.DUMMYFUNCTION("""COMPUTED_VALUE"""),2.95)</f>
        <v>2.95</v>
      </c>
      <c r="J1674" s="1" t="str">
        <f ca="1">IFERROR(__xludf.DUMMYFUNCTION("""COMPUTED_VALUE"""),"PAPER CHAIN KIT 50'S CHRISTMAS")</f>
        <v>PAPER CHAIN KIT 50'S CHRISTMAS</v>
      </c>
      <c r="K1674" s="1">
        <f ca="1">IFERROR(__xludf.DUMMYFUNCTION("""COMPUTED_VALUE"""),10)</f>
        <v>10</v>
      </c>
      <c r="L1674" s="1">
        <f ca="1">IFERROR(__xludf.DUMMYFUNCTION("""COMPUTED_VALUE"""),2.95)</f>
        <v>2.95</v>
      </c>
      <c r="T1674" s="1">
        <f ca="1">IFERROR(__xludf.DUMMYFUNCTION("""COMPUTED_VALUE"""),489576)</f>
        <v>489576</v>
      </c>
      <c r="U1674" s="1">
        <f ca="1">IFERROR(__xludf.DUMMYFUNCTION("""COMPUTED_VALUE"""),29.5)</f>
        <v>29.5</v>
      </c>
    </row>
    <row r="1675" spans="1:21" ht="12.75" x14ac:dyDescent="0.2">
      <c r="A1675" s="3">
        <f ca="1">IFERROR(__xludf.DUMMYFUNCTION("""COMPUTED_VALUE"""),40148.5680555555)</f>
        <v>40148.568055555501</v>
      </c>
      <c r="B1675" s="1">
        <f ca="1">IFERROR(__xludf.DUMMYFUNCTION("""COMPUTED_VALUE"""),2.55)</f>
        <v>2.5499999999999998</v>
      </c>
      <c r="J1675" s="1" t="str">
        <f ca="1">IFERROR(__xludf.DUMMYFUNCTION("""COMPUTED_VALUE"""),"PINK HEART CANDY BUTTON CALCULATOR")</f>
        <v>PINK HEART CANDY BUTTON CALCULATOR</v>
      </c>
      <c r="K1675" s="1">
        <f ca="1">IFERROR(__xludf.DUMMYFUNCTION("""COMPUTED_VALUE"""),8)</f>
        <v>8</v>
      </c>
      <c r="L1675" s="1">
        <f ca="1">IFERROR(__xludf.DUMMYFUNCTION("""COMPUTED_VALUE"""),2.55)</f>
        <v>2.5499999999999998</v>
      </c>
      <c r="T1675" s="1">
        <f ca="1">IFERROR(__xludf.DUMMYFUNCTION("""COMPUTED_VALUE"""),489576)</f>
        <v>489576</v>
      </c>
      <c r="U1675" s="1">
        <f ca="1">IFERROR(__xludf.DUMMYFUNCTION("""COMPUTED_VALUE"""),20.4)</f>
        <v>20.399999999999999</v>
      </c>
    </row>
    <row r="1676" spans="1:21" ht="12.75" x14ac:dyDescent="0.2">
      <c r="A1676" s="3">
        <f ca="1">IFERROR(__xludf.DUMMYFUNCTION("""COMPUTED_VALUE"""),40148.5680555555)</f>
        <v>40148.568055555501</v>
      </c>
      <c r="B1676" s="1">
        <f ca="1">IFERROR(__xludf.DUMMYFUNCTION("""COMPUTED_VALUE"""),2.95)</f>
        <v>2.95</v>
      </c>
      <c r="J1676" s="1" t="str">
        <f ca="1">IFERROR(__xludf.DUMMYFUNCTION("""COMPUTED_VALUE"""),"WHITE HANGING HEART T-LIGHT HOLDER")</f>
        <v>WHITE HANGING HEART T-LIGHT HOLDER</v>
      </c>
      <c r="K1676" s="1">
        <f ca="1">IFERROR(__xludf.DUMMYFUNCTION("""COMPUTED_VALUE"""),6)</f>
        <v>6</v>
      </c>
      <c r="L1676" s="1">
        <f ca="1">IFERROR(__xludf.DUMMYFUNCTION("""COMPUTED_VALUE"""),2.95)</f>
        <v>2.95</v>
      </c>
      <c r="T1676" s="1">
        <f ca="1">IFERROR(__xludf.DUMMYFUNCTION("""COMPUTED_VALUE"""),489576)</f>
        <v>489576</v>
      </c>
      <c r="U1676" s="1">
        <f ca="1">IFERROR(__xludf.DUMMYFUNCTION("""COMPUTED_VALUE"""),17.7)</f>
        <v>17.7</v>
      </c>
    </row>
    <row r="1677" spans="1:21" ht="12.75" x14ac:dyDescent="0.2">
      <c r="A1677" s="3">
        <f ca="1">IFERROR(__xludf.DUMMYFUNCTION("""COMPUTED_VALUE"""),40148.5680555555)</f>
        <v>40148.568055555501</v>
      </c>
      <c r="B1677" s="1">
        <f ca="1">IFERROR(__xludf.DUMMYFUNCTION("""COMPUTED_VALUE"""),1.25)</f>
        <v>1.25</v>
      </c>
      <c r="J1677" s="1" t="str">
        <f ca="1">IFERROR(__xludf.DUMMYFUNCTION("""COMPUTED_VALUE"""),"SCANDINAVIAN REDS RIBBONS")</f>
        <v>SCANDINAVIAN REDS RIBBONS</v>
      </c>
      <c r="K1677" s="1">
        <f ca="1">IFERROR(__xludf.DUMMYFUNCTION("""COMPUTED_VALUE"""),5)</f>
        <v>5</v>
      </c>
      <c r="L1677" s="1">
        <f ca="1">IFERROR(__xludf.DUMMYFUNCTION("""COMPUTED_VALUE"""),1.25)</f>
        <v>1.25</v>
      </c>
      <c r="T1677" s="1">
        <f ca="1">IFERROR(__xludf.DUMMYFUNCTION("""COMPUTED_VALUE"""),489576)</f>
        <v>489576</v>
      </c>
      <c r="U1677" s="1">
        <f ca="1">IFERROR(__xludf.DUMMYFUNCTION("""COMPUTED_VALUE"""),6.25)</f>
        <v>6.25</v>
      </c>
    </row>
    <row r="1678" spans="1:21" ht="12.75" x14ac:dyDescent="0.2">
      <c r="A1678" s="3">
        <f ca="1">IFERROR(__xludf.DUMMYFUNCTION("""COMPUTED_VALUE"""),40148.5680555555)</f>
        <v>40148.568055555501</v>
      </c>
      <c r="B1678" s="1">
        <f ca="1">IFERROR(__xludf.DUMMYFUNCTION("""COMPUTED_VALUE"""),7.95)</f>
        <v>7.95</v>
      </c>
      <c r="J1678" s="1" t="str">
        <f ca="1">IFERROR(__xludf.DUMMYFUNCTION("""COMPUTED_VALUE"""),"15CM CHRISTMAS GLASS BALL 20 LIGHTS")</f>
        <v>15CM CHRISTMAS GLASS BALL 20 LIGHTS</v>
      </c>
      <c r="K1678" s="1">
        <f ca="1">IFERROR(__xludf.DUMMYFUNCTION("""COMPUTED_VALUE"""),5)</f>
        <v>5</v>
      </c>
      <c r="L1678" s="1">
        <f ca="1">IFERROR(__xludf.DUMMYFUNCTION("""COMPUTED_VALUE"""),7.95)</f>
        <v>7.95</v>
      </c>
      <c r="T1678" s="1">
        <f ca="1">IFERROR(__xludf.DUMMYFUNCTION("""COMPUTED_VALUE"""),489576)</f>
        <v>489576</v>
      </c>
      <c r="U1678" s="1">
        <f ca="1">IFERROR(__xludf.DUMMYFUNCTION("""COMPUTED_VALUE"""),39.75)</f>
        <v>39.75</v>
      </c>
    </row>
    <row r="1679" spans="1:21" ht="12.75" x14ac:dyDescent="0.2">
      <c r="A1679" s="3">
        <f ca="1">IFERROR(__xludf.DUMMYFUNCTION("""COMPUTED_VALUE"""),40148.5680555555)</f>
        <v>40148.568055555501</v>
      </c>
      <c r="B1679" s="1">
        <f ca="1">IFERROR(__xludf.DUMMYFUNCTION("""COMPUTED_VALUE"""),1.95)</f>
        <v>1.95</v>
      </c>
      <c r="J1679" s="1" t="str">
        <f ca="1">IFERROR(__xludf.DUMMYFUNCTION("""COMPUTED_VALUE"""),"JUMBO BAG SCANDINAVIAN PAISLEY")</f>
        <v>JUMBO BAG SCANDINAVIAN PAISLEY</v>
      </c>
      <c r="K1679" s="1">
        <f ca="1">IFERROR(__xludf.DUMMYFUNCTION("""COMPUTED_VALUE"""),5)</f>
        <v>5</v>
      </c>
      <c r="L1679" s="1">
        <f ca="1">IFERROR(__xludf.DUMMYFUNCTION("""COMPUTED_VALUE"""),1.95)</f>
        <v>1.95</v>
      </c>
      <c r="T1679" s="1">
        <f ca="1">IFERROR(__xludf.DUMMYFUNCTION("""COMPUTED_VALUE"""),489576)</f>
        <v>489576</v>
      </c>
      <c r="U1679" s="1">
        <f ca="1">IFERROR(__xludf.DUMMYFUNCTION("""COMPUTED_VALUE"""),9.75)</f>
        <v>9.75</v>
      </c>
    </row>
    <row r="1680" spans="1:21" ht="12.75" x14ac:dyDescent="0.2">
      <c r="A1680" s="3">
        <f ca="1">IFERROR(__xludf.DUMMYFUNCTION("""COMPUTED_VALUE"""),40148.5680555555)</f>
        <v>40148.568055555501</v>
      </c>
      <c r="B1680" s="1">
        <f ca="1">IFERROR(__xludf.DUMMYFUNCTION("""COMPUTED_VALUE"""),1.95)</f>
        <v>1.95</v>
      </c>
      <c r="J1680" s="1" t="str">
        <f ca="1">IFERROR(__xludf.DUMMYFUNCTION("""COMPUTED_VALUE"""),"JUMBO BAG PINK VINTAGE PAISLEY")</f>
        <v>JUMBO BAG PINK VINTAGE PAISLEY</v>
      </c>
      <c r="K1680" s="1">
        <f ca="1">IFERROR(__xludf.DUMMYFUNCTION("""COMPUTED_VALUE"""),3)</f>
        <v>3</v>
      </c>
      <c r="L1680" s="1">
        <f ca="1">IFERROR(__xludf.DUMMYFUNCTION("""COMPUTED_VALUE"""),1.95)</f>
        <v>1.95</v>
      </c>
      <c r="T1680" s="1">
        <f ca="1">IFERROR(__xludf.DUMMYFUNCTION("""COMPUTED_VALUE"""),489576)</f>
        <v>489576</v>
      </c>
      <c r="U1680" s="1">
        <f ca="1">IFERROR(__xludf.DUMMYFUNCTION("""COMPUTED_VALUE"""),5.85)</f>
        <v>5.85</v>
      </c>
    </row>
    <row r="1681" spans="1:21" ht="12.75" x14ac:dyDescent="0.2">
      <c r="A1681" s="3">
        <f ca="1">IFERROR(__xludf.DUMMYFUNCTION("""COMPUTED_VALUE"""),40148.5680555555)</f>
        <v>40148.568055555501</v>
      </c>
      <c r="B1681" s="1">
        <f ca="1">IFERROR(__xludf.DUMMYFUNCTION("""COMPUTED_VALUE"""),1.95)</f>
        <v>1.95</v>
      </c>
      <c r="J1681" s="1" t="str">
        <f ca="1">IFERROR(__xludf.DUMMYFUNCTION("""COMPUTED_VALUE"""),"JUMBO BAG STRAWBERRY")</f>
        <v>JUMBO BAG STRAWBERRY</v>
      </c>
      <c r="K1681" s="1">
        <f ca="1">IFERROR(__xludf.DUMMYFUNCTION("""COMPUTED_VALUE"""),3)</f>
        <v>3</v>
      </c>
      <c r="L1681" s="1">
        <f ca="1">IFERROR(__xludf.DUMMYFUNCTION("""COMPUTED_VALUE"""),1.95)</f>
        <v>1.95</v>
      </c>
      <c r="T1681" s="1">
        <f ca="1">IFERROR(__xludf.DUMMYFUNCTION("""COMPUTED_VALUE"""),489576)</f>
        <v>489576</v>
      </c>
      <c r="U1681" s="1">
        <f ca="1">IFERROR(__xludf.DUMMYFUNCTION("""COMPUTED_VALUE"""),5.85)</f>
        <v>5.85</v>
      </c>
    </row>
    <row r="1682" spans="1:21" ht="12.75" x14ac:dyDescent="0.2">
      <c r="A1682" s="3">
        <f ca="1">IFERROR(__xludf.DUMMYFUNCTION("""COMPUTED_VALUE"""),40148.5680555555)</f>
        <v>40148.568055555501</v>
      </c>
      <c r="B1682" s="1">
        <f ca="1">IFERROR(__xludf.DUMMYFUNCTION("""COMPUTED_VALUE"""),16.95)</f>
        <v>16.95</v>
      </c>
      <c r="J1682" s="1" t="str">
        <f ca="1">IFERROR(__xludf.DUMMYFUNCTION("""COMPUTED_VALUE"""),"SILVER CHRISTMAS TREE BAUBLE STAND")</f>
        <v>SILVER CHRISTMAS TREE BAUBLE STAND</v>
      </c>
      <c r="K1682" s="1">
        <f ca="1">IFERROR(__xludf.DUMMYFUNCTION("""COMPUTED_VALUE"""),1)</f>
        <v>1</v>
      </c>
      <c r="L1682" s="1">
        <f ca="1">IFERROR(__xludf.DUMMYFUNCTION("""COMPUTED_VALUE"""),16.95)</f>
        <v>16.95</v>
      </c>
      <c r="T1682" s="1">
        <f ca="1">IFERROR(__xludf.DUMMYFUNCTION("""COMPUTED_VALUE"""),489576)</f>
        <v>489576</v>
      </c>
      <c r="U1682" s="1">
        <f ca="1">IFERROR(__xludf.DUMMYFUNCTION("""COMPUTED_VALUE"""),16.95)</f>
        <v>16.95</v>
      </c>
    </row>
    <row r="1683" spans="1:21" ht="12.75" x14ac:dyDescent="0.2">
      <c r="A1683" s="3">
        <f ca="1">IFERROR(__xludf.DUMMYFUNCTION("""COMPUTED_VALUE"""),40148.5680555555)</f>
        <v>40148.568055555501</v>
      </c>
      <c r="B1683" s="1">
        <f ca="1">IFERROR(__xludf.DUMMYFUNCTION("""COMPUTED_VALUE"""),8.95)</f>
        <v>8.9499999999999993</v>
      </c>
      <c r="J1683" s="1" t="str">
        <f ca="1">IFERROR(__xludf.DUMMYFUNCTION("""COMPUTED_VALUE"""),"WOODEN BOX ADVENT CALENDAR")</f>
        <v>WOODEN BOX ADVENT CALENDAR</v>
      </c>
      <c r="K1683" s="1">
        <f ca="1">IFERROR(__xludf.DUMMYFUNCTION("""COMPUTED_VALUE"""),1)</f>
        <v>1</v>
      </c>
      <c r="L1683" s="1">
        <f ca="1">IFERROR(__xludf.DUMMYFUNCTION("""COMPUTED_VALUE"""),8.95)</f>
        <v>8.9499999999999993</v>
      </c>
      <c r="T1683" s="1">
        <f ca="1">IFERROR(__xludf.DUMMYFUNCTION("""COMPUTED_VALUE"""),489576)</f>
        <v>489576</v>
      </c>
      <c r="U1683" s="1">
        <f ca="1">IFERROR(__xludf.DUMMYFUNCTION("""COMPUTED_VALUE"""),8.95)</f>
        <v>8.9499999999999993</v>
      </c>
    </row>
    <row r="1684" spans="1:21" ht="12.75" x14ac:dyDescent="0.2">
      <c r="A1684" s="3">
        <f ca="1">IFERROR(__xludf.DUMMYFUNCTION("""COMPUTED_VALUE"""),40148.5680555555)</f>
        <v>40148.568055555501</v>
      </c>
      <c r="B1684" s="1">
        <f ca="1">IFERROR(__xludf.DUMMYFUNCTION("""COMPUTED_VALUE"""),6.95)</f>
        <v>6.95</v>
      </c>
      <c r="J1684" s="1" t="str">
        <f ca="1">IFERROR(__xludf.DUMMYFUNCTION("""COMPUTED_VALUE"""),"TEA TIME TEA SET IN GIFT BOX")</f>
        <v>TEA TIME TEA SET IN GIFT BOX</v>
      </c>
      <c r="K1684" s="1">
        <f ca="1">IFERROR(__xludf.DUMMYFUNCTION("""COMPUTED_VALUE"""),-1)</f>
        <v>-1</v>
      </c>
      <c r="L1684" s="1">
        <f ca="1">IFERROR(__xludf.DUMMYFUNCTION("""COMPUTED_VALUE"""),6.95)</f>
        <v>6.95</v>
      </c>
      <c r="T1684" s="1"/>
      <c r="U1684" s="1">
        <f ca="1">IFERROR(__xludf.DUMMYFUNCTION("""COMPUTED_VALUE"""),-6.95)</f>
        <v>-6.95</v>
      </c>
    </row>
    <row r="1685" spans="1:21" ht="12.75" x14ac:dyDescent="0.2">
      <c r="A1685" s="3">
        <f ca="1">IFERROR(__xludf.DUMMYFUNCTION("""COMPUTED_VALUE"""),40148.5680555555)</f>
        <v>40148.568055555501</v>
      </c>
      <c r="B1685" s="1">
        <f ca="1">IFERROR(__xludf.DUMMYFUNCTION("""COMPUTED_VALUE"""),9.95)</f>
        <v>9.9499999999999993</v>
      </c>
      <c r="J1685" s="1" t="str">
        <f ca="1">IFERROR(__xludf.DUMMYFUNCTION("""COMPUTED_VALUE"""),"TEA TIME CAKE STAND IN GIFT BOX")</f>
        <v>TEA TIME CAKE STAND IN GIFT BOX</v>
      </c>
      <c r="K1685" s="1">
        <f ca="1">IFERROR(__xludf.DUMMYFUNCTION("""COMPUTED_VALUE"""),-3)</f>
        <v>-3</v>
      </c>
      <c r="L1685" s="1">
        <f ca="1">IFERROR(__xludf.DUMMYFUNCTION("""COMPUTED_VALUE"""),9.95)</f>
        <v>9.9499999999999993</v>
      </c>
      <c r="T1685" s="1"/>
      <c r="U1685" s="1">
        <f ca="1">IFERROR(__xludf.DUMMYFUNCTION("""COMPUTED_VALUE"""),-29.8499999999999)</f>
        <v>-29.849999999999898</v>
      </c>
    </row>
    <row r="1686" spans="1:21" ht="12.75" x14ac:dyDescent="0.2">
      <c r="A1686" s="3">
        <f ca="1">IFERROR(__xludf.DUMMYFUNCTION("""COMPUTED_VALUE"""),40148.5680555555)</f>
        <v>40148.568055555501</v>
      </c>
      <c r="B1686" s="1">
        <f ca="1">IFERROR(__xludf.DUMMYFUNCTION("""COMPUTED_VALUE"""),1.25)</f>
        <v>1.25</v>
      </c>
      <c r="J1686" s="1" t="str">
        <f ca="1">IFERROR(__xludf.DUMMYFUNCTION("""COMPUTED_VALUE"""),"PARTY CONES CARNIVAL ASSORTED")</f>
        <v>PARTY CONES CARNIVAL ASSORTED</v>
      </c>
      <c r="K1686" s="1">
        <f ca="1">IFERROR(__xludf.DUMMYFUNCTION("""COMPUTED_VALUE"""),-48)</f>
        <v>-48</v>
      </c>
      <c r="L1686" s="1">
        <f ca="1">IFERROR(__xludf.DUMMYFUNCTION("""COMPUTED_VALUE"""),1.25)</f>
        <v>1.25</v>
      </c>
      <c r="T1686" s="1"/>
      <c r="U1686" s="1">
        <f ca="1">IFERROR(__xludf.DUMMYFUNCTION("""COMPUTED_VALUE"""),-60)</f>
        <v>-60</v>
      </c>
    </row>
    <row r="1687" spans="1:21" ht="12.75" x14ac:dyDescent="0.2">
      <c r="A1687" s="3">
        <f ca="1">IFERROR(__xludf.DUMMYFUNCTION("""COMPUTED_VALUE"""),40148.5694444444)</f>
        <v>40148.569444444402</v>
      </c>
      <c r="B1687" s="1">
        <f ca="1">IFERROR(__xludf.DUMMYFUNCTION("""COMPUTED_VALUE"""),2.95)</f>
        <v>2.95</v>
      </c>
      <c r="J1687" s="1" t="str">
        <f ca="1">IFERROR(__xludf.DUMMYFUNCTION("""COMPUTED_VALUE"""),"FAWN BLUE HOT WATER BOTTLE")</f>
        <v>FAWN BLUE HOT WATER BOTTLE</v>
      </c>
      <c r="K1687" s="1">
        <f ca="1">IFERROR(__xludf.DUMMYFUNCTION("""COMPUTED_VALUE"""),-1)</f>
        <v>-1</v>
      </c>
      <c r="L1687" s="1">
        <f ca="1">IFERROR(__xludf.DUMMYFUNCTION("""COMPUTED_VALUE"""),2.95)</f>
        <v>2.95</v>
      </c>
      <c r="T1687" s="1"/>
      <c r="U1687" s="1">
        <f ca="1">IFERROR(__xludf.DUMMYFUNCTION("""COMPUTED_VALUE"""),-2.95)</f>
        <v>-2.95</v>
      </c>
    </row>
    <row r="1688" spans="1:21" ht="12.75" x14ac:dyDescent="0.2">
      <c r="A1688" s="3">
        <f ca="1">IFERROR(__xludf.DUMMYFUNCTION("""COMPUTED_VALUE"""),40148.5701388888)</f>
        <v>40148.570138888797</v>
      </c>
      <c r="B1688" s="1">
        <f ca="1">IFERROR(__xludf.DUMMYFUNCTION("""COMPUTED_VALUE"""),0.42)</f>
        <v>0.42</v>
      </c>
      <c r="J1688" s="1" t="str">
        <f ca="1">IFERROR(__xludf.DUMMYFUNCTION("""COMPUTED_VALUE"""),"PINK SPOTS  WRAP")</f>
        <v>PINK SPOTS  WRAP</v>
      </c>
      <c r="K1688" s="1">
        <f ca="1">IFERROR(__xludf.DUMMYFUNCTION("""COMPUTED_VALUE"""),25)</f>
        <v>25</v>
      </c>
      <c r="L1688" s="1">
        <f ca="1">IFERROR(__xludf.DUMMYFUNCTION("""COMPUTED_VALUE"""),0.42)</f>
        <v>0.42</v>
      </c>
      <c r="T1688" s="1">
        <f ca="1">IFERROR(__xludf.DUMMYFUNCTION("""COMPUTED_VALUE"""),489579)</f>
        <v>489579</v>
      </c>
      <c r="U1688" s="1">
        <f ca="1">IFERROR(__xludf.DUMMYFUNCTION("""COMPUTED_VALUE"""),10.5)</f>
        <v>10.5</v>
      </c>
    </row>
    <row r="1689" spans="1:21" ht="12.75" x14ac:dyDescent="0.2">
      <c r="A1689" s="3">
        <f ca="1">IFERROR(__xludf.DUMMYFUNCTION("""COMPUTED_VALUE"""),40148.5701388888)</f>
        <v>40148.570138888797</v>
      </c>
      <c r="B1689" s="1">
        <f ca="1">IFERROR(__xludf.DUMMYFUNCTION("""COMPUTED_VALUE"""),0.42)</f>
        <v>0.42</v>
      </c>
      <c r="J1689" s="1" t="str">
        <f ca="1">IFERROR(__xludf.DUMMYFUNCTION("""COMPUTED_VALUE"""),"BLUE SPOTS  WRAP")</f>
        <v>BLUE SPOTS  WRAP</v>
      </c>
      <c r="K1689" s="1">
        <f ca="1">IFERROR(__xludf.DUMMYFUNCTION("""COMPUTED_VALUE"""),25)</f>
        <v>25</v>
      </c>
      <c r="L1689" s="1">
        <f ca="1">IFERROR(__xludf.DUMMYFUNCTION("""COMPUTED_VALUE"""),0.42)</f>
        <v>0.42</v>
      </c>
      <c r="T1689" s="1">
        <f ca="1">IFERROR(__xludf.DUMMYFUNCTION("""COMPUTED_VALUE"""),489579)</f>
        <v>489579</v>
      </c>
      <c r="U1689" s="1">
        <f ca="1">IFERROR(__xludf.DUMMYFUNCTION("""COMPUTED_VALUE"""),10.5)</f>
        <v>10.5</v>
      </c>
    </row>
    <row r="1690" spans="1:21" ht="12.75" x14ac:dyDescent="0.2">
      <c r="A1690" s="3">
        <f ca="1">IFERROR(__xludf.DUMMYFUNCTION("""COMPUTED_VALUE"""),40148.5701388888)</f>
        <v>40148.570138888797</v>
      </c>
      <c r="B1690" s="1">
        <f ca="1">IFERROR(__xludf.DUMMYFUNCTION("""COMPUTED_VALUE"""),0.42)</f>
        <v>0.42</v>
      </c>
      <c r="J1690" s="1" t="str">
        <f ca="1">IFERROR(__xludf.DUMMYFUNCTION("""COMPUTED_VALUE"""),"RED SPOTS  WRAP")</f>
        <v>RED SPOTS  WRAP</v>
      </c>
      <c r="K1690" s="1">
        <f ca="1">IFERROR(__xludf.DUMMYFUNCTION("""COMPUTED_VALUE"""),25)</f>
        <v>25</v>
      </c>
      <c r="L1690" s="1">
        <f ca="1">IFERROR(__xludf.DUMMYFUNCTION("""COMPUTED_VALUE"""),0.42)</f>
        <v>0.42</v>
      </c>
      <c r="T1690" s="1">
        <f ca="1">IFERROR(__xludf.DUMMYFUNCTION("""COMPUTED_VALUE"""),489579)</f>
        <v>489579</v>
      </c>
      <c r="U1690" s="1">
        <f ca="1">IFERROR(__xludf.DUMMYFUNCTION("""COMPUTED_VALUE"""),10.5)</f>
        <v>10.5</v>
      </c>
    </row>
    <row r="1691" spans="1:21" ht="12.75" x14ac:dyDescent="0.2">
      <c r="A1691" s="3">
        <f ca="1">IFERROR(__xludf.DUMMYFUNCTION("""COMPUTED_VALUE"""),40148.5701388888)</f>
        <v>40148.570138888797</v>
      </c>
      <c r="B1691" s="1">
        <f ca="1">IFERROR(__xludf.DUMMYFUNCTION("""COMPUTED_VALUE"""),0.29)</f>
        <v>0.28999999999999998</v>
      </c>
      <c r="J1691" s="1" t="str">
        <f ca="1">IFERROR(__xludf.DUMMYFUNCTION("""COMPUTED_VALUE"""),"PACK OF 12 PINK SPOT TISSUES")</f>
        <v>PACK OF 12 PINK SPOT TISSUES</v>
      </c>
      <c r="K1691" s="1">
        <f ca="1">IFERROR(__xludf.DUMMYFUNCTION("""COMPUTED_VALUE"""),12)</f>
        <v>12</v>
      </c>
      <c r="L1691" s="1">
        <f ca="1">IFERROR(__xludf.DUMMYFUNCTION("""COMPUTED_VALUE"""),0.29)</f>
        <v>0.28999999999999998</v>
      </c>
      <c r="T1691" s="1">
        <f ca="1">IFERROR(__xludf.DUMMYFUNCTION("""COMPUTED_VALUE"""),489579)</f>
        <v>489579</v>
      </c>
      <c r="U1691" s="1">
        <f ca="1">IFERROR(__xludf.DUMMYFUNCTION("""COMPUTED_VALUE"""),3.47999999999999)</f>
        <v>3.4799999999999902</v>
      </c>
    </row>
    <row r="1692" spans="1:21" ht="12.75" x14ac:dyDescent="0.2">
      <c r="A1692" s="3">
        <f ca="1">IFERROR(__xludf.DUMMYFUNCTION("""COMPUTED_VALUE"""),40148.5701388888)</f>
        <v>40148.570138888797</v>
      </c>
      <c r="B1692" s="1">
        <f ca="1">IFERROR(__xludf.DUMMYFUNCTION("""COMPUTED_VALUE"""),1.49)</f>
        <v>1.49</v>
      </c>
      <c r="J1692" s="1" t="str">
        <f ca="1">IFERROR(__xludf.DUMMYFUNCTION("""COMPUTED_VALUE"""),"FAIRY CAKE CANDLES")</f>
        <v>FAIRY CAKE CANDLES</v>
      </c>
      <c r="K1692" s="1">
        <f ca="1">IFERROR(__xludf.DUMMYFUNCTION("""COMPUTED_VALUE"""),9)</f>
        <v>9</v>
      </c>
      <c r="L1692" s="1">
        <f ca="1">IFERROR(__xludf.DUMMYFUNCTION("""COMPUTED_VALUE"""),1.49)</f>
        <v>1.49</v>
      </c>
      <c r="T1692" s="1">
        <f ca="1">IFERROR(__xludf.DUMMYFUNCTION("""COMPUTED_VALUE"""),489579)</f>
        <v>489579</v>
      </c>
      <c r="U1692" s="1">
        <f ca="1">IFERROR(__xludf.DUMMYFUNCTION("""COMPUTED_VALUE"""),13.41)</f>
        <v>13.41</v>
      </c>
    </row>
    <row r="1693" spans="1:21" ht="12.75" x14ac:dyDescent="0.2">
      <c r="A1693" s="3">
        <f ca="1">IFERROR(__xludf.DUMMYFUNCTION("""COMPUTED_VALUE"""),40148.5701388888)</f>
        <v>40148.570138888797</v>
      </c>
      <c r="B1693" s="1">
        <f ca="1">IFERROR(__xludf.DUMMYFUNCTION("""COMPUTED_VALUE"""),1.45)</f>
        <v>1.45</v>
      </c>
      <c r="J1693" s="1" t="str">
        <f ca="1">IFERROR(__xludf.DUMMYFUNCTION("""COMPUTED_VALUE"""),"GRAND CHOCOLATECANDLE")</f>
        <v>GRAND CHOCOLATECANDLE</v>
      </c>
      <c r="K1693" s="1">
        <f ca="1">IFERROR(__xludf.DUMMYFUNCTION("""COMPUTED_VALUE"""),9)</f>
        <v>9</v>
      </c>
      <c r="L1693" s="1">
        <f ca="1">IFERROR(__xludf.DUMMYFUNCTION("""COMPUTED_VALUE"""),1.45)</f>
        <v>1.45</v>
      </c>
      <c r="T1693" s="1">
        <f ca="1">IFERROR(__xludf.DUMMYFUNCTION("""COMPUTED_VALUE"""),489579)</f>
        <v>489579</v>
      </c>
      <c r="U1693" s="1">
        <f ca="1">IFERROR(__xludf.DUMMYFUNCTION("""COMPUTED_VALUE"""),13.0499999999999)</f>
        <v>13.049999999999899</v>
      </c>
    </row>
    <row r="1694" spans="1:21" ht="12.75" x14ac:dyDescent="0.2">
      <c r="A1694" s="3">
        <f ca="1">IFERROR(__xludf.DUMMYFUNCTION("""COMPUTED_VALUE"""),40148.5701388888)</f>
        <v>40148.570138888797</v>
      </c>
      <c r="B1694" s="1">
        <f ca="1">IFERROR(__xludf.DUMMYFUNCTION("""COMPUTED_VALUE"""),1.69)</f>
        <v>1.69</v>
      </c>
      <c r="J1694" s="1" t="str">
        <f ca="1">IFERROR(__xludf.DUMMYFUNCTION("""COMPUTED_VALUE"""),"BLUE  SPOTTY PLATE")</f>
        <v>BLUE  SPOTTY PLATE</v>
      </c>
      <c r="K1694" s="1">
        <f ca="1">IFERROR(__xludf.DUMMYFUNCTION("""COMPUTED_VALUE"""),4)</f>
        <v>4</v>
      </c>
      <c r="L1694" s="1">
        <f ca="1">IFERROR(__xludf.DUMMYFUNCTION("""COMPUTED_VALUE"""),1.69)</f>
        <v>1.69</v>
      </c>
      <c r="T1694" s="1">
        <f ca="1">IFERROR(__xludf.DUMMYFUNCTION("""COMPUTED_VALUE"""),489579)</f>
        <v>489579</v>
      </c>
      <c r="U1694" s="1">
        <f ca="1">IFERROR(__xludf.DUMMYFUNCTION("""COMPUTED_VALUE"""),6.76)</f>
        <v>6.76</v>
      </c>
    </row>
    <row r="1695" spans="1:21" ht="12.75" x14ac:dyDescent="0.2">
      <c r="A1695" s="3">
        <f ca="1">IFERROR(__xludf.DUMMYFUNCTION("""COMPUTED_VALUE"""),40148.5701388888)</f>
        <v>40148.570138888797</v>
      </c>
      <c r="B1695" s="1">
        <f ca="1">IFERROR(__xludf.DUMMYFUNCTION("""COMPUTED_VALUE"""),1.69)</f>
        <v>1.69</v>
      </c>
      <c r="J1695" s="1" t="str">
        <f ca="1">IFERROR(__xludf.DUMMYFUNCTION("""COMPUTED_VALUE"""),"PINK  SPOTTY PLATE")</f>
        <v>PINK  SPOTTY PLATE</v>
      </c>
      <c r="K1695" s="1">
        <f ca="1">IFERROR(__xludf.DUMMYFUNCTION("""COMPUTED_VALUE"""),4)</f>
        <v>4</v>
      </c>
      <c r="L1695" s="1">
        <f ca="1">IFERROR(__xludf.DUMMYFUNCTION("""COMPUTED_VALUE"""),1.69)</f>
        <v>1.69</v>
      </c>
      <c r="T1695" s="1">
        <f ca="1">IFERROR(__xludf.DUMMYFUNCTION("""COMPUTED_VALUE"""),489579)</f>
        <v>489579</v>
      </c>
      <c r="U1695" s="1">
        <f ca="1">IFERROR(__xludf.DUMMYFUNCTION("""COMPUTED_VALUE"""),6.76)</f>
        <v>6.76</v>
      </c>
    </row>
    <row r="1696" spans="1:21" ht="12.75" x14ac:dyDescent="0.2">
      <c r="A1696" s="3">
        <f ca="1">IFERROR(__xludf.DUMMYFUNCTION("""COMPUTED_VALUE"""),40148.5701388888)</f>
        <v>40148.570138888797</v>
      </c>
      <c r="B1696" s="1">
        <f ca="1">IFERROR(__xludf.DUMMYFUNCTION("""COMPUTED_VALUE"""),2.95)</f>
        <v>2.95</v>
      </c>
      <c r="J1696" s="1" t="str">
        <f ca="1">IFERROR(__xludf.DUMMYFUNCTION("""COMPUTED_VALUE"""),"RED SPOTTY OVEN GLOVE DOUBLE")</f>
        <v>RED SPOTTY OVEN GLOVE DOUBLE</v>
      </c>
      <c r="K1696" s="1">
        <f ca="1">IFERROR(__xludf.DUMMYFUNCTION("""COMPUTED_VALUE"""),4)</f>
        <v>4</v>
      </c>
      <c r="L1696" s="1">
        <f ca="1">IFERROR(__xludf.DUMMYFUNCTION("""COMPUTED_VALUE"""),2.95)</f>
        <v>2.95</v>
      </c>
      <c r="T1696" s="1">
        <f ca="1">IFERROR(__xludf.DUMMYFUNCTION("""COMPUTED_VALUE"""),489579)</f>
        <v>489579</v>
      </c>
      <c r="U1696" s="1">
        <f ca="1">IFERROR(__xludf.DUMMYFUNCTION("""COMPUTED_VALUE"""),11.8)</f>
        <v>11.8</v>
      </c>
    </row>
    <row r="1697" spans="1:21" ht="12.75" x14ac:dyDescent="0.2">
      <c r="A1697" s="3">
        <f ca="1">IFERROR(__xludf.DUMMYFUNCTION("""COMPUTED_VALUE"""),40148.5701388888)</f>
        <v>40148.570138888797</v>
      </c>
      <c r="B1697" s="1">
        <f ca="1">IFERROR(__xludf.DUMMYFUNCTION("""COMPUTED_VALUE"""),2.1)</f>
        <v>2.1</v>
      </c>
      <c r="J1697" s="1" t="str">
        <f ca="1">IFERROR(__xludf.DUMMYFUNCTION("""COMPUTED_VALUE"""),"RED SPOTTY PEG BAG")</f>
        <v>RED SPOTTY PEG BAG</v>
      </c>
      <c r="K1697" s="1">
        <f ca="1">IFERROR(__xludf.DUMMYFUNCTION("""COMPUTED_VALUE"""),4)</f>
        <v>4</v>
      </c>
      <c r="L1697" s="1">
        <f ca="1">IFERROR(__xludf.DUMMYFUNCTION("""COMPUTED_VALUE"""),2.1)</f>
        <v>2.1</v>
      </c>
      <c r="T1697" s="1">
        <f ca="1">IFERROR(__xludf.DUMMYFUNCTION("""COMPUTED_VALUE"""),489579)</f>
        <v>489579</v>
      </c>
      <c r="U1697" s="1">
        <f ca="1">IFERROR(__xludf.DUMMYFUNCTION("""COMPUTED_VALUE"""),8.4)</f>
        <v>8.4</v>
      </c>
    </row>
    <row r="1698" spans="1:21" ht="12.75" x14ac:dyDescent="0.2">
      <c r="A1698" s="3">
        <f ca="1">IFERROR(__xludf.DUMMYFUNCTION("""COMPUTED_VALUE"""),40148.5701388888)</f>
        <v>40148.570138888797</v>
      </c>
      <c r="B1698" s="1">
        <f ca="1">IFERROR(__xludf.DUMMYFUNCTION("""COMPUTED_VALUE"""),1.25)</f>
        <v>1.25</v>
      </c>
      <c r="J1698" s="1" t="str">
        <f ca="1">IFERROR(__xludf.DUMMYFUNCTION("""COMPUTED_VALUE"""),"SET/10 BLUE SPOTTY PARTY CANDLES")</f>
        <v>SET/10 BLUE SPOTTY PARTY CANDLES</v>
      </c>
      <c r="K1698" s="1">
        <f ca="1">IFERROR(__xludf.DUMMYFUNCTION("""COMPUTED_VALUE"""),4)</f>
        <v>4</v>
      </c>
      <c r="L1698" s="1">
        <f ca="1">IFERROR(__xludf.DUMMYFUNCTION("""COMPUTED_VALUE"""),1.25)</f>
        <v>1.25</v>
      </c>
      <c r="T1698" s="1">
        <f ca="1">IFERROR(__xludf.DUMMYFUNCTION("""COMPUTED_VALUE"""),489579)</f>
        <v>489579</v>
      </c>
      <c r="U1698" s="1">
        <f ca="1">IFERROR(__xludf.DUMMYFUNCTION("""COMPUTED_VALUE"""),5)</f>
        <v>5</v>
      </c>
    </row>
    <row r="1699" spans="1:21" ht="12.75" x14ac:dyDescent="0.2">
      <c r="A1699" s="3">
        <f ca="1">IFERROR(__xludf.DUMMYFUNCTION("""COMPUTED_VALUE"""),40148.5701388888)</f>
        <v>40148.570138888797</v>
      </c>
      <c r="B1699" s="1">
        <f ca="1">IFERROR(__xludf.DUMMYFUNCTION("""COMPUTED_VALUE"""),1.25)</f>
        <v>1.25</v>
      </c>
      <c r="J1699" s="1" t="str">
        <f ca="1">IFERROR(__xludf.DUMMYFUNCTION("""COMPUTED_VALUE"""),"SET/10 PINK SPOTTY PARTY CANDLES")</f>
        <v>SET/10 PINK SPOTTY PARTY CANDLES</v>
      </c>
      <c r="K1699" s="1">
        <f ca="1">IFERROR(__xludf.DUMMYFUNCTION("""COMPUTED_VALUE"""),4)</f>
        <v>4</v>
      </c>
      <c r="L1699" s="1">
        <f ca="1">IFERROR(__xludf.DUMMYFUNCTION("""COMPUTED_VALUE"""),1.25)</f>
        <v>1.25</v>
      </c>
      <c r="T1699" s="1">
        <f ca="1">IFERROR(__xludf.DUMMYFUNCTION("""COMPUTED_VALUE"""),489579)</f>
        <v>489579</v>
      </c>
      <c r="U1699" s="1">
        <f ca="1">IFERROR(__xludf.DUMMYFUNCTION("""COMPUTED_VALUE"""),5)</f>
        <v>5</v>
      </c>
    </row>
    <row r="1700" spans="1:21" ht="12.75" x14ac:dyDescent="0.2">
      <c r="A1700" s="3">
        <f ca="1">IFERROR(__xludf.DUMMYFUNCTION("""COMPUTED_VALUE"""),40148.5701388888)</f>
        <v>40148.570138888797</v>
      </c>
      <c r="B1700" s="1">
        <f ca="1">IFERROR(__xludf.DUMMYFUNCTION("""COMPUTED_VALUE"""),2.1)</f>
        <v>2.1</v>
      </c>
      <c r="J1700" s="1" t="str">
        <f ca="1">IFERROR(__xludf.DUMMYFUNCTION("""COMPUTED_VALUE"""),"PREMIUM CHURCH CANDLE")</f>
        <v>PREMIUM CHURCH CANDLE</v>
      </c>
      <c r="K1700" s="1">
        <f ca="1">IFERROR(__xludf.DUMMYFUNCTION("""COMPUTED_VALUE"""),4)</f>
        <v>4</v>
      </c>
      <c r="L1700" s="1">
        <f ca="1">IFERROR(__xludf.DUMMYFUNCTION("""COMPUTED_VALUE"""),2.1)</f>
        <v>2.1</v>
      </c>
      <c r="T1700" s="1">
        <f ca="1">IFERROR(__xludf.DUMMYFUNCTION("""COMPUTED_VALUE"""),489579)</f>
        <v>489579</v>
      </c>
      <c r="U1700" s="1">
        <f ca="1">IFERROR(__xludf.DUMMYFUNCTION("""COMPUTED_VALUE"""),8.4)</f>
        <v>8.4</v>
      </c>
    </row>
    <row r="1701" spans="1:21" ht="12.75" x14ac:dyDescent="0.2">
      <c r="A1701" s="3">
        <f ca="1">IFERROR(__xludf.DUMMYFUNCTION("""COMPUTED_VALUE"""),40148.5701388888)</f>
        <v>40148.570138888797</v>
      </c>
      <c r="B1701" s="1">
        <f ca="1">IFERROR(__xludf.DUMMYFUNCTION("""COMPUTED_VALUE"""),0.85)</f>
        <v>0.85</v>
      </c>
      <c r="J1701" s="1" t="str">
        <f ca="1">IFERROR(__xludf.DUMMYFUNCTION("""COMPUTED_VALUE"""),"BLUE  SPOTTY CUP")</f>
        <v>BLUE  SPOTTY CUP</v>
      </c>
      <c r="K1701" s="1">
        <f ca="1">IFERROR(__xludf.DUMMYFUNCTION("""COMPUTED_VALUE"""),4)</f>
        <v>4</v>
      </c>
      <c r="L1701" s="1">
        <f ca="1">IFERROR(__xludf.DUMMYFUNCTION("""COMPUTED_VALUE"""),0.85)</f>
        <v>0.85</v>
      </c>
      <c r="T1701" s="1">
        <f ca="1">IFERROR(__xludf.DUMMYFUNCTION("""COMPUTED_VALUE"""),489579)</f>
        <v>489579</v>
      </c>
      <c r="U1701" s="1">
        <f ca="1">IFERROR(__xludf.DUMMYFUNCTION("""COMPUTED_VALUE"""),3.4)</f>
        <v>3.4</v>
      </c>
    </row>
    <row r="1702" spans="1:21" ht="12.75" x14ac:dyDescent="0.2">
      <c r="A1702" s="3">
        <f ca="1">IFERROR(__xludf.DUMMYFUNCTION("""COMPUTED_VALUE"""),40148.5701388888)</f>
        <v>40148.570138888797</v>
      </c>
      <c r="B1702" s="1">
        <f ca="1">IFERROR(__xludf.DUMMYFUNCTION("""COMPUTED_VALUE"""),0.85)</f>
        <v>0.85</v>
      </c>
      <c r="J1702" s="1" t="str">
        <f ca="1">IFERROR(__xludf.DUMMYFUNCTION("""COMPUTED_VALUE"""),"PINK  SPOTTY CUP")</f>
        <v>PINK  SPOTTY CUP</v>
      </c>
      <c r="K1702" s="1">
        <f ca="1">IFERROR(__xludf.DUMMYFUNCTION("""COMPUTED_VALUE"""),4)</f>
        <v>4</v>
      </c>
      <c r="L1702" s="1">
        <f ca="1">IFERROR(__xludf.DUMMYFUNCTION("""COMPUTED_VALUE"""),0.85)</f>
        <v>0.85</v>
      </c>
      <c r="T1702" s="1">
        <f ca="1">IFERROR(__xludf.DUMMYFUNCTION("""COMPUTED_VALUE"""),489579)</f>
        <v>489579</v>
      </c>
      <c r="U1702" s="1">
        <f ca="1">IFERROR(__xludf.DUMMYFUNCTION("""COMPUTED_VALUE"""),3.4)</f>
        <v>3.4</v>
      </c>
    </row>
    <row r="1703" spans="1:21" ht="12.75" x14ac:dyDescent="0.2">
      <c r="A1703" s="3">
        <f ca="1">IFERROR(__xludf.DUMMYFUNCTION("""COMPUTED_VALUE"""),40148.5701388888)</f>
        <v>40148.570138888797</v>
      </c>
      <c r="B1703" s="1">
        <f ca="1">IFERROR(__xludf.DUMMYFUNCTION("""COMPUTED_VALUE"""),1.25)</f>
        <v>1.25</v>
      </c>
      <c r="J1703" s="1" t="str">
        <f ca="1">IFERROR(__xludf.DUMMYFUNCTION("""COMPUTED_VALUE"""),"PINK SPOTTY BOWL")</f>
        <v>PINK SPOTTY BOWL</v>
      </c>
      <c r="K1703" s="1">
        <f ca="1">IFERROR(__xludf.DUMMYFUNCTION("""COMPUTED_VALUE"""),4)</f>
        <v>4</v>
      </c>
      <c r="L1703" s="1">
        <f ca="1">IFERROR(__xludf.DUMMYFUNCTION("""COMPUTED_VALUE"""),1.25)</f>
        <v>1.25</v>
      </c>
      <c r="T1703" s="1">
        <f ca="1">IFERROR(__xludf.DUMMYFUNCTION("""COMPUTED_VALUE"""),489579)</f>
        <v>489579</v>
      </c>
      <c r="U1703" s="1">
        <f ca="1">IFERROR(__xludf.DUMMYFUNCTION("""COMPUTED_VALUE"""),5)</f>
        <v>5</v>
      </c>
    </row>
    <row r="1704" spans="1:21" ht="12.75" x14ac:dyDescent="0.2">
      <c r="A1704" s="3">
        <f ca="1">IFERROR(__xludf.DUMMYFUNCTION("""COMPUTED_VALUE"""),40148.5701388888)</f>
        <v>40148.570138888797</v>
      </c>
      <c r="B1704" s="1">
        <f ca="1">IFERROR(__xludf.DUMMYFUNCTION("""COMPUTED_VALUE"""),1.25)</f>
        <v>1.25</v>
      </c>
      <c r="J1704" s="1" t="str">
        <f ca="1">IFERROR(__xludf.DUMMYFUNCTION("""COMPUTED_VALUE"""),"BLUE SPOTTY BOWL")</f>
        <v>BLUE SPOTTY BOWL</v>
      </c>
      <c r="K1704" s="1">
        <f ca="1">IFERROR(__xludf.DUMMYFUNCTION("""COMPUTED_VALUE"""),4)</f>
        <v>4</v>
      </c>
      <c r="L1704" s="1">
        <f ca="1">IFERROR(__xludf.DUMMYFUNCTION("""COMPUTED_VALUE"""),1.25)</f>
        <v>1.25</v>
      </c>
      <c r="T1704" s="1">
        <f ca="1">IFERROR(__xludf.DUMMYFUNCTION("""COMPUTED_VALUE"""),489579)</f>
        <v>489579</v>
      </c>
      <c r="U1704" s="1">
        <f ca="1">IFERROR(__xludf.DUMMYFUNCTION("""COMPUTED_VALUE"""),5)</f>
        <v>5</v>
      </c>
    </row>
    <row r="1705" spans="1:21" ht="12.75" x14ac:dyDescent="0.2">
      <c r="A1705" s="3">
        <f ca="1">IFERROR(__xludf.DUMMYFUNCTION("""COMPUTED_VALUE"""),40148.5701388888)</f>
        <v>40148.570138888797</v>
      </c>
      <c r="B1705" s="1">
        <f ca="1">IFERROR(__xludf.DUMMYFUNCTION("""COMPUTED_VALUE"""),1.69)</f>
        <v>1.69</v>
      </c>
      <c r="J1705" s="1" t="str">
        <f ca="1">IFERROR(__xludf.DUMMYFUNCTION("""COMPUTED_VALUE"""),"SET/6 BLACK SNOWFLAKE T-LIGHTS")</f>
        <v>SET/6 BLACK SNOWFLAKE T-LIGHTS</v>
      </c>
      <c r="K1705" s="1">
        <f ca="1">IFERROR(__xludf.DUMMYFUNCTION("""COMPUTED_VALUE"""),3)</f>
        <v>3</v>
      </c>
      <c r="L1705" s="1">
        <f ca="1">IFERROR(__xludf.DUMMYFUNCTION("""COMPUTED_VALUE"""),1.69)</f>
        <v>1.69</v>
      </c>
      <c r="T1705" s="1">
        <f ca="1">IFERROR(__xludf.DUMMYFUNCTION("""COMPUTED_VALUE"""),489579)</f>
        <v>489579</v>
      </c>
      <c r="U1705" s="1">
        <f ca="1">IFERROR(__xludf.DUMMYFUNCTION("""COMPUTED_VALUE"""),5.07)</f>
        <v>5.07</v>
      </c>
    </row>
    <row r="1706" spans="1:21" ht="12.75" x14ac:dyDescent="0.2">
      <c r="A1706" s="3">
        <f ca="1">IFERROR(__xludf.DUMMYFUNCTION("""COMPUTED_VALUE"""),40148.5701388888)</f>
        <v>40148.570138888797</v>
      </c>
      <c r="B1706" s="1">
        <f ca="1">IFERROR(__xludf.DUMMYFUNCTION("""COMPUTED_VALUE"""),2.95)</f>
        <v>2.95</v>
      </c>
      <c r="J1706" s="1" t="str">
        <f ca="1">IFERROR(__xludf.DUMMYFUNCTION("""COMPUTED_VALUE"""),"IVORY PILLAR CANDLE GOLD FLOCK")</f>
        <v>IVORY PILLAR CANDLE GOLD FLOCK</v>
      </c>
      <c r="K1706" s="1">
        <f ca="1">IFERROR(__xludf.DUMMYFUNCTION("""COMPUTED_VALUE"""),3)</f>
        <v>3</v>
      </c>
      <c r="L1706" s="1">
        <f ca="1">IFERROR(__xludf.DUMMYFUNCTION("""COMPUTED_VALUE"""),2.95)</f>
        <v>2.95</v>
      </c>
      <c r="T1706" s="1">
        <f ca="1">IFERROR(__xludf.DUMMYFUNCTION("""COMPUTED_VALUE"""),489579)</f>
        <v>489579</v>
      </c>
      <c r="U1706" s="1">
        <f ca="1">IFERROR(__xludf.DUMMYFUNCTION("""COMPUTED_VALUE"""),8.85)</f>
        <v>8.85</v>
      </c>
    </row>
    <row r="1707" spans="1:21" ht="12.75" x14ac:dyDescent="0.2">
      <c r="A1707" s="3">
        <f ca="1">IFERROR(__xludf.DUMMYFUNCTION("""COMPUTED_VALUE"""),40148.5701388888)</f>
        <v>40148.570138888797</v>
      </c>
      <c r="B1707" s="1">
        <f ca="1">IFERROR(__xludf.DUMMYFUNCTION("""COMPUTED_VALUE"""),2.95)</f>
        <v>2.95</v>
      </c>
      <c r="J1707" s="1" t="str">
        <f ca="1">IFERROR(__xludf.DUMMYFUNCTION("""COMPUTED_VALUE"""),"IVORY PILLAR CANDLE SILVER FLOCK")</f>
        <v>IVORY PILLAR CANDLE SILVER FLOCK</v>
      </c>
      <c r="K1707" s="1">
        <f ca="1">IFERROR(__xludf.DUMMYFUNCTION("""COMPUTED_VALUE"""),3)</f>
        <v>3</v>
      </c>
      <c r="L1707" s="1">
        <f ca="1">IFERROR(__xludf.DUMMYFUNCTION("""COMPUTED_VALUE"""),2.95)</f>
        <v>2.95</v>
      </c>
      <c r="T1707" s="1">
        <f ca="1">IFERROR(__xludf.DUMMYFUNCTION("""COMPUTED_VALUE"""),489579)</f>
        <v>489579</v>
      </c>
      <c r="U1707" s="1">
        <f ca="1">IFERROR(__xludf.DUMMYFUNCTION("""COMPUTED_VALUE"""),8.85)</f>
        <v>8.85</v>
      </c>
    </row>
    <row r="1708" spans="1:21" ht="12.75" x14ac:dyDescent="0.2">
      <c r="A1708" s="3">
        <f ca="1">IFERROR(__xludf.DUMMYFUNCTION("""COMPUTED_VALUE"""),40148.5701388888)</f>
        <v>40148.570138888797</v>
      </c>
      <c r="B1708" s="1">
        <f ca="1">IFERROR(__xludf.DUMMYFUNCTION("""COMPUTED_VALUE"""),4.25)</f>
        <v>4.25</v>
      </c>
      <c r="J1708" s="1" t="str">
        <f ca="1">IFERROR(__xludf.DUMMYFUNCTION("""COMPUTED_VALUE"""),"HAND OPEN SHAPE GOLD")</f>
        <v>HAND OPEN SHAPE GOLD</v>
      </c>
      <c r="K1708" s="1">
        <f ca="1">IFERROR(__xludf.DUMMYFUNCTION("""COMPUTED_VALUE"""),2)</f>
        <v>2</v>
      </c>
      <c r="L1708" s="1">
        <f ca="1">IFERROR(__xludf.DUMMYFUNCTION("""COMPUTED_VALUE"""),4.25)</f>
        <v>4.25</v>
      </c>
      <c r="T1708" s="1">
        <f ca="1">IFERROR(__xludf.DUMMYFUNCTION("""COMPUTED_VALUE"""),489579)</f>
        <v>489579</v>
      </c>
      <c r="U1708" s="1">
        <f ca="1">IFERROR(__xludf.DUMMYFUNCTION("""COMPUTED_VALUE"""),8.5)</f>
        <v>8.5</v>
      </c>
    </row>
    <row r="1709" spans="1:21" ht="12.75" x14ac:dyDescent="0.2">
      <c r="A1709" s="3">
        <f ca="1">IFERROR(__xludf.DUMMYFUNCTION("""COMPUTED_VALUE"""),40148.5701388888)</f>
        <v>40148.570138888797</v>
      </c>
      <c r="B1709" s="1">
        <f ca="1">IFERROR(__xludf.DUMMYFUNCTION("""COMPUTED_VALUE"""),1.25)</f>
        <v>1.25</v>
      </c>
      <c r="J1709" s="1" t="str">
        <f ca="1">IFERROR(__xludf.DUMMYFUNCTION("""COMPUTED_VALUE"""),"200 RED + WHITE BENDY STRAWS")</f>
        <v>200 RED + WHITE BENDY STRAWS</v>
      </c>
      <c r="K1709" s="1">
        <f ca="1">IFERROR(__xludf.DUMMYFUNCTION("""COMPUTED_VALUE"""),2)</f>
        <v>2</v>
      </c>
      <c r="L1709" s="1">
        <f ca="1">IFERROR(__xludf.DUMMYFUNCTION("""COMPUTED_VALUE"""),1.25)</f>
        <v>1.25</v>
      </c>
      <c r="T1709" s="1">
        <f ca="1">IFERROR(__xludf.DUMMYFUNCTION("""COMPUTED_VALUE"""),489579)</f>
        <v>489579</v>
      </c>
      <c r="U1709" s="1">
        <f ca="1">IFERROR(__xludf.DUMMYFUNCTION("""COMPUTED_VALUE"""),2.5)</f>
        <v>2.5</v>
      </c>
    </row>
    <row r="1710" spans="1:21" ht="12.75" x14ac:dyDescent="0.2">
      <c r="A1710" s="3">
        <f ca="1">IFERROR(__xludf.DUMMYFUNCTION("""COMPUTED_VALUE"""),40148.5701388888)</f>
        <v>40148.570138888797</v>
      </c>
      <c r="B1710" s="1">
        <f ca="1">IFERROR(__xludf.DUMMYFUNCTION("""COMPUTED_VALUE"""),2.1)</f>
        <v>2.1</v>
      </c>
      <c r="J1710" s="1" t="str">
        <f ca="1">IFERROR(__xludf.DUMMYFUNCTION("""COMPUTED_VALUE"""),"VINTAGE GOLD TINSEL REEL")</f>
        <v>VINTAGE GOLD TINSEL REEL</v>
      </c>
      <c r="K1710" s="1">
        <f ca="1">IFERROR(__xludf.DUMMYFUNCTION("""COMPUTED_VALUE"""),2)</f>
        <v>2</v>
      </c>
      <c r="L1710" s="1">
        <f ca="1">IFERROR(__xludf.DUMMYFUNCTION("""COMPUTED_VALUE"""),2.1)</f>
        <v>2.1</v>
      </c>
      <c r="T1710" s="1">
        <f ca="1">IFERROR(__xludf.DUMMYFUNCTION("""COMPUTED_VALUE"""),489579)</f>
        <v>489579</v>
      </c>
      <c r="U1710" s="1">
        <f ca="1">IFERROR(__xludf.DUMMYFUNCTION("""COMPUTED_VALUE"""),4.2)</f>
        <v>4.2</v>
      </c>
    </row>
    <row r="1711" spans="1:21" ht="12.75" x14ac:dyDescent="0.2">
      <c r="A1711" s="3">
        <f ca="1">IFERROR(__xludf.DUMMYFUNCTION("""COMPUTED_VALUE"""),40148.5701388888)</f>
        <v>40148.570138888797</v>
      </c>
      <c r="B1711" s="1">
        <f ca="1">IFERROR(__xludf.DUMMYFUNCTION("""COMPUTED_VALUE"""),2.95)</f>
        <v>2.95</v>
      </c>
      <c r="J1711" s="1" t="str">
        <f ca="1">IFERROR(__xludf.DUMMYFUNCTION("""COMPUTED_VALUE"""),"PINK PILLAR CANDLE SILVER FLOCK")</f>
        <v>PINK PILLAR CANDLE SILVER FLOCK</v>
      </c>
      <c r="K1711" s="1">
        <f ca="1">IFERROR(__xludf.DUMMYFUNCTION("""COMPUTED_VALUE"""),2)</f>
        <v>2</v>
      </c>
      <c r="L1711" s="1">
        <f ca="1">IFERROR(__xludf.DUMMYFUNCTION("""COMPUTED_VALUE"""),2.95)</f>
        <v>2.95</v>
      </c>
      <c r="T1711" s="1">
        <f ca="1">IFERROR(__xludf.DUMMYFUNCTION("""COMPUTED_VALUE"""),489579)</f>
        <v>489579</v>
      </c>
      <c r="U1711" s="1">
        <f ca="1">IFERROR(__xludf.DUMMYFUNCTION("""COMPUTED_VALUE"""),5.9)</f>
        <v>5.9</v>
      </c>
    </row>
    <row r="1712" spans="1:21" ht="12.75" x14ac:dyDescent="0.2">
      <c r="A1712" s="3">
        <f ca="1">IFERROR(__xludf.DUMMYFUNCTION("""COMPUTED_VALUE"""),40148.5701388888)</f>
        <v>40148.570138888797</v>
      </c>
      <c r="B1712" s="1">
        <f ca="1">IFERROR(__xludf.DUMMYFUNCTION("""COMPUTED_VALUE"""),0.85)</f>
        <v>0.85</v>
      </c>
      <c r="J1712" s="1" t="str">
        <f ca="1">IFERROR(__xludf.DUMMYFUNCTION("""COMPUTED_VALUE"""),"RED SPOTTY CUP")</f>
        <v>RED SPOTTY CUP</v>
      </c>
      <c r="K1712" s="1">
        <f ca="1">IFERROR(__xludf.DUMMYFUNCTION("""COMPUTED_VALUE"""),2)</f>
        <v>2</v>
      </c>
      <c r="L1712" s="1">
        <f ca="1">IFERROR(__xludf.DUMMYFUNCTION("""COMPUTED_VALUE"""),0.85)</f>
        <v>0.85</v>
      </c>
      <c r="T1712" s="1">
        <f ca="1">IFERROR(__xludf.DUMMYFUNCTION("""COMPUTED_VALUE"""),489579)</f>
        <v>489579</v>
      </c>
      <c r="U1712" s="1">
        <f ca="1">IFERROR(__xludf.DUMMYFUNCTION("""COMPUTED_VALUE"""),1.7)</f>
        <v>1.7</v>
      </c>
    </row>
    <row r="1713" spans="1:21" ht="12.75" x14ac:dyDescent="0.2">
      <c r="A1713" s="3">
        <f ca="1">IFERROR(__xludf.DUMMYFUNCTION("""COMPUTED_VALUE"""),40148.5701388888)</f>
        <v>40148.570138888797</v>
      </c>
      <c r="B1713" s="1">
        <f ca="1">IFERROR(__xludf.DUMMYFUNCTION("""COMPUTED_VALUE"""),4.95)</f>
        <v>4.95</v>
      </c>
      <c r="J1713" s="1" t="str">
        <f ca="1">IFERROR(__xludf.DUMMYFUNCTION("""COMPUTED_VALUE"""),"BLOKEY SILVER TOOL SET")</f>
        <v>BLOKEY SILVER TOOL SET</v>
      </c>
      <c r="K1713" s="1">
        <f ca="1">IFERROR(__xludf.DUMMYFUNCTION("""COMPUTED_VALUE"""),1)</f>
        <v>1</v>
      </c>
      <c r="L1713" s="1">
        <f ca="1">IFERROR(__xludf.DUMMYFUNCTION("""COMPUTED_VALUE"""),4.95)</f>
        <v>4.95</v>
      </c>
      <c r="T1713" s="1">
        <f ca="1">IFERROR(__xludf.DUMMYFUNCTION("""COMPUTED_VALUE"""),489579)</f>
        <v>489579</v>
      </c>
      <c r="U1713" s="1">
        <f ca="1">IFERROR(__xludf.DUMMYFUNCTION("""COMPUTED_VALUE"""),4.95)</f>
        <v>4.95</v>
      </c>
    </row>
    <row r="1714" spans="1:21" ht="12.75" x14ac:dyDescent="0.2">
      <c r="A1714" s="3">
        <f ca="1">IFERROR(__xludf.DUMMYFUNCTION("""COMPUTED_VALUE"""),40148.5701388888)</f>
        <v>40148.570138888797</v>
      </c>
      <c r="B1714" s="1">
        <f ca="1">IFERROR(__xludf.DUMMYFUNCTION("""COMPUTED_VALUE"""),4.95)</f>
        <v>4.95</v>
      </c>
      <c r="J1714" s="1" t="str">
        <f ca="1">IFERROR(__xludf.DUMMYFUNCTION("""COMPUTED_VALUE"""),"GIRLY PINK TOOL SET")</f>
        <v>GIRLY PINK TOOL SET</v>
      </c>
      <c r="K1714" s="1">
        <f ca="1">IFERROR(__xludf.DUMMYFUNCTION("""COMPUTED_VALUE"""),1)</f>
        <v>1</v>
      </c>
      <c r="L1714" s="1">
        <f ca="1">IFERROR(__xludf.DUMMYFUNCTION("""COMPUTED_VALUE"""),4.95)</f>
        <v>4.95</v>
      </c>
      <c r="T1714" s="1">
        <f ca="1">IFERROR(__xludf.DUMMYFUNCTION("""COMPUTED_VALUE"""),489579)</f>
        <v>489579</v>
      </c>
      <c r="U1714" s="1">
        <f ca="1">IFERROR(__xludf.DUMMYFUNCTION("""COMPUTED_VALUE"""),4.95)</f>
        <v>4.95</v>
      </c>
    </row>
    <row r="1715" spans="1:21" ht="12.75" x14ac:dyDescent="0.2">
      <c r="A1715" s="3">
        <f ca="1">IFERROR(__xludf.DUMMYFUNCTION("""COMPUTED_VALUE"""),40148.5701388888)</f>
        <v>40148.570138888797</v>
      </c>
      <c r="B1715" s="1">
        <f ca="1">IFERROR(__xludf.DUMMYFUNCTION("""COMPUTED_VALUE"""),4.95)</f>
        <v>4.95</v>
      </c>
      <c r="J1715" s="1" t="str">
        <f ca="1">IFERROR(__xludf.DUMMYFUNCTION("""COMPUTED_VALUE"""),"SET 3 RED SPOT TIN TEA,COFFEE,SUGAR")</f>
        <v>SET 3 RED SPOT TIN TEA,COFFEE,SUGAR</v>
      </c>
      <c r="K1715" s="1">
        <f ca="1">IFERROR(__xludf.DUMMYFUNCTION("""COMPUTED_VALUE"""),1)</f>
        <v>1</v>
      </c>
      <c r="L1715" s="1">
        <f ca="1">IFERROR(__xludf.DUMMYFUNCTION("""COMPUTED_VALUE"""),4.95)</f>
        <v>4.95</v>
      </c>
      <c r="T1715" s="1">
        <f ca="1">IFERROR(__xludf.DUMMYFUNCTION("""COMPUTED_VALUE"""),489579)</f>
        <v>489579</v>
      </c>
      <c r="U1715" s="1">
        <f ca="1">IFERROR(__xludf.DUMMYFUNCTION("""COMPUTED_VALUE"""),4.95)</f>
        <v>4.95</v>
      </c>
    </row>
    <row r="1716" spans="1:21" ht="12.75" x14ac:dyDescent="0.2">
      <c r="A1716" s="3">
        <f ca="1">IFERROR(__xludf.DUMMYFUNCTION("""COMPUTED_VALUE"""),40148.5701388888)</f>
        <v>40148.570138888797</v>
      </c>
      <c r="B1716" s="1">
        <f ca="1">IFERROR(__xludf.DUMMYFUNCTION("""COMPUTED_VALUE"""),4.95)</f>
        <v>4.95</v>
      </c>
      <c r="J1716" s="1" t="str">
        <f ca="1">IFERROR(__xludf.DUMMYFUNCTION("""COMPUTED_VALUE"""),"RED SPOTTY BIG BOWL")</f>
        <v>RED SPOTTY BIG BOWL</v>
      </c>
      <c r="K1716" s="1">
        <f ca="1">IFERROR(__xludf.DUMMYFUNCTION("""COMPUTED_VALUE"""),1)</f>
        <v>1</v>
      </c>
      <c r="L1716" s="1">
        <f ca="1">IFERROR(__xludf.DUMMYFUNCTION("""COMPUTED_VALUE"""),4.95)</f>
        <v>4.95</v>
      </c>
      <c r="T1716" s="1">
        <f ca="1">IFERROR(__xludf.DUMMYFUNCTION("""COMPUTED_VALUE"""),489579)</f>
        <v>489579</v>
      </c>
      <c r="U1716" s="1">
        <f ca="1">IFERROR(__xludf.DUMMYFUNCTION("""COMPUTED_VALUE"""),4.95)</f>
        <v>4.95</v>
      </c>
    </row>
    <row r="1717" spans="1:21" ht="12.75" x14ac:dyDescent="0.2">
      <c r="A1717" s="3">
        <f ca="1">IFERROR(__xludf.DUMMYFUNCTION("""COMPUTED_VALUE"""),40148.5701388888)</f>
        <v>40148.570138888797</v>
      </c>
      <c r="B1717" s="1">
        <f ca="1">IFERROR(__xludf.DUMMYFUNCTION("""COMPUTED_VALUE"""),1.49)</f>
        <v>1.49</v>
      </c>
      <c r="J1717" s="1" t="str">
        <f ca="1">IFERROR(__xludf.DUMMYFUNCTION("""COMPUTED_VALUE"""),"SET OF RED SALAD SERVERS")</f>
        <v>SET OF RED SALAD SERVERS</v>
      </c>
      <c r="K1717" s="1">
        <f ca="1">IFERROR(__xludf.DUMMYFUNCTION("""COMPUTED_VALUE"""),1)</f>
        <v>1</v>
      </c>
      <c r="L1717" s="1">
        <f ca="1">IFERROR(__xludf.DUMMYFUNCTION("""COMPUTED_VALUE"""),1.49)</f>
        <v>1.49</v>
      </c>
      <c r="T1717" s="1">
        <f ca="1">IFERROR(__xludf.DUMMYFUNCTION("""COMPUTED_VALUE"""),489579)</f>
        <v>489579</v>
      </c>
      <c r="U1717" s="1">
        <f ca="1">IFERROR(__xludf.DUMMYFUNCTION("""COMPUTED_VALUE"""),1.49)</f>
        <v>1.49</v>
      </c>
    </row>
    <row r="1718" spans="1:21" ht="12.75" x14ac:dyDescent="0.2">
      <c r="A1718" s="3">
        <f ca="1">IFERROR(__xludf.DUMMYFUNCTION("""COMPUTED_VALUE"""),40148.5701388888)</f>
        <v>40148.570138888797</v>
      </c>
      <c r="B1718" s="1">
        <f ca="1">IFERROR(__xludf.DUMMYFUNCTION("""COMPUTED_VALUE"""),7.95)</f>
        <v>7.95</v>
      </c>
      <c r="J1718" s="1" t="str">
        <f ca="1">IFERROR(__xludf.DUMMYFUNCTION("""COMPUTED_VALUE"""),"RED SHARK HELICOPTER")</f>
        <v>RED SHARK HELICOPTER</v>
      </c>
      <c r="K1718" s="1">
        <f ca="1">IFERROR(__xludf.DUMMYFUNCTION("""COMPUTED_VALUE"""),1)</f>
        <v>1</v>
      </c>
      <c r="L1718" s="1">
        <f ca="1">IFERROR(__xludf.DUMMYFUNCTION("""COMPUTED_VALUE"""),7.95)</f>
        <v>7.95</v>
      </c>
      <c r="T1718" s="1">
        <f ca="1">IFERROR(__xludf.DUMMYFUNCTION("""COMPUTED_VALUE"""),489579)</f>
        <v>489579</v>
      </c>
      <c r="U1718" s="1">
        <f ca="1">IFERROR(__xludf.DUMMYFUNCTION("""COMPUTED_VALUE"""),7.95)</f>
        <v>7.95</v>
      </c>
    </row>
    <row r="1719" spans="1:21" ht="12.75" x14ac:dyDescent="0.2">
      <c r="A1719" s="3">
        <f ca="1">IFERROR(__xludf.DUMMYFUNCTION("""COMPUTED_VALUE"""),40148.5701388888)</f>
        <v>40148.570138888797</v>
      </c>
      <c r="B1719" s="1">
        <f ca="1">IFERROR(__xludf.DUMMYFUNCTION("""COMPUTED_VALUE"""),9.95)</f>
        <v>9.9499999999999993</v>
      </c>
      <c r="J1719" s="1" t="str">
        <f ca="1">IFERROR(__xludf.DUMMYFUNCTION("""COMPUTED_VALUE"""),"RED SPOTTY ROUND CAKE TINS")</f>
        <v>RED SPOTTY ROUND CAKE TINS</v>
      </c>
      <c r="K1719" s="1">
        <f ca="1">IFERROR(__xludf.DUMMYFUNCTION("""COMPUTED_VALUE"""),1)</f>
        <v>1</v>
      </c>
      <c r="L1719" s="1">
        <f ca="1">IFERROR(__xludf.DUMMYFUNCTION("""COMPUTED_VALUE"""),9.95)</f>
        <v>9.9499999999999993</v>
      </c>
      <c r="T1719" s="1">
        <f ca="1">IFERROR(__xludf.DUMMYFUNCTION("""COMPUTED_VALUE"""),489579)</f>
        <v>489579</v>
      </c>
      <c r="U1719" s="1">
        <f ca="1">IFERROR(__xludf.DUMMYFUNCTION("""COMPUTED_VALUE"""),9.95)</f>
        <v>9.9499999999999993</v>
      </c>
    </row>
    <row r="1720" spans="1:21" ht="12.75" x14ac:dyDescent="0.2">
      <c r="A1720" s="3">
        <f ca="1">IFERROR(__xludf.DUMMYFUNCTION("""COMPUTED_VALUE"""),40148.5701388888)</f>
        <v>40148.570138888797</v>
      </c>
      <c r="B1720" s="1">
        <f ca="1">IFERROR(__xludf.DUMMYFUNCTION("""COMPUTED_VALUE"""),3.75)</f>
        <v>3.75</v>
      </c>
      <c r="J1720" s="1" t="str">
        <f ca="1">IFERROR(__xludf.DUMMYFUNCTION("""COMPUTED_VALUE"""),"RED SPOTTY BISCUIT TIN")</f>
        <v>RED SPOTTY BISCUIT TIN</v>
      </c>
      <c r="K1720" s="1">
        <f ca="1">IFERROR(__xludf.DUMMYFUNCTION("""COMPUTED_VALUE"""),1)</f>
        <v>1</v>
      </c>
      <c r="L1720" s="1">
        <f ca="1">IFERROR(__xludf.DUMMYFUNCTION("""COMPUTED_VALUE"""),3.75)</f>
        <v>3.75</v>
      </c>
      <c r="T1720" s="1">
        <f ca="1">IFERROR(__xludf.DUMMYFUNCTION("""COMPUTED_VALUE"""),489579)</f>
        <v>489579</v>
      </c>
      <c r="U1720" s="1">
        <f ca="1">IFERROR(__xludf.DUMMYFUNCTION("""COMPUTED_VALUE"""),3.75)</f>
        <v>3.75</v>
      </c>
    </row>
    <row r="1721" spans="1:21" ht="12.75" x14ac:dyDescent="0.2">
      <c r="A1721" s="3">
        <f ca="1">IFERROR(__xludf.DUMMYFUNCTION("""COMPUTED_VALUE"""),40148.5701388888)</f>
        <v>40148.570138888797</v>
      </c>
      <c r="B1721" s="1">
        <f ca="1">IFERROR(__xludf.DUMMYFUNCTION("""COMPUTED_VALUE"""),0.95)</f>
        <v>0.95</v>
      </c>
      <c r="J1721" s="1" t="str">
        <f ca="1">IFERROR(__xludf.DUMMYFUNCTION("""COMPUTED_VALUE"""),"REX CASH+CARRY JUMBO SHOPPER")</f>
        <v>REX CASH+CARRY JUMBO SHOPPER</v>
      </c>
      <c r="K1721" s="1">
        <f ca="1">IFERROR(__xludf.DUMMYFUNCTION("""COMPUTED_VALUE"""),1)</f>
        <v>1</v>
      </c>
      <c r="L1721" s="1">
        <f ca="1">IFERROR(__xludf.DUMMYFUNCTION("""COMPUTED_VALUE"""),0.95)</f>
        <v>0.95</v>
      </c>
      <c r="T1721" s="1">
        <f ca="1">IFERROR(__xludf.DUMMYFUNCTION("""COMPUTED_VALUE"""),489579)</f>
        <v>489579</v>
      </c>
      <c r="U1721" s="1">
        <f ca="1">IFERROR(__xludf.DUMMYFUNCTION("""COMPUTED_VALUE"""),0.95)</f>
        <v>0.95</v>
      </c>
    </row>
    <row r="1722" spans="1:21" ht="12.75" x14ac:dyDescent="0.2">
      <c r="A1722" s="3">
        <f ca="1">IFERROR(__xludf.DUMMYFUNCTION("""COMPUTED_VALUE"""),40148.5715277777)</f>
        <v>40148.571527777698</v>
      </c>
      <c r="B1722" s="1">
        <f ca="1">IFERROR(__xludf.DUMMYFUNCTION("""COMPUTED_VALUE"""),1.25)</f>
        <v>1.25</v>
      </c>
      <c r="J1722" s="1" t="str">
        <f ca="1">IFERROR(__xludf.DUMMYFUNCTION("""COMPUTED_VALUE"""),"FAIRY CAKE CANDLES")</f>
        <v>FAIRY CAKE CANDLES</v>
      </c>
      <c r="K1722" s="1">
        <f ca="1">IFERROR(__xludf.DUMMYFUNCTION("""COMPUTED_VALUE"""),108)</f>
        <v>108</v>
      </c>
      <c r="L1722" s="1">
        <f ca="1">IFERROR(__xludf.DUMMYFUNCTION("""COMPUTED_VALUE"""),1.25)</f>
        <v>1.25</v>
      </c>
      <c r="T1722" s="1">
        <f ca="1">IFERROR(__xludf.DUMMYFUNCTION("""COMPUTED_VALUE"""),489580)</f>
        <v>489580</v>
      </c>
      <c r="U1722" s="1">
        <f ca="1">IFERROR(__xludf.DUMMYFUNCTION("""COMPUTED_VALUE"""),135)</f>
        <v>135</v>
      </c>
    </row>
    <row r="1723" spans="1:21" ht="12.75" x14ac:dyDescent="0.2">
      <c r="A1723" s="3">
        <f ca="1">IFERROR(__xludf.DUMMYFUNCTION("""COMPUTED_VALUE"""),40148.5715277777)</f>
        <v>40148.571527777698</v>
      </c>
      <c r="B1723" s="1">
        <f ca="1">IFERROR(__xludf.DUMMYFUNCTION("""COMPUTED_VALUE"""),1.25)</f>
        <v>1.25</v>
      </c>
      <c r="J1723" s="1" t="str">
        <f ca="1">IFERROR(__xludf.DUMMYFUNCTION("""COMPUTED_VALUE"""),"STRAWBERRY CERAMIC TRINKET BOX")</f>
        <v>STRAWBERRY CERAMIC TRINKET BOX</v>
      </c>
      <c r="K1723" s="1">
        <f ca="1">IFERROR(__xludf.DUMMYFUNCTION("""COMPUTED_VALUE"""),24)</f>
        <v>24</v>
      </c>
      <c r="L1723" s="1">
        <f ca="1">IFERROR(__xludf.DUMMYFUNCTION("""COMPUTED_VALUE"""),1.25)</f>
        <v>1.25</v>
      </c>
      <c r="T1723" s="1">
        <f ca="1">IFERROR(__xludf.DUMMYFUNCTION("""COMPUTED_VALUE"""),489580)</f>
        <v>489580</v>
      </c>
      <c r="U1723" s="1">
        <f ca="1">IFERROR(__xludf.DUMMYFUNCTION("""COMPUTED_VALUE"""),30)</f>
        <v>30</v>
      </c>
    </row>
    <row r="1724" spans="1:21" ht="12.75" x14ac:dyDescent="0.2">
      <c r="A1724" s="3">
        <f ca="1">IFERROR(__xludf.DUMMYFUNCTION("""COMPUTED_VALUE"""),40148.5715277777)</f>
        <v>40148.571527777698</v>
      </c>
      <c r="B1724" s="1">
        <f ca="1">IFERROR(__xludf.DUMMYFUNCTION("""COMPUTED_VALUE"""),1.25)</f>
        <v>1.25</v>
      </c>
      <c r="J1724" s="1" t="str">
        <f ca="1">IFERROR(__xludf.DUMMYFUNCTION("""COMPUTED_VALUE"""),"SWEETHEART CERAMIC TRINKET BOX")</f>
        <v>SWEETHEART CERAMIC TRINKET BOX</v>
      </c>
      <c r="K1724" s="1">
        <f ca="1">IFERROR(__xludf.DUMMYFUNCTION("""COMPUTED_VALUE"""),24)</f>
        <v>24</v>
      </c>
      <c r="L1724" s="1">
        <f ca="1">IFERROR(__xludf.DUMMYFUNCTION("""COMPUTED_VALUE"""),1.25)</f>
        <v>1.25</v>
      </c>
      <c r="T1724" s="1">
        <f ca="1">IFERROR(__xludf.DUMMYFUNCTION("""COMPUTED_VALUE"""),489580)</f>
        <v>489580</v>
      </c>
      <c r="U1724" s="1">
        <f ca="1">IFERROR(__xludf.DUMMYFUNCTION("""COMPUTED_VALUE"""),30)</f>
        <v>30</v>
      </c>
    </row>
    <row r="1725" spans="1:21" ht="12.75" x14ac:dyDescent="0.2">
      <c r="A1725" s="3">
        <f ca="1">IFERROR(__xludf.DUMMYFUNCTION("""COMPUTED_VALUE"""),40148.5715277777)</f>
        <v>40148.571527777698</v>
      </c>
      <c r="B1725" s="1">
        <f ca="1">IFERROR(__xludf.DUMMYFUNCTION("""COMPUTED_VALUE"""),0.55)</f>
        <v>0.55000000000000004</v>
      </c>
      <c r="J1725" s="1" t="str">
        <f ca="1">IFERROR(__xludf.DUMMYFUNCTION("""COMPUTED_VALUE"""),"PACK OF 60 DINOSAUR CAKE CASES")</f>
        <v>PACK OF 60 DINOSAUR CAKE CASES</v>
      </c>
      <c r="K1725" s="1">
        <f ca="1">IFERROR(__xludf.DUMMYFUNCTION("""COMPUTED_VALUE"""),24)</f>
        <v>24</v>
      </c>
      <c r="L1725" s="1">
        <f ca="1">IFERROR(__xludf.DUMMYFUNCTION("""COMPUTED_VALUE"""),0.55)</f>
        <v>0.55000000000000004</v>
      </c>
      <c r="T1725" s="1">
        <f ca="1">IFERROR(__xludf.DUMMYFUNCTION("""COMPUTED_VALUE"""),489580)</f>
        <v>489580</v>
      </c>
      <c r="U1725" s="1">
        <f ca="1">IFERROR(__xludf.DUMMYFUNCTION("""COMPUTED_VALUE"""),13.2)</f>
        <v>13.2</v>
      </c>
    </row>
    <row r="1726" spans="1:21" ht="12.75" x14ac:dyDescent="0.2">
      <c r="A1726" s="3">
        <f ca="1">IFERROR(__xludf.DUMMYFUNCTION("""COMPUTED_VALUE"""),40148.5715277777)</f>
        <v>40148.571527777698</v>
      </c>
      <c r="B1726" s="1">
        <f ca="1">IFERROR(__xludf.DUMMYFUNCTION("""COMPUTED_VALUE"""),0.55)</f>
        <v>0.55000000000000004</v>
      </c>
      <c r="J1726" s="1" t="str">
        <f ca="1">IFERROR(__xludf.DUMMYFUNCTION("""COMPUTED_VALUE"""),"PACK OF 72 SKULL CAKE CASES")</f>
        <v>PACK OF 72 SKULL CAKE CASES</v>
      </c>
      <c r="K1726" s="1">
        <f ca="1">IFERROR(__xludf.DUMMYFUNCTION("""COMPUTED_VALUE"""),24)</f>
        <v>24</v>
      </c>
      <c r="L1726" s="1">
        <f ca="1">IFERROR(__xludf.DUMMYFUNCTION("""COMPUTED_VALUE"""),0.55)</f>
        <v>0.55000000000000004</v>
      </c>
      <c r="T1726" s="1">
        <f ca="1">IFERROR(__xludf.DUMMYFUNCTION("""COMPUTED_VALUE"""),489580)</f>
        <v>489580</v>
      </c>
      <c r="U1726" s="1">
        <f ca="1">IFERROR(__xludf.DUMMYFUNCTION("""COMPUTED_VALUE"""),13.2)</f>
        <v>13.2</v>
      </c>
    </row>
    <row r="1727" spans="1:21" ht="12.75" x14ac:dyDescent="0.2">
      <c r="A1727" s="3">
        <f ca="1">IFERROR(__xludf.DUMMYFUNCTION("""COMPUTED_VALUE"""),40148.5715277777)</f>
        <v>40148.571527777698</v>
      </c>
      <c r="B1727" s="1">
        <f ca="1">IFERROR(__xludf.DUMMYFUNCTION("""COMPUTED_VALUE"""),0.55)</f>
        <v>0.55000000000000004</v>
      </c>
      <c r="J1727" s="1" t="str">
        <f ca="1">IFERROR(__xludf.DUMMYFUNCTION("""COMPUTED_VALUE"""),"PACK OF 60 PINK PAISLEY CAKE CASES")</f>
        <v>PACK OF 60 PINK PAISLEY CAKE CASES</v>
      </c>
      <c r="K1727" s="1">
        <f ca="1">IFERROR(__xludf.DUMMYFUNCTION("""COMPUTED_VALUE"""),24)</f>
        <v>24</v>
      </c>
      <c r="L1727" s="1">
        <f ca="1">IFERROR(__xludf.DUMMYFUNCTION("""COMPUTED_VALUE"""),0.55)</f>
        <v>0.55000000000000004</v>
      </c>
      <c r="T1727" s="1">
        <f ca="1">IFERROR(__xludf.DUMMYFUNCTION("""COMPUTED_VALUE"""),489580)</f>
        <v>489580</v>
      </c>
      <c r="U1727" s="1">
        <f ca="1">IFERROR(__xludf.DUMMYFUNCTION("""COMPUTED_VALUE"""),13.2)</f>
        <v>13.2</v>
      </c>
    </row>
    <row r="1728" spans="1:21" ht="12.75" x14ac:dyDescent="0.2">
      <c r="A1728" s="3">
        <f ca="1">IFERROR(__xludf.DUMMYFUNCTION("""COMPUTED_VALUE"""),40148.5715277777)</f>
        <v>40148.571527777698</v>
      </c>
      <c r="B1728" s="1">
        <f ca="1">IFERROR(__xludf.DUMMYFUNCTION("""COMPUTED_VALUE"""),0.55)</f>
        <v>0.55000000000000004</v>
      </c>
      <c r="J1728" s="1" t="str">
        <f ca="1">IFERROR(__xludf.DUMMYFUNCTION("""COMPUTED_VALUE"""),"PACK OF 72 RETRO SPOT CAKE CASES")</f>
        <v>PACK OF 72 RETRO SPOT CAKE CASES</v>
      </c>
      <c r="K1728" s="1">
        <f ca="1">IFERROR(__xludf.DUMMYFUNCTION("""COMPUTED_VALUE"""),24)</f>
        <v>24</v>
      </c>
      <c r="L1728" s="1">
        <f ca="1">IFERROR(__xludf.DUMMYFUNCTION("""COMPUTED_VALUE"""),0.55)</f>
        <v>0.55000000000000004</v>
      </c>
      <c r="T1728" s="1">
        <f ca="1">IFERROR(__xludf.DUMMYFUNCTION("""COMPUTED_VALUE"""),489580)</f>
        <v>489580</v>
      </c>
      <c r="U1728" s="1">
        <f ca="1">IFERROR(__xludf.DUMMYFUNCTION("""COMPUTED_VALUE"""),13.2)</f>
        <v>13.2</v>
      </c>
    </row>
    <row r="1729" spans="1:21" ht="12.75" x14ac:dyDescent="0.2">
      <c r="A1729" s="3">
        <f ca="1">IFERROR(__xludf.DUMMYFUNCTION("""COMPUTED_VALUE"""),40148.5715277777)</f>
        <v>40148.571527777698</v>
      </c>
      <c r="B1729" s="1">
        <f ca="1">IFERROR(__xludf.DUMMYFUNCTION("""COMPUTED_VALUE"""),0.55)</f>
        <v>0.55000000000000004</v>
      </c>
      <c r="J1729" s="1" t="str">
        <f ca="1">IFERROR(__xludf.DUMMYFUNCTION("""COMPUTED_VALUE"""),"60 TEATIME FAIRY CAKE CASES")</f>
        <v>60 TEATIME FAIRY CAKE CASES</v>
      </c>
      <c r="K1729" s="1">
        <f ca="1">IFERROR(__xludf.DUMMYFUNCTION("""COMPUTED_VALUE"""),24)</f>
        <v>24</v>
      </c>
      <c r="L1729" s="1">
        <f ca="1">IFERROR(__xludf.DUMMYFUNCTION("""COMPUTED_VALUE"""),0.55)</f>
        <v>0.55000000000000004</v>
      </c>
      <c r="T1729" s="1">
        <f ca="1">IFERROR(__xludf.DUMMYFUNCTION("""COMPUTED_VALUE"""),489580)</f>
        <v>489580</v>
      </c>
      <c r="U1729" s="1">
        <f ca="1">IFERROR(__xludf.DUMMYFUNCTION("""COMPUTED_VALUE"""),13.2)</f>
        <v>13.2</v>
      </c>
    </row>
    <row r="1730" spans="1:21" ht="12.75" x14ac:dyDescent="0.2">
      <c r="A1730" s="3">
        <f ca="1">IFERROR(__xludf.DUMMYFUNCTION("""COMPUTED_VALUE"""),40148.5743055555)</f>
        <v>40148.574305555499</v>
      </c>
      <c r="B1730" s="1">
        <f ca="1">IFERROR(__xludf.DUMMYFUNCTION("""COMPUTED_VALUE"""),0.42)</f>
        <v>0.42</v>
      </c>
      <c r="J1730" s="1" t="str">
        <f ca="1">IFERROR(__xludf.DUMMYFUNCTION("""COMPUTED_VALUE"""),"CACTI T-LIGHT CANDLES")</f>
        <v>CACTI T-LIGHT CANDLES</v>
      </c>
      <c r="K1730" s="1">
        <f ca="1">IFERROR(__xludf.DUMMYFUNCTION("""COMPUTED_VALUE"""),64)</f>
        <v>64</v>
      </c>
      <c r="L1730" s="1">
        <f ca="1">IFERROR(__xludf.DUMMYFUNCTION("""COMPUTED_VALUE"""),0.42)</f>
        <v>0.42</v>
      </c>
      <c r="T1730" s="1">
        <f ca="1">IFERROR(__xludf.DUMMYFUNCTION("""COMPUTED_VALUE"""),489581)</f>
        <v>489581</v>
      </c>
      <c r="U1730" s="1">
        <f ca="1">IFERROR(__xludf.DUMMYFUNCTION("""COMPUTED_VALUE"""),26.88)</f>
        <v>26.88</v>
      </c>
    </row>
    <row r="1731" spans="1:21" ht="12.75" x14ac:dyDescent="0.2">
      <c r="A1731" s="3">
        <f ca="1">IFERROR(__xludf.DUMMYFUNCTION("""COMPUTED_VALUE"""),40148.5743055555)</f>
        <v>40148.574305555499</v>
      </c>
      <c r="B1731" s="1">
        <f ca="1">IFERROR(__xludf.DUMMYFUNCTION("""COMPUTED_VALUE"""),0.38)</f>
        <v>0.38</v>
      </c>
      <c r="J1731" s="1" t="str">
        <f ca="1">IFERROR(__xludf.DUMMYFUNCTION("""COMPUTED_VALUE"""),"ROSES WHITE ROUND CANDLE")</f>
        <v>ROSES WHITE ROUND CANDLE</v>
      </c>
      <c r="K1731" s="1">
        <f ca="1">IFERROR(__xludf.DUMMYFUNCTION("""COMPUTED_VALUE"""),36)</f>
        <v>36</v>
      </c>
      <c r="L1731" s="1">
        <f ca="1">IFERROR(__xludf.DUMMYFUNCTION("""COMPUTED_VALUE"""),0.38)</f>
        <v>0.38</v>
      </c>
      <c r="T1731" s="1">
        <f ca="1">IFERROR(__xludf.DUMMYFUNCTION("""COMPUTED_VALUE"""),489581)</f>
        <v>489581</v>
      </c>
      <c r="U1731" s="1">
        <f ca="1">IFERROR(__xludf.DUMMYFUNCTION("""COMPUTED_VALUE"""),13.68)</f>
        <v>13.68</v>
      </c>
    </row>
    <row r="1732" spans="1:21" ht="12.75" x14ac:dyDescent="0.2">
      <c r="A1732" s="3">
        <f ca="1">IFERROR(__xludf.DUMMYFUNCTION("""COMPUTED_VALUE"""),40148.5743055555)</f>
        <v>40148.574305555499</v>
      </c>
      <c r="B1732" s="1">
        <f ca="1">IFERROR(__xludf.DUMMYFUNCTION("""COMPUTED_VALUE"""),0.85)</f>
        <v>0.85</v>
      </c>
      <c r="J1732" s="1" t="str">
        <f ca="1">IFERROR(__xludf.DUMMYFUNCTION("""COMPUTED_VALUE"""),"ASSORTED COLOUR T-LIGHT HOLDER")</f>
        <v>ASSORTED COLOUR T-LIGHT HOLDER</v>
      </c>
      <c r="K1732" s="1">
        <f ca="1">IFERROR(__xludf.DUMMYFUNCTION("""COMPUTED_VALUE"""),12)</f>
        <v>12</v>
      </c>
      <c r="L1732" s="1">
        <f ca="1">IFERROR(__xludf.DUMMYFUNCTION("""COMPUTED_VALUE"""),0.85)</f>
        <v>0.85</v>
      </c>
      <c r="T1732" s="1">
        <f ca="1">IFERROR(__xludf.DUMMYFUNCTION("""COMPUTED_VALUE"""),489581)</f>
        <v>489581</v>
      </c>
      <c r="U1732" s="1">
        <f ca="1">IFERROR(__xludf.DUMMYFUNCTION("""COMPUTED_VALUE"""),10.2)</f>
        <v>10.199999999999999</v>
      </c>
    </row>
    <row r="1733" spans="1:21" ht="12.75" x14ac:dyDescent="0.2">
      <c r="A1733" s="3">
        <f ca="1">IFERROR(__xludf.DUMMYFUNCTION("""COMPUTED_VALUE"""),40148.5743055555)</f>
        <v>40148.574305555499</v>
      </c>
      <c r="B1733" s="1">
        <f ca="1">IFERROR(__xludf.DUMMYFUNCTION("""COMPUTED_VALUE"""),4.65)</f>
        <v>4.6500000000000004</v>
      </c>
      <c r="J1733" s="1" t="str">
        <f ca="1">IFERROR(__xludf.DUMMYFUNCTION("""COMPUTED_VALUE"""),"TABLE LAMP WHITE SHADE WOOD BASE")</f>
        <v>TABLE LAMP WHITE SHADE WOOD BASE</v>
      </c>
      <c r="K1733" s="1">
        <f ca="1">IFERROR(__xludf.DUMMYFUNCTION("""COMPUTED_VALUE"""),12)</f>
        <v>12</v>
      </c>
      <c r="L1733" s="1">
        <f ca="1">IFERROR(__xludf.DUMMYFUNCTION("""COMPUTED_VALUE"""),4.65)</f>
        <v>4.6500000000000004</v>
      </c>
      <c r="T1733" s="1">
        <f ca="1">IFERROR(__xludf.DUMMYFUNCTION("""COMPUTED_VALUE"""),489581)</f>
        <v>489581</v>
      </c>
      <c r="U1733" s="1">
        <f ca="1">IFERROR(__xludf.DUMMYFUNCTION("""COMPUTED_VALUE"""),55.8)</f>
        <v>55.8</v>
      </c>
    </row>
    <row r="1734" spans="1:21" ht="12.75" x14ac:dyDescent="0.2">
      <c r="A1734" s="3">
        <f ca="1">IFERROR(__xludf.DUMMYFUNCTION("""COMPUTED_VALUE"""),40148.5743055555)</f>
        <v>40148.574305555499</v>
      </c>
      <c r="B1734" s="1">
        <f ca="1">IFERROR(__xludf.DUMMYFUNCTION("""COMPUTED_VALUE"""),0.65)</f>
        <v>0.65</v>
      </c>
      <c r="J1734" s="1" t="str">
        <f ca="1">IFERROR(__xludf.DUMMYFUNCTION("""COMPUTED_VALUE"""),"COLOUR GLASS T-LIGHT HOLDER HANGING")</f>
        <v>COLOUR GLASS T-LIGHT HOLDER HANGING</v>
      </c>
      <c r="K1734" s="1">
        <f ca="1">IFERROR(__xludf.DUMMYFUNCTION("""COMPUTED_VALUE"""),8)</f>
        <v>8</v>
      </c>
      <c r="L1734" s="1">
        <f ca="1">IFERROR(__xludf.DUMMYFUNCTION("""COMPUTED_VALUE"""),0.65)</f>
        <v>0.65</v>
      </c>
      <c r="T1734" s="1">
        <f ca="1">IFERROR(__xludf.DUMMYFUNCTION("""COMPUTED_VALUE"""),489581)</f>
        <v>489581</v>
      </c>
      <c r="U1734" s="1">
        <f ca="1">IFERROR(__xludf.DUMMYFUNCTION("""COMPUTED_VALUE"""),5.2)</f>
        <v>5.2</v>
      </c>
    </row>
    <row r="1735" spans="1:21" ht="12.75" x14ac:dyDescent="0.2">
      <c r="A1735" s="3">
        <f ca="1">IFERROR(__xludf.DUMMYFUNCTION("""COMPUTED_VALUE"""),40148.5743055555)</f>
        <v>40148.574305555499</v>
      </c>
      <c r="B1735" s="1">
        <f ca="1">IFERROR(__xludf.DUMMYFUNCTION("""COMPUTED_VALUE"""),4.95)</f>
        <v>4.95</v>
      </c>
      <c r="J1735" s="1" t="str">
        <f ca="1">IFERROR(__xludf.DUMMYFUNCTION("""COMPUTED_VALUE"""),"S/4 CACTI CANDLES")</f>
        <v>S/4 CACTI CANDLES</v>
      </c>
      <c r="K1735" s="1">
        <f ca="1">IFERROR(__xludf.DUMMYFUNCTION("""COMPUTED_VALUE"""),1)</f>
        <v>1</v>
      </c>
      <c r="L1735" s="1">
        <f ca="1">IFERROR(__xludf.DUMMYFUNCTION("""COMPUTED_VALUE"""),4.95)</f>
        <v>4.95</v>
      </c>
      <c r="T1735" s="1">
        <f ca="1">IFERROR(__xludf.DUMMYFUNCTION("""COMPUTED_VALUE"""),489581)</f>
        <v>489581</v>
      </c>
      <c r="U1735" s="1">
        <f ca="1">IFERROR(__xludf.DUMMYFUNCTION("""COMPUTED_VALUE"""),4.95)</f>
        <v>4.95</v>
      </c>
    </row>
    <row r="1736" spans="1:21" ht="12.75" x14ac:dyDescent="0.2">
      <c r="A1736" s="3">
        <f ca="1">IFERROR(__xludf.DUMMYFUNCTION("""COMPUTED_VALUE"""),40148.5743055555)</f>
        <v>40148.574305555499</v>
      </c>
      <c r="B1736" s="1">
        <f ca="1">IFERROR(__xludf.DUMMYFUNCTION("""COMPUTED_VALUE"""),1.65)</f>
        <v>1.65</v>
      </c>
      <c r="J1736" s="1" t="str">
        <f ca="1">IFERROR(__xludf.DUMMYFUNCTION("""COMPUTED_VALUE"""),"SILVER BLUE EGG T-LIGHT HOLDER")</f>
        <v>SILVER BLUE EGG T-LIGHT HOLDER</v>
      </c>
      <c r="K1736" s="1">
        <f ca="1">IFERROR(__xludf.DUMMYFUNCTION("""COMPUTED_VALUE"""),1)</f>
        <v>1</v>
      </c>
      <c r="L1736" s="1">
        <f ca="1">IFERROR(__xludf.DUMMYFUNCTION("""COMPUTED_VALUE"""),1.65)</f>
        <v>1.65</v>
      </c>
      <c r="T1736" s="1">
        <f ca="1">IFERROR(__xludf.DUMMYFUNCTION("""COMPUTED_VALUE"""),489581)</f>
        <v>489581</v>
      </c>
      <c r="U1736" s="1">
        <f ca="1">IFERROR(__xludf.DUMMYFUNCTION("""COMPUTED_VALUE"""),1.65)</f>
        <v>1.65</v>
      </c>
    </row>
    <row r="1737" spans="1:21" ht="12.75" x14ac:dyDescent="0.2">
      <c r="A1737" s="3">
        <f ca="1">IFERROR(__xludf.DUMMYFUNCTION("""COMPUTED_VALUE"""),40148.5743055555)</f>
        <v>40148.574305555499</v>
      </c>
      <c r="B1737" s="1">
        <f ca="1">IFERROR(__xludf.DUMMYFUNCTION("""COMPUTED_VALUE"""),3.95)</f>
        <v>3.95</v>
      </c>
      <c r="J1737" s="1" t="str">
        <f ca="1">IFERROR(__xludf.DUMMYFUNCTION("""COMPUTED_VALUE"""),"HOT WATER BOTTLE TEA AND SYMPATHY")</f>
        <v>HOT WATER BOTTLE TEA AND SYMPATHY</v>
      </c>
      <c r="K1737" s="1">
        <f ca="1">IFERROR(__xludf.DUMMYFUNCTION("""COMPUTED_VALUE"""),1)</f>
        <v>1</v>
      </c>
      <c r="L1737" s="1">
        <f ca="1">IFERROR(__xludf.DUMMYFUNCTION("""COMPUTED_VALUE"""),3.95)</f>
        <v>3.95</v>
      </c>
      <c r="T1737" s="1">
        <f ca="1">IFERROR(__xludf.DUMMYFUNCTION("""COMPUTED_VALUE"""),489581)</f>
        <v>489581</v>
      </c>
      <c r="U1737" s="1">
        <f ca="1">IFERROR(__xludf.DUMMYFUNCTION("""COMPUTED_VALUE"""),3.95)</f>
        <v>3.95</v>
      </c>
    </row>
    <row r="1738" spans="1:21" ht="12.75" x14ac:dyDescent="0.2">
      <c r="A1738" s="3">
        <f ca="1">IFERROR(__xludf.DUMMYFUNCTION("""COMPUTED_VALUE"""),40148.5743055555)</f>
        <v>40148.574305555499</v>
      </c>
      <c r="B1738" s="1">
        <f ca="1">IFERROR(__xludf.DUMMYFUNCTION("""COMPUTED_VALUE"""),2.1)</f>
        <v>2.1</v>
      </c>
      <c r="J1738" s="1" t="str">
        <f ca="1">IFERROR(__xludf.DUMMYFUNCTION("""COMPUTED_VALUE"""),"PREMIUM CHURCH CANDLE")</f>
        <v>PREMIUM CHURCH CANDLE</v>
      </c>
      <c r="K1738" s="1">
        <f ca="1">IFERROR(__xludf.DUMMYFUNCTION("""COMPUTED_VALUE"""),1)</f>
        <v>1</v>
      </c>
      <c r="L1738" s="1">
        <f ca="1">IFERROR(__xludf.DUMMYFUNCTION("""COMPUTED_VALUE"""),2.1)</f>
        <v>2.1</v>
      </c>
      <c r="T1738" s="1">
        <f ca="1">IFERROR(__xludf.DUMMYFUNCTION("""COMPUTED_VALUE"""),489581)</f>
        <v>489581</v>
      </c>
      <c r="U1738" s="1">
        <f ca="1">IFERROR(__xludf.DUMMYFUNCTION("""COMPUTED_VALUE"""),2.1)</f>
        <v>2.1</v>
      </c>
    </row>
    <row r="1739" spans="1:21" ht="12.75" x14ac:dyDescent="0.2">
      <c r="A1739" s="3">
        <f ca="1">IFERROR(__xludf.DUMMYFUNCTION("""COMPUTED_VALUE"""),40148.5743055555)</f>
        <v>40148.574305555499</v>
      </c>
      <c r="B1739" s="1">
        <f ca="1">IFERROR(__xludf.DUMMYFUNCTION("""COMPUTED_VALUE"""),0.42)</f>
        <v>0.42</v>
      </c>
      <c r="J1739" s="1" t="str">
        <f ca="1">IFERROR(__xludf.DUMMYFUNCTION("""COMPUTED_VALUE"""),"HAPPY ANNIVERSARY CANDLE LETTERS")</f>
        <v>HAPPY ANNIVERSARY CANDLE LETTERS</v>
      </c>
      <c r="K1739" s="1">
        <f ca="1">IFERROR(__xludf.DUMMYFUNCTION("""COMPUTED_VALUE"""),1)</f>
        <v>1</v>
      </c>
      <c r="L1739" s="1">
        <f ca="1">IFERROR(__xludf.DUMMYFUNCTION("""COMPUTED_VALUE"""),0.42)</f>
        <v>0.42</v>
      </c>
      <c r="T1739" s="1">
        <f ca="1">IFERROR(__xludf.DUMMYFUNCTION("""COMPUTED_VALUE"""),489581)</f>
        <v>489581</v>
      </c>
      <c r="U1739" s="1">
        <f ca="1">IFERROR(__xludf.DUMMYFUNCTION("""COMPUTED_VALUE"""),0.42)</f>
        <v>0.42</v>
      </c>
    </row>
    <row r="1740" spans="1:21" ht="12.75" x14ac:dyDescent="0.2">
      <c r="A1740" s="3">
        <f ca="1">IFERROR(__xludf.DUMMYFUNCTION("""COMPUTED_VALUE"""),40148.5743055555)</f>
        <v>40148.574305555499</v>
      </c>
      <c r="B1740" s="1">
        <f ca="1">IFERROR(__xludf.DUMMYFUNCTION("""COMPUTED_VALUE"""),0.95)</f>
        <v>0.95</v>
      </c>
      <c r="J1740" s="1" t="str">
        <f ca="1">IFERROR(__xludf.DUMMYFUNCTION("""COMPUTED_VALUE"""),"SINGLE HEART ZINC T-LIGHT HOLDER")</f>
        <v>SINGLE HEART ZINC T-LIGHT HOLDER</v>
      </c>
      <c r="K1740" s="1">
        <f ca="1">IFERROR(__xludf.DUMMYFUNCTION("""COMPUTED_VALUE"""),72)</f>
        <v>72</v>
      </c>
      <c r="L1740" s="1">
        <f ca="1">IFERROR(__xludf.DUMMYFUNCTION("""COMPUTED_VALUE"""),0.95)</f>
        <v>0.95</v>
      </c>
      <c r="T1740" s="1">
        <f ca="1">IFERROR(__xludf.DUMMYFUNCTION("""COMPUTED_VALUE"""),489582)</f>
        <v>489582</v>
      </c>
      <c r="U1740" s="1">
        <f ca="1">IFERROR(__xludf.DUMMYFUNCTION("""COMPUTED_VALUE"""),68.3999999999999)</f>
        <v>68.399999999999906</v>
      </c>
    </row>
    <row r="1741" spans="1:21" ht="12.75" x14ac:dyDescent="0.2">
      <c r="A1741" s="3">
        <f ca="1">IFERROR(__xludf.DUMMYFUNCTION("""COMPUTED_VALUE"""),40148.5743055555)</f>
        <v>40148.574305555499</v>
      </c>
      <c r="B1741" s="1">
        <f ca="1">IFERROR(__xludf.DUMMYFUNCTION("""COMPUTED_VALUE"""),2.95)</f>
        <v>2.95</v>
      </c>
      <c r="J1741" s="1" t="str">
        <f ca="1">IFERROR(__xludf.DUMMYFUNCTION("""COMPUTED_VALUE"""),"RED ROSE AND LACE C/COVER")</f>
        <v>RED ROSE AND LACE C/COVER</v>
      </c>
      <c r="K1741" s="1">
        <f ca="1">IFERROR(__xludf.DUMMYFUNCTION("""COMPUTED_VALUE"""),18)</f>
        <v>18</v>
      </c>
      <c r="L1741" s="1">
        <f ca="1">IFERROR(__xludf.DUMMYFUNCTION("""COMPUTED_VALUE"""),2.95)</f>
        <v>2.95</v>
      </c>
      <c r="T1741" s="1">
        <f ca="1">IFERROR(__xludf.DUMMYFUNCTION("""COMPUTED_VALUE"""),489582)</f>
        <v>489582</v>
      </c>
      <c r="U1741" s="1">
        <f ca="1">IFERROR(__xludf.DUMMYFUNCTION("""COMPUTED_VALUE"""),53.1)</f>
        <v>53.1</v>
      </c>
    </row>
    <row r="1742" spans="1:21" ht="12.75" x14ac:dyDescent="0.2">
      <c r="A1742" s="3">
        <f ca="1">IFERROR(__xludf.DUMMYFUNCTION("""COMPUTED_VALUE"""),40148.5743055555)</f>
        <v>40148.574305555499</v>
      </c>
      <c r="B1742" s="1">
        <f ca="1">IFERROR(__xludf.DUMMYFUNCTION("""COMPUTED_VALUE"""),4.25)</f>
        <v>4.25</v>
      </c>
      <c r="J1742" s="1" t="str">
        <f ca="1">IFERROR(__xludf.DUMMYFUNCTION("""COMPUTED_VALUE"""),"ORIENTAL RED C/COVER")</f>
        <v>ORIENTAL RED C/COVER</v>
      </c>
      <c r="K1742" s="1">
        <f ca="1">IFERROR(__xludf.DUMMYFUNCTION("""COMPUTED_VALUE"""),12)</f>
        <v>12</v>
      </c>
      <c r="L1742" s="1">
        <f ca="1">IFERROR(__xludf.DUMMYFUNCTION("""COMPUTED_VALUE"""),4.25)</f>
        <v>4.25</v>
      </c>
      <c r="T1742" s="1">
        <f ca="1">IFERROR(__xludf.DUMMYFUNCTION("""COMPUTED_VALUE"""),489582)</f>
        <v>489582</v>
      </c>
      <c r="U1742" s="1">
        <f ca="1">IFERROR(__xludf.DUMMYFUNCTION("""COMPUTED_VALUE"""),51)</f>
        <v>51</v>
      </c>
    </row>
    <row r="1743" spans="1:21" ht="12.75" x14ac:dyDescent="0.2">
      <c r="A1743" s="3">
        <f ca="1">IFERROR(__xludf.DUMMYFUNCTION("""COMPUTED_VALUE"""),40148.5743055555)</f>
        <v>40148.574305555499</v>
      </c>
      <c r="B1743" s="1">
        <f ca="1">IFERROR(__xludf.DUMMYFUNCTION("""COMPUTED_VALUE"""),2.95)</f>
        <v>2.95</v>
      </c>
      <c r="J1743" s="1" t="str">
        <f ca="1">IFERROR(__xludf.DUMMYFUNCTION("""COMPUTED_VALUE"""),"PURPLE PILLAR CANDLE BLACK FLOCK")</f>
        <v>PURPLE PILLAR CANDLE BLACK FLOCK</v>
      </c>
      <c r="K1743" s="1">
        <f ca="1">IFERROR(__xludf.DUMMYFUNCTION("""COMPUTED_VALUE"""),10)</f>
        <v>10</v>
      </c>
      <c r="L1743" s="1">
        <f ca="1">IFERROR(__xludf.DUMMYFUNCTION("""COMPUTED_VALUE"""),2.95)</f>
        <v>2.95</v>
      </c>
      <c r="T1743" s="1">
        <f ca="1">IFERROR(__xludf.DUMMYFUNCTION("""COMPUTED_VALUE"""),489582)</f>
        <v>489582</v>
      </c>
      <c r="U1743" s="1">
        <f ca="1">IFERROR(__xludf.DUMMYFUNCTION("""COMPUTED_VALUE"""),29.5)</f>
        <v>29.5</v>
      </c>
    </row>
    <row r="1744" spans="1:21" ht="12.75" x14ac:dyDescent="0.2">
      <c r="A1744" s="3">
        <f ca="1">IFERROR(__xludf.DUMMYFUNCTION("""COMPUTED_VALUE"""),40148.5743055555)</f>
        <v>40148.574305555499</v>
      </c>
      <c r="B1744" s="1">
        <f ca="1">IFERROR(__xludf.DUMMYFUNCTION("""COMPUTED_VALUE"""),2.95)</f>
        <v>2.95</v>
      </c>
      <c r="J1744" s="1" t="str">
        <f ca="1">IFERROR(__xludf.DUMMYFUNCTION("""COMPUTED_VALUE"""),"NEW BAROQUE IVORY CUSHION COVER")</f>
        <v>NEW BAROQUE IVORY CUSHION COVER</v>
      </c>
      <c r="K1744" s="1">
        <f ca="1">IFERROR(__xludf.DUMMYFUNCTION("""COMPUTED_VALUE"""),6)</f>
        <v>6</v>
      </c>
      <c r="L1744" s="1">
        <f ca="1">IFERROR(__xludf.DUMMYFUNCTION("""COMPUTED_VALUE"""),2.95)</f>
        <v>2.95</v>
      </c>
      <c r="T1744" s="1">
        <f ca="1">IFERROR(__xludf.DUMMYFUNCTION("""COMPUTED_VALUE"""),489582)</f>
        <v>489582</v>
      </c>
      <c r="U1744" s="1">
        <f ca="1">IFERROR(__xludf.DUMMYFUNCTION("""COMPUTED_VALUE"""),17.7)</f>
        <v>17.7</v>
      </c>
    </row>
    <row r="1745" spans="1:21" ht="12.75" x14ac:dyDescent="0.2">
      <c r="A1745" s="3">
        <f ca="1">IFERROR(__xludf.DUMMYFUNCTION("""COMPUTED_VALUE"""),40148.5743055555)</f>
        <v>40148.574305555499</v>
      </c>
      <c r="B1745" s="1">
        <f ca="1">IFERROR(__xludf.DUMMYFUNCTION("""COMPUTED_VALUE"""),8.95)</f>
        <v>8.9499999999999993</v>
      </c>
      <c r="J1745" s="1" t="str">
        <f ca="1">IFERROR(__xludf.DUMMYFUNCTION("""COMPUTED_VALUE"""),"WOODEN BOX ADVENT CALENDAR")</f>
        <v>WOODEN BOX ADVENT CALENDAR</v>
      </c>
      <c r="K1745" s="1">
        <f ca="1">IFERROR(__xludf.DUMMYFUNCTION("""COMPUTED_VALUE"""),2)</f>
        <v>2</v>
      </c>
      <c r="L1745" s="1">
        <f ca="1">IFERROR(__xludf.DUMMYFUNCTION("""COMPUTED_VALUE"""),8.95)</f>
        <v>8.9499999999999993</v>
      </c>
      <c r="T1745" s="1">
        <f ca="1">IFERROR(__xludf.DUMMYFUNCTION("""COMPUTED_VALUE"""),489582)</f>
        <v>489582</v>
      </c>
      <c r="U1745" s="1">
        <f ca="1">IFERROR(__xludf.DUMMYFUNCTION("""COMPUTED_VALUE"""),17.9)</f>
        <v>17.899999999999999</v>
      </c>
    </row>
    <row r="1746" spans="1:21" ht="12.75" x14ac:dyDescent="0.2">
      <c r="A1746" s="3">
        <f ca="1">IFERROR(__xludf.DUMMYFUNCTION("""COMPUTED_VALUE"""),40148.5743055555)</f>
        <v>40148.574305555499</v>
      </c>
      <c r="B1746" s="1">
        <f ca="1">IFERROR(__xludf.DUMMYFUNCTION("""COMPUTED_VALUE"""),12.75)</f>
        <v>12.75</v>
      </c>
      <c r="J1746" s="1" t="str">
        <f ca="1">IFERROR(__xludf.DUMMYFUNCTION("""COMPUTED_VALUE"""),"STRING OF 20 ROSE LIGHTS")</f>
        <v>STRING OF 20 ROSE LIGHTS</v>
      </c>
      <c r="K1746" s="1">
        <f ca="1">IFERROR(__xludf.DUMMYFUNCTION("""COMPUTED_VALUE"""),2)</f>
        <v>2</v>
      </c>
      <c r="L1746" s="1">
        <f ca="1">IFERROR(__xludf.DUMMYFUNCTION("""COMPUTED_VALUE"""),12.75)</f>
        <v>12.75</v>
      </c>
      <c r="T1746" s="1">
        <f ca="1">IFERROR(__xludf.DUMMYFUNCTION("""COMPUTED_VALUE"""),489582)</f>
        <v>489582</v>
      </c>
      <c r="U1746" s="1">
        <f ca="1">IFERROR(__xludf.DUMMYFUNCTION("""COMPUTED_VALUE"""),25.5)</f>
        <v>25.5</v>
      </c>
    </row>
    <row r="1747" spans="1:21" ht="12.75" x14ac:dyDescent="0.2">
      <c r="A1747" s="3">
        <f ca="1">IFERROR(__xludf.DUMMYFUNCTION("""COMPUTED_VALUE"""),40148.5743055555)</f>
        <v>40148.574305555499</v>
      </c>
      <c r="B1747" s="1">
        <f ca="1">IFERROR(__xludf.DUMMYFUNCTION("""COMPUTED_VALUE"""),7.95)</f>
        <v>7.95</v>
      </c>
      <c r="J1747" s="1" t="str">
        <f ca="1">IFERROR(__xludf.DUMMYFUNCTION("""COMPUTED_VALUE"""),"15CM CHRISTMAS GLASS BALL 20 LIGHTS")</f>
        <v>15CM CHRISTMAS GLASS BALL 20 LIGHTS</v>
      </c>
      <c r="K1747" s="1">
        <f ca="1">IFERROR(__xludf.DUMMYFUNCTION("""COMPUTED_VALUE"""),2)</f>
        <v>2</v>
      </c>
      <c r="L1747" s="1">
        <f ca="1">IFERROR(__xludf.DUMMYFUNCTION("""COMPUTED_VALUE"""),7.95)</f>
        <v>7.95</v>
      </c>
      <c r="T1747" s="1">
        <f ca="1">IFERROR(__xludf.DUMMYFUNCTION("""COMPUTED_VALUE"""),489582)</f>
        <v>489582</v>
      </c>
      <c r="U1747" s="1">
        <f ca="1">IFERROR(__xludf.DUMMYFUNCTION("""COMPUTED_VALUE"""),15.9)</f>
        <v>15.9</v>
      </c>
    </row>
    <row r="1748" spans="1:21" ht="12.75" x14ac:dyDescent="0.2">
      <c r="A1748" s="3">
        <f ca="1">IFERROR(__xludf.DUMMYFUNCTION("""COMPUTED_VALUE"""),40148.5743055555)</f>
        <v>40148.574305555499</v>
      </c>
      <c r="B1748" s="1">
        <f ca="1">IFERROR(__xludf.DUMMYFUNCTION("""COMPUTED_VALUE"""),14.95)</f>
        <v>14.95</v>
      </c>
      <c r="J1748" s="1" t="str">
        <f ca="1">IFERROR(__xludf.DUMMYFUNCTION("""COMPUTED_VALUE"""),"WALL MOUNTED VINTAGE ORGANISER")</f>
        <v>WALL MOUNTED VINTAGE ORGANISER</v>
      </c>
      <c r="K1748" s="1">
        <f ca="1">IFERROR(__xludf.DUMMYFUNCTION("""COMPUTED_VALUE"""),1)</f>
        <v>1</v>
      </c>
      <c r="L1748" s="1">
        <f ca="1">IFERROR(__xludf.DUMMYFUNCTION("""COMPUTED_VALUE"""),14.95)</f>
        <v>14.95</v>
      </c>
      <c r="T1748" s="1">
        <f ca="1">IFERROR(__xludf.DUMMYFUNCTION("""COMPUTED_VALUE"""),489582)</f>
        <v>489582</v>
      </c>
      <c r="U1748" s="1">
        <f ca="1">IFERROR(__xludf.DUMMYFUNCTION("""COMPUTED_VALUE"""),14.95)</f>
        <v>14.95</v>
      </c>
    </row>
    <row r="1749" spans="1:21" ht="12.75" x14ac:dyDescent="0.2">
      <c r="A1749" s="3">
        <f ca="1">IFERROR(__xludf.DUMMYFUNCTION("""COMPUTED_VALUE"""),40148.5743055555)</f>
        <v>40148.574305555499</v>
      </c>
      <c r="B1749" s="1">
        <f ca="1">IFERROR(__xludf.DUMMYFUNCTION("""COMPUTED_VALUE"""),4.25)</f>
        <v>4.25</v>
      </c>
      <c r="J1749" s="1" t="str">
        <f ca="1">IFERROR(__xludf.DUMMYFUNCTION("""COMPUTED_VALUE"""),"SET/3 OCEAN SCENT CANDLE JEWEL BOX")</f>
        <v>SET/3 OCEAN SCENT CANDLE JEWEL BOX</v>
      </c>
      <c r="K1749" s="1">
        <f ca="1">IFERROR(__xludf.DUMMYFUNCTION("""COMPUTED_VALUE"""),-1)</f>
        <v>-1</v>
      </c>
      <c r="L1749" s="1">
        <f ca="1">IFERROR(__xludf.DUMMYFUNCTION("""COMPUTED_VALUE"""),4.25)</f>
        <v>4.25</v>
      </c>
      <c r="T1749" s="1"/>
      <c r="U1749" s="1">
        <f ca="1">IFERROR(__xludf.DUMMYFUNCTION("""COMPUTED_VALUE"""),-4.25)</f>
        <v>-4.25</v>
      </c>
    </row>
    <row r="1750" spans="1:21" ht="12.75" x14ac:dyDescent="0.2">
      <c r="A1750" s="3">
        <f ca="1">IFERROR(__xludf.DUMMYFUNCTION("""COMPUTED_VALUE"""),40148.5743055555)</f>
        <v>40148.574305555499</v>
      </c>
      <c r="B1750" s="1">
        <f ca="1">IFERROR(__xludf.DUMMYFUNCTION("""COMPUTED_VALUE"""),4.25)</f>
        <v>4.25</v>
      </c>
      <c r="J1750" s="1" t="str">
        <f ca="1">IFERROR(__xludf.DUMMYFUNCTION("""COMPUTED_VALUE"""),"VANILLA SCENT CANDLE JEWELLED BOX")</f>
        <v>VANILLA SCENT CANDLE JEWELLED BOX</v>
      </c>
      <c r="K1750" s="1">
        <f ca="1">IFERROR(__xludf.DUMMYFUNCTION("""COMPUTED_VALUE"""),-1)</f>
        <v>-1</v>
      </c>
      <c r="L1750" s="1">
        <f ca="1">IFERROR(__xludf.DUMMYFUNCTION("""COMPUTED_VALUE"""),4.25)</f>
        <v>4.25</v>
      </c>
      <c r="T1750" s="1"/>
      <c r="U1750" s="1">
        <f ca="1">IFERROR(__xludf.DUMMYFUNCTION("""COMPUTED_VALUE"""),-4.25)</f>
        <v>-4.25</v>
      </c>
    </row>
    <row r="1751" spans="1:21" ht="12.75" x14ac:dyDescent="0.2">
      <c r="A1751" s="3">
        <f ca="1">IFERROR(__xludf.DUMMYFUNCTION("""COMPUTED_VALUE"""),40148.5743055555)</f>
        <v>40148.574305555499</v>
      </c>
      <c r="B1751" s="1">
        <f ca="1">IFERROR(__xludf.DUMMYFUNCTION("""COMPUTED_VALUE"""),6.35)</f>
        <v>6.35</v>
      </c>
      <c r="J1751" s="1" t="str">
        <f ca="1">IFERROR(__xludf.DUMMYFUNCTION("""COMPUTED_VALUE"""),"WHITE BEADED GARLAND STRING 20LIGHT")</f>
        <v>WHITE BEADED GARLAND STRING 20LIGHT</v>
      </c>
      <c r="K1751" s="1">
        <f ca="1">IFERROR(__xludf.DUMMYFUNCTION("""COMPUTED_VALUE"""),-1)</f>
        <v>-1</v>
      </c>
      <c r="L1751" s="1">
        <f ca="1">IFERROR(__xludf.DUMMYFUNCTION("""COMPUTED_VALUE"""),6.35)</f>
        <v>6.35</v>
      </c>
      <c r="T1751" s="1"/>
      <c r="U1751" s="1">
        <f ca="1">IFERROR(__xludf.DUMMYFUNCTION("""COMPUTED_VALUE"""),-6.35)</f>
        <v>-6.35</v>
      </c>
    </row>
    <row r="1752" spans="1:21" ht="12.75" x14ac:dyDescent="0.2">
      <c r="A1752" s="3">
        <f ca="1">IFERROR(__xludf.DUMMYFUNCTION("""COMPUTED_VALUE"""),40148.5743055555)</f>
        <v>40148.574305555499</v>
      </c>
      <c r="B1752" s="1">
        <f ca="1">IFERROR(__xludf.DUMMYFUNCTION("""COMPUTED_VALUE"""),4.25)</f>
        <v>4.25</v>
      </c>
      <c r="J1752" s="1" t="str">
        <f ca="1">IFERROR(__xludf.DUMMYFUNCTION("""COMPUTED_VALUE"""),"OCEAN SCENT CANDLE IN JEWELLED BOX")</f>
        <v>OCEAN SCENT CANDLE IN JEWELLED BOX</v>
      </c>
      <c r="K1752" s="1">
        <f ca="1">IFERROR(__xludf.DUMMYFUNCTION("""COMPUTED_VALUE"""),-2)</f>
        <v>-2</v>
      </c>
      <c r="L1752" s="1">
        <f ca="1">IFERROR(__xludf.DUMMYFUNCTION("""COMPUTED_VALUE"""),4.25)</f>
        <v>4.25</v>
      </c>
      <c r="T1752" s="1"/>
      <c r="U1752" s="1">
        <f ca="1">IFERROR(__xludf.DUMMYFUNCTION("""COMPUTED_VALUE"""),-8.5)</f>
        <v>-8.5</v>
      </c>
    </row>
    <row r="1753" spans="1:21" ht="12.75" x14ac:dyDescent="0.2">
      <c r="A1753" s="3">
        <f ca="1">IFERROR(__xludf.DUMMYFUNCTION("""COMPUTED_VALUE"""),40148.575)</f>
        <v>40148.574999999997</v>
      </c>
      <c r="B1753" s="1">
        <f ca="1">IFERROR(__xludf.DUMMYFUNCTION("""COMPUTED_VALUE"""),21.95)</f>
        <v>21.95</v>
      </c>
      <c r="J1753" s="1" t="str">
        <f ca="1">IFERROR(__xludf.DUMMYFUNCTION("""COMPUTED_VALUE"""),"LIBRARY LAMP")</f>
        <v>LIBRARY LAMP</v>
      </c>
      <c r="K1753" s="1">
        <f ca="1">IFERROR(__xludf.DUMMYFUNCTION("""COMPUTED_VALUE"""),1)</f>
        <v>1</v>
      </c>
      <c r="L1753" s="1">
        <f ca="1">IFERROR(__xludf.DUMMYFUNCTION("""COMPUTED_VALUE"""),21.95)</f>
        <v>21.95</v>
      </c>
      <c r="T1753" s="1">
        <f ca="1">IFERROR(__xludf.DUMMYFUNCTION("""COMPUTED_VALUE"""),489584)</f>
        <v>489584</v>
      </c>
      <c r="U1753" s="1">
        <f ca="1">IFERROR(__xludf.DUMMYFUNCTION("""COMPUTED_VALUE"""),21.95)</f>
        <v>21.95</v>
      </c>
    </row>
    <row r="1754" spans="1:21" ht="12.75" x14ac:dyDescent="0.2">
      <c r="A1754" s="3">
        <f ca="1">IFERROR(__xludf.DUMMYFUNCTION("""COMPUTED_VALUE"""),40148.5756944444)</f>
        <v>40148.5756944444</v>
      </c>
      <c r="B1754" s="1">
        <f ca="1">IFERROR(__xludf.DUMMYFUNCTION("""COMPUTED_VALUE"""),0.85)</f>
        <v>0.85</v>
      </c>
      <c r="J1754" s="1" t="str">
        <f ca="1">IFERROR(__xludf.DUMMYFUNCTION("""COMPUTED_VALUE"""),"ZINC WILLIE WINKIE  CANDLE STICK")</f>
        <v>ZINC WILLIE WINKIE  CANDLE STICK</v>
      </c>
      <c r="K1754" s="1">
        <f ca="1">IFERROR(__xludf.DUMMYFUNCTION("""COMPUTED_VALUE"""),24)</f>
        <v>24</v>
      </c>
      <c r="L1754" s="1">
        <f ca="1">IFERROR(__xludf.DUMMYFUNCTION("""COMPUTED_VALUE"""),0.85)</f>
        <v>0.85</v>
      </c>
      <c r="T1754" s="1">
        <f ca="1">IFERROR(__xludf.DUMMYFUNCTION("""COMPUTED_VALUE"""),489585)</f>
        <v>489585</v>
      </c>
      <c r="U1754" s="1">
        <f ca="1">IFERROR(__xludf.DUMMYFUNCTION("""COMPUTED_VALUE"""),20.4)</f>
        <v>20.399999999999999</v>
      </c>
    </row>
    <row r="1755" spans="1:21" ht="12.75" x14ac:dyDescent="0.2">
      <c r="A1755" s="3">
        <f ca="1">IFERROR(__xludf.DUMMYFUNCTION("""COMPUTED_VALUE"""),40148.5756944444)</f>
        <v>40148.5756944444</v>
      </c>
      <c r="B1755" s="1">
        <f ca="1">IFERROR(__xludf.DUMMYFUNCTION("""COMPUTED_VALUE"""),1.69)</f>
        <v>1.69</v>
      </c>
      <c r="J1755" s="1" t="str">
        <f ca="1">IFERROR(__xludf.DUMMYFUNCTION("""COMPUTED_VALUE"""),"PAINTED BIRD ASSORTED CHRISTMAS")</f>
        <v>PAINTED BIRD ASSORTED CHRISTMAS</v>
      </c>
      <c r="K1755" s="1">
        <f ca="1">IFERROR(__xludf.DUMMYFUNCTION("""COMPUTED_VALUE"""),24)</f>
        <v>24</v>
      </c>
      <c r="L1755" s="1">
        <f ca="1">IFERROR(__xludf.DUMMYFUNCTION("""COMPUTED_VALUE"""),1.69)</f>
        <v>1.69</v>
      </c>
      <c r="T1755" s="1">
        <f ca="1">IFERROR(__xludf.DUMMYFUNCTION("""COMPUTED_VALUE"""),489585)</f>
        <v>489585</v>
      </c>
      <c r="U1755" s="1">
        <f ca="1">IFERROR(__xludf.DUMMYFUNCTION("""COMPUTED_VALUE"""),40.56)</f>
        <v>40.56</v>
      </c>
    </row>
    <row r="1756" spans="1:21" ht="12.75" x14ac:dyDescent="0.2">
      <c r="A1756" s="3">
        <f ca="1">IFERROR(__xludf.DUMMYFUNCTION("""COMPUTED_VALUE"""),40148.5756944444)</f>
        <v>40148.5756944444</v>
      </c>
      <c r="B1756" s="1">
        <f ca="1">IFERROR(__xludf.DUMMYFUNCTION("""COMPUTED_VALUE"""),1.69)</f>
        <v>1.69</v>
      </c>
      <c r="J1756" s="1" t="str">
        <f ca="1">IFERROR(__xludf.DUMMYFUNCTION("""COMPUTED_VALUE"""),"ASSORTED COLOUR BIRD ORNAMENT")</f>
        <v>ASSORTED COLOUR BIRD ORNAMENT</v>
      </c>
      <c r="K1756" s="1">
        <f ca="1">IFERROR(__xludf.DUMMYFUNCTION("""COMPUTED_VALUE"""),16)</f>
        <v>16</v>
      </c>
      <c r="L1756" s="1">
        <f ca="1">IFERROR(__xludf.DUMMYFUNCTION("""COMPUTED_VALUE"""),1.69)</f>
        <v>1.69</v>
      </c>
      <c r="T1756" s="1">
        <f ca="1">IFERROR(__xludf.DUMMYFUNCTION("""COMPUTED_VALUE"""),489585)</f>
        <v>489585</v>
      </c>
      <c r="U1756" s="1">
        <f ca="1">IFERROR(__xludf.DUMMYFUNCTION("""COMPUTED_VALUE"""),27.04)</f>
        <v>27.04</v>
      </c>
    </row>
    <row r="1757" spans="1:21" ht="12.75" x14ac:dyDescent="0.2">
      <c r="A1757" s="3">
        <f ca="1">IFERROR(__xludf.DUMMYFUNCTION("""COMPUTED_VALUE"""),40148.5756944444)</f>
        <v>40148.5756944444</v>
      </c>
      <c r="B1757" s="1">
        <f ca="1">IFERROR(__xludf.DUMMYFUNCTION("""COMPUTED_VALUE"""),5.95)</f>
        <v>5.95</v>
      </c>
      <c r="J1757" s="1" t="str">
        <f ca="1">IFERROR(__xludf.DUMMYFUNCTION("""COMPUTED_VALUE"""),"LOVE BUILDING BLOCK WORD")</f>
        <v>LOVE BUILDING BLOCK WORD</v>
      </c>
      <c r="K1757" s="1">
        <f ca="1">IFERROR(__xludf.DUMMYFUNCTION("""COMPUTED_VALUE"""),3)</f>
        <v>3</v>
      </c>
      <c r="L1757" s="1">
        <f ca="1">IFERROR(__xludf.DUMMYFUNCTION("""COMPUTED_VALUE"""),5.95)</f>
        <v>5.95</v>
      </c>
      <c r="T1757" s="1">
        <f ca="1">IFERROR(__xludf.DUMMYFUNCTION("""COMPUTED_VALUE"""),489585)</f>
        <v>489585</v>
      </c>
      <c r="U1757" s="1">
        <f ca="1">IFERROR(__xludf.DUMMYFUNCTION("""COMPUTED_VALUE"""),17.85)</f>
        <v>17.850000000000001</v>
      </c>
    </row>
    <row r="1758" spans="1:21" ht="12.75" x14ac:dyDescent="0.2">
      <c r="A1758" s="3">
        <f ca="1">IFERROR(__xludf.DUMMYFUNCTION("""COMPUTED_VALUE"""),40148.5763888888)</f>
        <v>40148.576388888803</v>
      </c>
      <c r="B1758" s="1">
        <f ca="1">IFERROR(__xludf.DUMMYFUNCTION("""COMPUTED_VALUE"""),2.95)</f>
        <v>2.95</v>
      </c>
      <c r="J1758" s="1" t="str">
        <f ca="1">IFERROR(__xludf.DUMMYFUNCTION("""COMPUTED_VALUE"""),"HAND OPEN SHAPE DECO.WHITE")</f>
        <v>HAND OPEN SHAPE DECO.WHITE</v>
      </c>
      <c r="K1758" s="1">
        <f ca="1">IFERROR(__xludf.DUMMYFUNCTION("""COMPUTED_VALUE"""),36)</f>
        <v>36</v>
      </c>
      <c r="L1758" s="1">
        <f ca="1">IFERROR(__xludf.DUMMYFUNCTION("""COMPUTED_VALUE"""),2.95)</f>
        <v>2.95</v>
      </c>
      <c r="T1758" s="1">
        <f ca="1">IFERROR(__xludf.DUMMYFUNCTION("""COMPUTED_VALUE"""),489586)</f>
        <v>489586</v>
      </c>
      <c r="U1758" s="1">
        <f ca="1">IFERROR(__xludf.DUMMYFUNCTION("""COMPUTED_VALUE"""),106.2)</f>
        <v>106.2</v>
      </c>
    </row>
    <row r="1759" spans="1:21" ht="12.75" x14ac:dyDescent="0.2">
      <c r="A1759" s="3">
        <f ca="1">IFERROR(__xludf.DUMMYFUNCTION("""COMPUTED_VALUE"""),40148.5763888888)</f>
        <v>40148.576388888803</v>
      </c>
      <c r="B1759" s="1">
        <f ca="1">IFERROR(__xludf.DUMMYFUNCTION("""COMPUTED_VALUE"""),1.95)</f>
        <v>1.95</v>
      </c>
      <c r="J1759" s="1" t="str">
        <f ca="1">IFERROR(__xludf.DUMMYFUNCTION("""COMPUTED_VALUE"""),"6 HOOK JEWELLERY STAND BLACK DRESS")</f>
        <v>6 HOOK JEWELLERY STAND BLACK DRESS</v>
      </c>
      <c r="K1759" s="1">
        <f ca="1">IFERROR(__xludf.DUMMYFUNCTION("""COMPUTED_VALUE"""),24)</f>
        <v>24</v>
      </c>
      <c r="L1759" s="1">
        <f ca="1">IFERROR(__xludf.DUMMYFUNCTION("""COMPUTED_VALUE"""),1.95)</f>
        <v>1.95</v>
      </c>
      <c r="T1759" s="1">
        <f ca="1">IFERROR(__xludf.DUMMYFUNCTION("""COMPUTED_VALUE"""),489586)</f>
        <v>489586</v>
      </c>
      <c r="U1759" s="1">
        <f ca="1">IFERROR(__xludf.DUMMYFUNCTION("""COMPUTED_VALUE"""),46.8)</f>
        <v>46.8</v>
      </c>
    </row>
    <row r="1760" spans="1:21" ht="12.75" x14ac:dyDescent="0.2">
      <c r="A1760" s="3">
        <f ca="1">IFERROR(__xludf.DUMMYFUNCTION("""COMPUTED_VALUE"""),40148.5763888888)</f>
        <v>40148.576388888803</v>
      </c>
      <c r="B1760" s="1">
        <f ca="1">IFERROR(__xludf.DUMMYFUNCTION("""COMPUTED_VALUE"""),3.39)</f>
        <v>3.39</v>
      </c>
      <c r="J1760" s="1" t="str">
        <f ca="1">IFERROR(__xludf.DUMMYFUNCTION("""COMPUTED_VALUE"""),"HAND OPEN SHAPE GOLD")</f>
        <v>HAND OPEN SHAPE GOLD</v>
      </c>
      <c r="K1760" s="1">
        <f ca="1">IFERROR(__xludf.DUMMYFUNCTION("""COMPUTED_VALUE"""),18)</f>
        <v>18</v>
      </c>
      <c r="L1760" s="1">
        <f ca="1">IFERROR(__xludf.DUMMYFUNCTION("""COMPUTED_VALUE"""),3.39)</f>
        <v>3.39</v>
      </c>
      <c r="T1760" s="1">
        <f ca="1">IFERROR(__xludf.DUMMYFUNCTION("""COMPUTED_VALUE"""),489586)</f>
        <v>489586</v>
      </c>
      <c r="U1760" s="1">
        <f ca="1">IFERROR(__xludf.DUMMYFUNCTION("""COMPUTED_VALUE"""),61.02)</f>
        <v>61.02</v>
      </c>
    </row>
    <row r="1761" spans="1:21" ht="12.75" x14ac:dyDescent="0.2">
      <c r="A1761" s="3">
        <f ca="1">IFERROR(__xludf.DUMMYFUNCTION("""COMPUTED_VALUE"""),40148.5763888888)</f>
        <v>40148.576388888803</v>
      </c>
      <c r="B1761" s="1">
        <f ca="1">IFERROR(__xludf.DUMMYFUNCTION("""COMPUTED_VALUE"""),2.1)</f>
        <v>2.1</v>
      </c>
      <c r="J1761" s="1" t="str">
        <f ca="1">IFERROR(__xludf.DUMMYFUNCTION("""COMPUTED_VALUE"""),"S/3 FLWR FAIRY LILLY CANDLES")</f>
        <v>S/3 FLWR FAIRY LILLY CANDLES</v>
      </c>
      <c r="K1761" s="1">
        <f ca="1">IFERROR(__xludf.DUMMYFUNCTION("""COMPUTED_VALUE"""),8)</f>
        <v>8</v>
      </c>
      <c r="L1761" s="1">
        <f ca="1">IFERROR(__xludf.DUMMYFUNCTION("""COMPUTED_VALUE"""),2.1)</f>
        <v>2.1</v>
      </c>
      <c r="T1761" s="1">
        <f ca="1">IFERROR(__xludf.DUMMYFUNCTION("""COMPUTED_VALUE"""),489586)</f>
        <v>489586</v>
      </c>
      <c r="U1761" s="1">
        <f ca="1">IFERROR(__xludf.DUMMYFUNCTION("""COMPUTED_VALUE"""),16.8)</f>
        <v>16.8</v>
      </c>
    </row>
    <row r="1762" spans="1:21" ht="12.75" x14ac:dyDescent="0.2">
      <c r="A1762" s="3">
        <f ca="1">IFERROR(__xludf.DUMMYFUNCTION("""COMPUTED_VALUE"""),40148.5763888888)</f>
        <v>40148.576388888803</v>
      </c>
      <c r="B1762" s="1">
        <f ca="1">IFERROR(__xludf.DUMMYFUNCTION("""COMPUTED_VALUE"""),1.95)</f>
        <v>1.95</v>
      </c>
      <c r="J1762" s="1" t="str">
        <f ca="1">IFERROR(__xludf.DUMMYFUNCTION("""COMPUTED_VALUE"""),"F.FAIRY S/3 CANDLE/GLASS, ROSE")</f>
        <v>F.FAIRY S/3 CANDLE/GLASS, ROSE</v>
      </c>
      <c r="K1762" s="1">
        <f ca="1">IFERROR(__xludf.DUMMYFUNCTION("""COMPUTED_VALUE"""),8)</f>
        <v>8</v>
      </c>
      <c r="L1762" s="1">
        <f ca="1">IFERROR(__xludf.DUMMYFUNCTION("""COMPUTED_VALUE"""),1.95)</f>
        <v>1.95</v>
      </c>
      <c r="T1762" s="1">
        <f ca="1">IFERROR(__xludf.DUMMYFUNCTION("""COMPUTED_VALUE"""),489586)</f>
        <v>489586</v>
      </c>
      <c r="U1762" s="1">
        <f ca="1">IFERROR(__xludf.DUMMYFUNCTION("""COMPUTED_VALUE"""),15.6)</f>
        <v>15.6</v>
      </c>
    </row>
    <row r="1763" spans="1:21" ht="12.75" x14ac:dyDescent="0.2">
      <c r="A1763" s="3">
        <f ca="1">IFERROR(__xludf.DUMMYFUNCTION("""COMPUTED_VALUE"""),40148.5763888888)</f>
        <v>40148.576388888803</v>
      </c>
      <c r="B1763" s="1">
        <f ca="1">IFERROR(__xludf.DUMMYFUNCTION("""COMPUTED_VALUE"""),4.25)</f>
        <v>4.25</v>
      </c>
      <c r="J1763" s="1" t="str">
        <f ca="1">IFERROR(__xludf.DUMMYFUNCTION("""COMPUTED_VALUE"""),"POTTING SHED SOW 'N' GROW SET")</f>
        <v>POTTING SHED SOW 'N' GROW SET</v>
      </c>
      <c r="K1763" s="1">
        <f ca="1">IFERROR(__xludf.DUMMYFUNCTION("""COMPUTED_VALUE"""),4)</f>
        <v>4</v>
      </c>
      <c r="L1763" s="1">
        <f ca="1">IFERROR(__xludf.DUMMYFUNCTION("""COMPUTED_VALUE"""),4.25)</f>
        <v>4.25</v>
      </c>
      <c r="T1763" s="1">
        <f ca="1">IFERROR(__xludf.DUMMYFUNCTION("""COMPUTED_VALUE"""),489586)</f>
        <v>489586</v>
      </c>
      <c r="U1763" s="1">
        <f ca="1">IFERROR(__xludf.DUMMYFUNCTION("""COMPUTED_VALUE"""),17)</f>
        <v>17</v>
      </c>
    </row>
    <row r="1764" spans="1:21" ht="12.75" x14ac:dyDescent="0.2">
      <c r="A1764" s="3">
        <f ca="1">IFERROR(__xludf.DUMMYFUNCTION("""COMPUTED_VALUE"""),40148.5777777777)</f>
        <v>40148.577777777697</v>
      </c>
      <c r="B1764" s="1">
        <f ca="1">IFERROR(__xludf.DUMMYFUNCTION("""COMPUTED_VALUE"""),0.85)</f>
        <v>0.85</v>
      </c>
      <c r="J1764" s="1" t="str">
        <f ca="1">IFERROR(__xludf.DUMMYFUNCTION("""COMPUTED_VALUE"""),"ASSORTED TUTTI FRUTTI KEYRING")</f>
        <v>ASSORTED TUTTI FRUTTI KEYRING</v>
      </c>
      <c r="K1764" s="1">
        <f ca="1">IFERROR(__xludf.DUMMYFUNCTION("""COMPUTED_VALUE"""),-5)</f>
        <v>-5</v>
      </c>
      <c r="L1764" s="1">
        <f ca="1">IFERROR(__xludf.DUMMYFUNCTION("""COMPUTED_VALUE"""),0.85)</f>
        <v>0.85</v>
      </c>
      <c r="T1764" s="1"/>
      <c r="U1764" s="1">
        <f ca="1">IFERROR(__xludf.DUMMYFUNCTION("""COMPUTED_VALUE"""),-4.25)</f>
        <v>-4.25</v>
      </c>
    </row>
    <row r="1765" spans="1:21" ht="12.75" x14ac:dyDescent="0.2">
      <c r="A1765" s="3">
        <f ca="1">IFERROR(__xludf.DUMMYFUNCTION("""COMPUTED_VALUE"""),40148.5840277777)</f>
        <v>40148.584027777702</v>
      </c>
      <c r="B1765" s="1">
        <f ca="1">IFERROR(__xludf.DUMMYFUNCTION("""COMPUTED_VALUE"""),9.95)</f>
        <v>9.9499999999999993</v>
      </c>
      <c r="J1765" s="1" t="str">
        <f ca="1">IFERROR(__xludf.DUMMYFUNCTION("""COMPUTED_VALUE"""),"WELCOME  WOODEN BLOCK LETTERS")</f>
        <v>WELCOME  WOODEN BLOCK LETTERS</v>
      </c>
      <c r="K1765" s="1">
        <f ca="1">IFERROR(__xludf.DUMMYFUNCTION("""COMPUTED_VALUE"""),-1)</f>
        <v>-1</v>
      </c>
      <c r="L1765" s="1">
        <f ca="1">IFERROR(__xludf.DUMMYFUNCTION("""COMPUTED_VALUE"""),9.95)</f>
        <v>9.9499999999999993</v>
      </c>
      <c r="T1765" s="1"/>
      <c r="U1765" s="1">
        <f ca="1">IFERROR(__xludf.DUMMYFUNCTION("""COMPUTED_VALUE"""),-9.95)</f>
        <v>-9.9499999999999993</v>
      </c>
    </row>
    <row r="1766" spans="1:21" ht="12.75" x14ac:dyDescent="0.2">
      <c r="A1766" s="3">
        <f ca="1">IFERROR(__xludf.DUMMYFUNCTION("""COMPUTED_VALUE"""),40148.5840277777)</f>
        <v>40148.584027777702</v>
      </c>
      <c r="B1766" s="1">
        <f ca="1">IFERROR(__xludf.DUMMYFUNCTION("""COMPUTED_VALUE"""),6.75)</f>
        <v>6.75</v>
      </c>
      <c r="J1766" s="1" t="str">
        <f ca="1">IFERROR(__xludf.DUMMYFUNCTION("""COMPUTED_VALUE"""),"PINK CHERRY LIGHTS")</f>
        <v>PINK CHERRY LIGHTS</v>
      </c>
      <c r="K1766" s="1">
        <f ca="1">IFERROR(__xludf.DUMMYFUNCTION("""COMPUTED_VALUE"""),-2)</f>
        <v>-2</v>
      </c>
      <c r="L1766" s="1">
        <f ca="1">IFERROR(__xludf.DUMMYFUNCTION("""COMPUTED_VALUE"""),6.75)</f>
        <v>6.75</v>
      </c>
      <c r="T1766" s="1"/>
      <c r="U1766" s="1">
        <f ca="1">IFERROR(__xludf.DUMMYFUNCTION("""COMPUTED_VALUE"""),-13.5)</f>
        <v>-13.5</v>
      </c>
    </row>
    <row r="1767" spans="1:21" ht="12.75" x14ac:dyDescent="0.2">
      <c r="A1767" s="3">
        <f ca="1">IFERROR(__xludf.DUMMYFUNCTION("""COMPUTED_VALUE"""),40148.5840277777)</f>
        <v>40148.584027777702</v>
      </c>
      <c r="B1767" s="1">
        <f ca="1">IFERROR(__xludf.DUMMYFUNCTION("""COMPUTED_VALUE"""),6.75)</f>
        <v>6.75</v>
      </c>
      <c r="J1767" s="1" t="str">
        <f ca="1">IFERROR(__xludf.DUMMYFUNCTION("""COMPUTED_VALUE"""),"GREEN CHERRY LIGHTS")</f>
        <v>GREEN CHERRY LIGHTS</v>
      </c>
      <c r="K1767" s="1">
        <f ca="1">IFERROR(__xludf.DUMMYFUNCTION("""COMPUTED_VALUE"""),-2)</f>
        <v>-2</v>
      </c>
      <c r="L1767" s="1">
        <f ca="1">IFERROR(__xludf.DUMMYFUNCTION("""COMPUTED_VALUE"""),6.75)</f>
        <v>6.75</v>
      </c>
      <c r="T1767" s="1"/>
      <c r="U1767" s="1">
        <f ca="1">IFERROR(__xludf.DUMMYFUNCTION("""COMPUTED_VALUE"""),-13.5)</f>
        <v>-13.5</v>
      </c>
    </row>
    <row r="1768" spans="1:21" ht="12.75" x14ac:dyDescent="0.2">
      <c r="A1768" s="3">
        <f ca="1">IFERROR(__xludf.DUMMYFUNCTION("""COMPUTED_VALUE"""),40148.5847222222)</f>
        <v>40148.5847222222</v>
      </c>
      <c r="B1768" s="1">
        <f ca="1">IFERROR(__xludf.DUMMYFUNCTION("""COMPUTED_VALUE"""),2.55)</f>
        <v>2.5499999999999998</v>
      </c>
      <c r="J1768" s="1" t="str">
        <f ca="1">IFERROR(__xludf.DUMMYFUNCTION("""COMPUTED_VALUE"""),"RETRO SPOT SMALL MILK JUG")</f>
        <v>RETRO SPOT SMALL MILK JUG</v>
      </c>
      <c r="K1768" s="1">
        <f ca="1">IFERROR(__xludf.DUMMYFUNCTION("""COMPUTED_VALUE"""),-1)</f>
        <v>-1</v>
      </c>
      <c r="L1768" s="1">
        <f ca="1">IFERROR(__xludf.DUMMYFUNCTION("""COMPUTED_VALUE"""),2.55)</f>
        <v>2.5499999999999998</v>
      </c>
      <c r="T1768" s="1"/>
      <c r="U1768" s="1">
        <f ca="1">IFERROR(__xludf.DUMMYFUNCTION("""COMPUTED_VALUE"""),-2.55)</f>
        <v>-2.5499999999999998</v>
      </c>
    </row>
    <row r="1769" spans="1:21" ht="12.75" x14ac:dyDescent="0.2">
      <c r="A1769" s="3">
        <f ca="1">IFERROR(__xludf.DUMMYFUNCTION("""COMPUTED_VALUE"""),40148.5847222222)</f>
        <v>40148.5847222222</v>
      </c>
      <c r="B1769" s="1">
        <f ca="1">IFERROR(__xludf.DUMMYFUNCTION("""COMPUTED_VALUE"""),3.75)</f>
        <v>3.75</v>
      </c>
      <c r="J1769" s="1" t="str">
        <f ca="1">IFERROR(__xludf.DUMMYFUNCTION("""COMPUTED_VALUE"""),"RETRO SPOT STORAGE JAR")</f>
        <v>RETRO SPOT STORAGE JAR</v>
      </c>
      <c r="K1769" s="1">
        <f ca="1">IFERROR(__xludf.DUMMYFUNCTION("""COMPUTED_VALUE"""),-1)</f>
        <v>-1</v>
      </c>
      <c r="L1769" s="1">
        <f ca="1">IFERROR(__xludf.DUMMYFUNCTION("""COMPUTED_VALUE"""),3.75)</f>
        <v>3.75</v>
      </c>
      <c r="T1769" s="1"/>
      <c r="U1769" s="1">
        <f ca="1">IFERROR(__xludf.DUMMYFUNCTION("""COMPUTED_VALUE"""),-3.75)</f>
        <v>-3.75</v>
      </c>
    </row>
    <row r="1770" spans="1:21" ht="12.75" x14ac:dyDescent="0.2">
      <c r="A1770" s="3">
        <f ca="1">IFERROR(__xludf.DUMMYFUNCTION("""COMPUTED_VALUE"""),40148.5930555555)</f>
        <v>40148.593055555502</v>
      </c>
      <c r="B1770" s="1">
        <f ca="1">IFERROR(__xludf.DUMMYFUNCTION("""COMPUTED_VALUE"""),2.95)</f>
        <v>2.95</v>
      </c>
      <c r="J1770" s="1" t="str">
        <f ca="1">IFERROR(__xludf.DUMMYFUNCTION("""COMPUTED_VALUE"""),"RED HANGING HEART T-LIGHT HOLDER")</f>
        <v>RED HANGING HEART T-LIGHT HOLDER</v>
      </c>
      <c r="K1770" s="1">
        <f ca="1">IFERROR(__xludf.DUMMYFUNCTION("""COMPUTED_VALUE"""),12)</f>
        <v>12</v>
      </c>
      <c r="L1770" s="1">
        <f ca="1">IFERROR(__xludf.DUMMYFUNCTION("""COMPUTED_VALUE"""),2.95)</f>
        <v>2.95</v>
      </c>
      <c r="T1770" s="1">
        <f ca="1">IFERROR(__xludf.DUMMYFUNCTION("""COMPUTED_VALUE"""),489590)</f>
        <v>489590</v>
      </c>
      <c r="U1770" s="1">
        <f ca="1">IFERROR(__xludf.DUMMYFUNCTION("""COMPUTED_VALUE"""),35.4)</f>
        <v>35.4</v>
      </c>
    </row>
    <row r="1771" spans="1:21" ht="12.75" x14ac:dyDescent="0.2">
      <c r="A1771" s="3">
        <f ca="1">IFERROR(__xludf.DUMMYFUNCTION("""COMPUTED_VALUE"""),40148.5930555555)</f>
        <v>40148.593055555502</v>
      </c>
      <c r="B1771" s="1">
        <f ca="1">IFERROR(__xludf.DUMMYFUNCTION("""COMPUTED_VALUE"""),3.75)</f>
        <v>3.75</v>
      </c>
      <c r="J1771" s="1" t="str">
        <f ca="1">IFERROR(__xludf.DUMMYFUNCTION("""COMPUTED_VALUE"""),"WHITE CHRISTMAS GARLAND STARS TREES")</f>
        <v>WHITE CHRISTMAS GARLAND STARS TREES</v>
      </c>
      <c r="K1771" s="1">
        <f ca="1">IFERROR(__xludf.DUMMYFUNCTION("""COMPUTED_VALUE"""),12)</f>
        <v>12</v>
      </c>
      <c r="L1771" s="1">
        <f ca="1">IFERROR(__xludf.DUMMYFUNCTION("""COMPUTED_VALUE"""),3.75)</f>
        <v>3.75</v>
      </c>
      <c r="T1771" s="1">
        <f ca="1">IFERROR(__xludf.DUMMYFUNCTION("""COMPUTED_VALUE"""),489590)</f>
        <v>489590</v>
      </c>
      <c r="U1771" s="1">
        <f ca="1">IFERROR(__xludf.DUMMYFUNCTION("""COMPUTED_VALUE"""),45)</f>
        <v>45</v>
      </c>
    </row>
    <row r="1772" spans="1:21" ht="12.75" x14ac:dyDescent="0.2">
      <c r="A1772" s="3">
        <f ca="1">IFERROR(__xludf.DUMMYFUNCTION("""COMPUTED_VALUE"""),40148.5930555555)</f>
        <v>40148.593055555502</v>
      </c>
      <c r="B1772" s="1">
        <f ca="1">IFERROR(__xludf.DUMMYFUNCTION("""COMPUTED_VALUE"""),1.65)</f>
        <v>1.65</v>
      </c>
      <c r="J1772" s="1" t="str">
        <f ca="1">IFERROR(__xludf.DUMMYFUNCTION("""COMPUTED_VALUE"""),"HEART FILIGREE DOVE LARGE")</f>
        <v>HEART FILIGREE DOVE LARGE</v>
      </c>
      <c r="K1772" s="1">
        <f ca="1">IFERROR(__xludf.DUMMYFUNCTION("""COMPUTED_VALUE"""),12)</f>
        <v>12</v>
      </c>
      <c r="L1772" s="1">
        <f ca="1">IFERROR(__xludf.DUMMYFUNCTION("""COMPUTED_VALUE"""),1.65)</f>
        <v>1.65</v>
      </c>
      <c r="T1772" s="1">
        <f ca="1">IFERROR(__xludf.DUMMYFUNCTION("""COMPUTED_VALUE"""),489590)</f>
        <v>489590</v>
      </c>
      <c r="U1772" s="1">
        <f ca="1">IFERROR(__xludf.DUMMYFUNCTION("""COMPUTED_VALUE"""),19.7999999999999)</f>
        <v>19.799999999999901</v>
      </c>
    </row>
    <row r="1773" spans="1:21" ht="12.75" x14ac:dyDescent="0.2">
      <c r="A1773" s="3">
        <f ca="1">IFERROR(__xludf.DUMMYFUNCTION("""COMPUTED_VALUE"""),40148.5930555555)</f>
        <v>40148.593055555502</v>
      </c>
      <c r="B1773" s="1">
        <f ca="1">IFERROR(__xludf.DUMMYFUNCTION("""COMPUTED_VALUE"""),3.45)</f>
        <v>3.45</v>
      </c>
      <c r="J1773" s="1" t="str">
        <f ca="1">IFERROR(__xludf.DUMMYFUNCTION("""COMPUTED_VALUE"""),"GREY HEART HOT WATER BOTTLE")</f>
        <v>GREY HEART HOT WATER BOTTLE</v>
      </c>
      <c r="K1773" s="1">
        <f ca="1">IFERROR(__xludf.DUMMYFUNCTION("""COMPUTED_VALUE"""),7)</f>
        <v>7</v>
      </c>
      <c r="L1773" s="1">
        <f ca="1">IFERROR(__xludf.DUMMYFUNCTION("""COMPUTED_VALUE"""),3.45)</f>
        <v>3.45</v>
      </c>
      <c r="T1773" s="1">
        <f ca="1">IFERROR(__xludf.DUMMYFUNCTION("""COMPUTED_VALUE"""),489590)</f>
        <v>489590</v>
      </c>
      <c r="U1773" s="1">
        <f ca="1">IFERROR(__xludf.DUMMYFUNCTION("""COMPUTED_VALUE"""),24.15)</f>
        <v>24.15</v>
      </c>
    </row>
    <row r="1774" spans="1:21" ht="12.75" x14ac:dyDescent="0.2">
      <c r="A1774" s="3">
        <f ca="1">IFERROR(__xludf.DUMMYFUNCTION("""COMPUTED_VALUE"""),40148.5930555555)</f>
        <v>40148.593055555502</v>
      </c>
      <c r="B1774" s="1">
        <f ca="1">IFERROR(__xludf.DUMMYFUNCTION("""COMPUTED_VALUE"""),2.95)</f>
        <v>2.95</v>
      </c>
      <c r="J1774" s="1" t="str">
        <f ca="1">IFERROR(__xludf.DUMMYFUNCTION("""COMPUTED_VALUE"""),"WHITE HANGING HEART T-LIGHT HOLDER")</f>
        <v>WHITE HANGING HEART T-LIGHT HOLDER</v>
      </c>
      <c r="K1774" s="1">
        <f ca="1">IFERROR(__xludf.DUMMYFUNCTION("""COMPUTED_VALUE"""),6)</f>
        <v>6</v>
      </c>
      <c r="L1774" s="1">
        <f ca="1">IFERROR(__xludf.DUMMYFUNCTION("""COMPUTED_VALUE"""),2.95)</f>
        <v>2.95</v>
      </c>
      <c r="T1774" s="1">
        <f ca="1">IFERROR(__xludf.DUMMYFUNCTION("""COMPUTED_VALUE"""),489590)</f>
        <v>489590</v>
      </c>
      <c r="U1774" s="1">
        <f ca="1">IFERROR(__xludf.DUMMYFUNCTION("""COMPUTED_VALUE"""),17.7)</f>
        <v>17.7</v>
      </c>
    </row>
    <row r="1775" spans="1:21" ht="12.75" x14ac:dyDescent="0.2">
      <c r="A1775" s="3">
        <f ca="1">IFERROR(__xludf.DUMMYFUNCTION("""COMPUTED_VALUE"""),40148.5930555555)</f>
        <v>40148.593055555502</v>
      </c>
      <c r="B1775" s="1">
        <f ca="1">IFERROR(__xludf.DUMMYFUNCTION("""COMPUTED_VALUE"""),5.95)</f>
        <v>5.95</v>
      </c>
      <c r="J1775" s="1" t="str">
        <f ca="1">IFERROR(__xludf.DUMMYFUNCTION("""COMPUTED_VALUE"""),"LOVE BUILDING BLOCK WORD")</f>
        <v>LOVE BUILDING BLOCK WORD</v>
      </c>
      <c r="K1775" s="1">
        <f ca="1">IFERROR(__xludf.DUMMYFUNCTION("""COMPUTED_VALUE"""),6)</f>
        <v>6</v>
      </c>
      <c r="L1775" s="1">
        <f ca="1">IFERROR(__xludf.DUMMYFUNCTION("""COMPUTED_VALUE"""),5.95)</f>
        <v>5.95</v>
      </c>
      <c r="T1775" s="1">
        <f ca="1">IFERROR(__xludf.DUMMYFUNCTION("""COMPUTED_VALUE"""),489590)</f>
        <v>489590</v>
      </c>
      <c r="U1775" s="1">
        <f ca="1">IFERROR(__xludf.DUMMYFUNCTION("""COMPUTED_VALUE"""),35.7)</f>
        <v>35.700000000000003</v>
      </c>
    </row>
    <row r="1776" spans="1:21" ht="12.75" x14ac:dyDescent="0.2">
      <c r="A1776" s="3">
        <f ca="1">IFERROR(__xludf.DUMMYFUNCTION("""COMPUTED_VALUE"""),40148.5930555555)</f>
        <v>40148.593055555502</v>
      </c>
      <c r="B1776" s="1">
        <f ca="1">IFERROR(__xludf.DUMMYFUNCTION("""COMPUTED_VALUE"""),2.95)</f>
        <v>2.95</v>
      </c>
      <c r="J1776" s="1" t="str">
        <f ca="1">IFERROR(__xludf.DUMMYFUNCTION("""COMPUTED_VALUE"""),"PAPER CHAIN KIT 50'S CHRISTMAS")</f>
        <v>PAPER CHAIN KIT 50'S CHRISTMAS</v>
      </c>
      <c r="K1776" s="1">
        <f ca="1">IFERROR(__xludf.DUMMYFUNCTION("""COMPUTED_VALUE"""),2)</f>
        <v>2</v>
      </c>
      <c r="L1776" s="1">
        <f ca="1">IFERROR(__xludf.DUMMYFUNCTION("""COMPUTED_VALUE"""),2.95)</f>
        <v>2.95</v>
      </c>
      <c r="T1776" s="1">
        <f ca="1">IFERROR(__xludf.DUMMYFUNCTION("""COMPUTED_VALUE"""),489590)</f>
        <v>489590</v>
      </c>
      <c r="U1776" s="1">
        <f ca="1">IFERROR(__xludf.DUMMYFUNCTION("""COMPUTED_VALUE"""),5.9)</f>
        <v>5.9</v>
      </c>
    </row>
    <row r="1777" spans="1:21" ht="12.75" x14ac:dyDescent="0.2">
      <c r="A1777" s="3">
        <f ca="1">IFERROR(__xludf.DUMMYFUNCTION("""COMPUTED_VALUE"""),40148.5930555555)</f>
        <v>40148.593055555502</v>
      </c>
      <c r="B1777" s="1">
        <f ca="1">IFERROR(__xludf.DUMMYFUNCTION("""COMPUTED_VALUE"""),0.85)</f>
        <v>0.85</v>
      </c>
      <c r="J1777" s="1" t="str">
        <f ca="1">IFERROR(__xludf.DUMMYFUNCTION("""COMPUTED_VALUE"""),"SMALL PINK MAGIC CHRISTMAS TREE")</f>
        <v>SMALL PINK MAGIC CHRISTMAS TREE</v>
      </c>
      <c r="K1777" s="1">
        <f ca="1">IFERROR(__xludf.DUMMYFUNCTION("""COMPUTED_VALUE"""),2)</f>
        <v>2</v>
      </c>
      <c r="L1777" s="1">
        <f ca="1">IFERROR(__xludf.DUMMYFUNCTION("""COMPUTED_VALUE"""),0.85)</f>
        <v>0.85</v>
      </c>
      <c r="T1777" s="1">
        <f ca="1">IFERROR(__xludf.DUMMYFUNCTION("""COMPUTED_VALUE"""),489590)</f>
        <v>489590</v>
      </c>
      <c r="U1777" s="1">
        <f ca="1">IFERROR(__xludf.DUMMYFUNCTION("""COMPUTED_VALUE"""),1.7)</f>
        <v>1.7</v>
      </c>
    </row>
    <row r="1778" spans="1:21" ht="12.75" x14ac:dyDescent="0.2">
      <c r="A1778" s="3">
        <f ca="1">IFERROR(__xludf.DUMMYFUNCTION("""COMPUTED_VALUE"""),40148.5930555555)</f>
        <v>40148.593055555502</v>
      </c>
      <c r="B1778" s="1">
        <f ca="1">IFERROR(__xludf.DUMMYFUNCTION("""COMPUTED_VALUE"""),7.95)</f>
        <v>7.95</v>
      </c>
      <c r="J1778" s="1" t="str">
        <f ca="1">IFERROR(__xludf.DUMMYFUNCTION("""COMPUTED_VALUE"""),"6 EGG HOUSE PAINTED WOOD")</f>
        <v>6 EGG HOUSE PAINTED WOOD</v>
      </c>
      <c r="K1778" s="1">
        <f ca="1">IFERROR(__xludf.DUMMYFUNCTION("""COMPUTED_VALUE"""),2)</f>
        <v>2</v>
      </c>
      <c r="L1778" s="1">
        <f ca="1">IFERROR(__xludf.DUMMYFUNCTION("""COMPUTED_VALUE"""),7.95)</f>
        <v>7.95</v>
      </c>
      <c r="T1778" s="1">
        <f ca="1">IFERROR(__xludf.DUMMYFUNCTION("""COMPUTED_VALUE"""),489590)</f>
        <v>489590</v>
      </c>
      <c r="U1778" s="1">
        <f ca="1">IFERROR(__xludf.DUMMYFUNCTION("""COMPUTED_VALUE"""),15.9)</f>
        <v>15.9</v>
      </c>
    </row>
    <row r="1779" spans="1:21" ht="12.75" x14ac:dyDescent="0.2">
      <c r="A1779" s="3">
        <f ca="1">IFERROR(__xludf.DUMMYFUNCTION("""COMPUTED_VALUE"""),40148.5930555555)</f>
        <v>40148.593055555502</v>
      </c>
      <c r="B1779" s="1">
        <f ca="1">IFERROR(__xludf.DUMMYFUNCTION("""COMPUTED_VALUE"""),2.95)</f>
        <v>2.95</v>
      </c>
      <c r="J1779" s="1" t="str">
        <f ca="1">IFERROR(__xludf.DUMMYFUNCTION("""COMPUTED_VALUE"""),"RED STAR CARD HOLDER")</f>
        <v>RED STAR CARD HOLDER</v>
      </c>
      <c r="K1779" s="1">
        <f ca="1">IFERROR(__xludf.DUMMYFUNCTION("""COMPUTED_VALUE"""),2)</f>
        <v>2</v>
      </c>
      <c r="L1779" s="1">
        <f ca="1">IFERROR(__xludf.DUMMYFUNCTION("""COMPUTED_VALUE"""),2.95)</f>
        <v>2.95</v>
      </c>
      <c r="T1779" s="1">
        <f ca="1">IFERROR(__xludf.DUMMYFUNCTION("""COMPUTED_VALUE"""),489590)</f>
        <v>489590</v>
      </c>
      <c r="U1779" s="1">
        <f ca="1">IFERROR(__xludf.DUMMYFUNCTION("""COMPUTED_VALUE"""),5.9)</f>
        <v>5.9</v>
      </c>
    </row>
    <row r="1780" spans="1:21" ht="12.75" x14ac:dyDescent="0.2">
      <c r="A1780" s="3">
        <f ca="1">IFERROR(__xludf.DUMMYFUNCTION("""COMPUTED_VALUE"""),40148.5930555555)</f>
        <v>40148.593055555502</v>
      </c>
      <c r="B1780" s="1">
        <f ca="1">IFERROR(__xludf.DUMMYFUNCTION("""COMPUTED_VALUE"""),4.25)</f>
        <v>4.25</v>
      </c>
      <c r="J1780" s="1" t="str">
        <f ca="1">IFERROR(__xludf.DUMMYFUNCTION("""COMPUTED_VALUE"""),"GREEN CHRISTMAS TREE CARD HOLDER")</f>
        <v>GREEN CHRISTMAS TREE CARD HOLDER</v>
      </c>
      <c r="K1780" s="1">
        <f ca="1">IFERROR(__xludf.DUMMYFUNCTION("""COMPUTED_VALUE"""),2)</f>
        <v>2</v>
      </c>
      <c r="L1780" s="1">
        <f ca="1">IFERROR(__xludf.DUMMYFUNCTION("""COMPUTED_VALUE"""),4.25)</f>
        <v>4.25</v>
      </c>
      <c r="T1780" s="1">
        <f ca="1">IFERROR(__xludf.DUMMYFUNCTION("""COMPUTED_VALUE"""),489590)</f>
        <v>489590</v>
      </c>
      <c r="U1780" s="1">
        <f ca="1">IFERROR(__xludf.DUMMYFUNCTION("""COMPUTED_VALUE"""),8.5)</f>
        <v>8.5</v>
      </c>
    </row>
    <row r="1781" spans="1:21" ht="12.75" x14ac:dyDescent="0.2">
      <c r="A1781" s="3">
        <f ca="1">IFERROR(__xludf.DUMMYFUNCTION("""COMPUTED_VALUE"""),40148.5930555555)</f>
        <v>40148.593055555502</v>
      </c>
      <c r="B1781" s="1">
        <f ca="1">IFERROR(__xludf.DUMMYFUNCTION("""COMPUTED_VALUE"""),4.25)</f>
        <v>4.25</v>
      </c>
      <c r="J1781" s="1" t="str">
        <f ca="1">IFERROR(__xludf.DUMMYFUNCTION("""COMPUTED_VALUE"""),"HAND OPEN SHAPE GOLD")</f>
        <v>HAND OPEN SHAPE GOLD</v>
      </c>
      <c r="K1781" s="1">
        <f ca="1">IFERROR(__xludf.DUMMYFUNCTION("""COMPUTED_VALUE"""),2)</f>
        <v>2</v>
      </c>
      <c r="L1781" s="1">
        <f ca="1">IFERROR(__xludf.DUMMYFUNCTION("""COMPUTED_VALUE"""),4.25)</f>
        <v>4.25</v>
      </c>
      <c r="T1781" s="1">
        <f ca="1">IFERROR(__xludf.DUMMYFUNCTION("""COMPUTED_VALUE"""),489590)</f>
        <v>489590</v>
      </c>
      <c r="U1781" s="1">
        <f ca="1">IFERROR(__xludf.DUMMYFUNCTION("""COMPUTED_VALUE"""),8.5)</f>
        <v>8.5</v>
      </c>
    </row>
    <row r="1782" spans="1:21" ht="12.75" x14ac:dyDescent="0.2">
      <c r="A1782" s="3">
        <f ca="1">IFERROR(__xludf.DUMMYFUNCTION("""COMPUTED_VALUE"""),40148.5930555555)</f>
        <v>40148.593055555502</v>
      </c>
      <c r="B1782" s="1">
        <f ca="1">IFERROR(__xludf.DUMMYFUNCTION("""COMPUTED_VALUE"""),3.49)</f>
        <v>3.49</v>
      </c>
      <c r="J1782" s="1" t="str">
        <f ca="1">IFERROR(__xludf.DUMMYFUNCTION("""COMPUTED_VALUE"""),"HAND OPEN SHAPE DECO.WHITE")</f>
        <v>HAND OPEN SHAPE DECO.WHITE</v>
      </c>
      <c r="K1782" s="1">
        <f ca="1">IFERROR(__xludf.DUMMYFUNCTION("""COMPUTED_VALUE"""),2)</f>
        <v>2</v>
      </c>
      <c r="L1782" s="1">
        <f ca="1">IFERROR(__xludf.DUMMYFUNCTION("""COMPUTED_VALUE"""),3.49)</f>
        <v>3.49</v>
      </c>
      <c r="T1782" s="1">
        <f ca="1">IFERROR(__xludf.DUMMYFUNCTION("""COMPUTED_VALUE"""),489590)</f>
        <v>489590</v>
      </c>
      <c r="U1782" s="1">
        <f ca="1">IFERROR(__xludf.DUMMYFUNCTION("""COMPUTED_VALUE"""),6.98)</f>
        <v>6.98</v>
      </c>
    </row>
    <row r="1783" spans="1:21" ht="12.75" x14ac:dyDescent="0.2">
      <c r="A1783" s="3">
        <f ca="1">IFERROR(__xludf.DUMMYFUNCTION("""COMPUTED_VALUE"""),40148.5930555555)</f>
        <v>40148.593055555502</v>
      </c>
      <c r="B1783" s="1">
        <f ca="1">IFERROR(__xludf.DUMMYFUNCTION("""COMPUTED_VALUE"""),8.95)</f>
        <v>8.9499999999999993</v>
      </c>
      <c r="J1783" s="1" t="str">
        <f ca="1">IFERROR(__xludf.DUMMYFUNCTION("""COMPUTED_VALUE"""),"WOODEN BOX ADVENT CALENDAR")</f>
        <v>WOODEN BOX ADVENT CALENDAR</v>
      </c>
      <c r="K1783" s="1">
        <f ca="1">IFERROR(__xludf.DUMMYFUNCTION("""COMPUTED_VALUE"""),2)</f>
        <v>2</v>
      </c>
      <c r="L1783" s="1">
        <f ca="1">IFERROR(__xludf.DUMMYFUNCTION("""COMPUTED_VALUE"""),8.95)</f>
        <v>8.9499999999999993</v>
      </c>
      <c r="T1783" s="1">
        <f ca="1">IFERROR(__xludf.DUMMYFUNCTION("""COMPUTED_VALUE"""),489590)</f>
        <v>489590</v>
      </c>
      <c r="U1783" s="1">
        <f ca="1">IFERROR(__xludf.DUMMYFUNCTION("""COMPUTED_VALUE"""),17.9)</f>
        <v>17.899999999999999</v>
      </c>
    </row>
    <row r="1784" spans="1:21" ht="12.75" x14ac:dyDescent="0.2">
      <c r="A1784" s="3">
        <f ca="1">IFERROR(__xludf.DUMMYFUNCTION("""COMPUTED_VALUE"""),40148.5930555555)</f>
        <v>40148.593055555502</v>
      </c>
      <c r="B1784" s="1">
        <f ca="1">IFERROR(__xludf.DUMMYFUNCTION("""COMPUTED_VALUE"""),12.75)</f>
        <v>12.75</v>
      </c>
      <c r="J1784" s="1" t="str">
        <f ca="1">IFERROR(__xludf.DUMMYFUNCTION("""COMPUTED_VALUE"""),"TWO DOOR CURIO CABINET")</f>
        <v>TWO DOOR CURIO CABINET</v>
      </c>
      <c r="K1784" s="1">
        <f ca="1">IFERROR(__xludf.DUMMYFUNCTION("""COMPUTED_VALUE"""),2)</f>
        <v>2</v>
      </c>
      <c r="L1784" s="1">
        <f ca="1">IFERROR(__xludf.DUMMYFUNCTION("""COMPUTED_VALUE"""),12.75)</f>
        <v>12.75</v>
      </c>
      <c r="T1784" s="1">
        <f ca="1">IFERROR(__xludf.DUMMYFUNCTION("""COMPUTED_VALUE"""),489590)</f>
        <v>489590</v>
      </c>
      <c r="U1784" s="1">
        <f ca="1">IFERROR(__xludf.DUMMYFUNCTION("""COMPUTED_VALUE"""),25.5)</f>
        <v>25.5</v>
      </c>
    </row>
    <row r="1785" spans="1:21" ht="12.75" x14ac:dyDescent="0.2">
      <c r="A1785" s="3">
        <f ca="1">IFERROR(__xludf.DUMMYFUNCTION("""COMPUTED_VALUE"""),40148.5930555555)</f>
        <v>40148.593055555502</v>
      </c>
      <c r="B1785" s="1">
        <f ca="1">IFERROR(__xludf.DUMMYFUNCTION("""COMPUTED_VALUE"""),5.95)</f>
        <v>5.95</v>
      </c>
      <c r="J1785" s="1" t="str">
        <f ca="1">IFERROR(__xludf.DUMMYFUNCTION("""COMPUTED_VALUE"""),"BATH BUILDING BLOCK WORD")</f>
        <v>BATH BUILDING BLOCK WORD</v>
      </c>
      <c r="K1785" s="1">
        <f ca="1">IFERROR(__xludf.DUMMYFUNCTION("""COMPUTED_VALUE"""),2)</f>
        <v>2</v>
      </c>
      <c r="L1785" s="1">
        <f ca="1">IFERROR(__xludf.DUMMYFUNCTION("""COMPUTED_VALUE"""),5.95)</f>
        <v>5.95</v>
      </c>
      <c r="T1785" s="1">
        <f ca="1">IFERROR(__xludf.DUMMYFUNCTION("""COMPUTED_VALUE"""),489590)</f>
        <v>489590</v>
      </c>
      <c r="U1785" s="1">
        <f ca="1">IFERROR(__xludf.DUMMYFUNCTION("""COMPUTED_VALUE"""),11.9)</f>
        <v>11.9</v>
      </c>
    </row>
    <row r="1786" spans="1:21" ht="12.75" x14ac:dyDescent="0.2">
      <c r="A1786" s="3">
        <f ca="1">IFERROR(__xludf.DUMMYFUNCTION("""COMPUTED_VALUE"""),40148.5930555555)</f>
        <v>40148.593055555502</v>
      </c>
      <c r="B1786" s="1">
        <f ca="1">IFERROR(__xludf.DUMMYFUNCTION("""COMPUTED_VALUE"""),9.95)</f>
        <v>9.9499999999999993</v>
      </c>
      <c r="J1786" s="1" t="str">
        <f ca="1">IFERROR(__xludf.DUMMYFUNCTION("""COMPUTED_VALUE"""),"WELCOME  WOODEN BLOCK LETTERS")</f>
        <v>WELCOME  WOODEN BLOCK LETTERS</v>
      </c>
      <c r="K1786" s="1">
        <f ca="1">IFERROR(__xludf.DUMMYFUNCTION("""COMPUTED_VALUE"""),2)</f>
        <v>2</v>
      </c>
      <c r="L1786" s="1">
        <f ca="1">IFERROR(__xludf.DUMMYFUNCTION("""COMPUTED_VALUE"""),9.95)</f>
        <v>9.9499999999999993</v>
      </c>
      <c r="T1786" s="1">
        <f ca="1">IFERROR(__xludf.DUMMYFUNCTION("""COMPUTED_VALUE"""),489590)</f>
        <v>489590</v>
      </c>
      <c r="U1786" s="1">
        <f ca="1">IFERROR(__xludf.DUMMYFUNCTION("""COMPUTED_VALUE"""),19.9)</f>
        <v>19.899999999999999</v>
      </c>
    </row>
    <row r="1787" spans="1:21" ht="12.75" x14ac:dyDescent="0.2">
      <c r="A1787" s="3">
        <f ca="1">IFERROR(__xludf.DUMMYFUNCTION("""COMPUTED_VALUE"""),40148.5930555555)</f>
        <v>40148.593055555502</v>
      </c>
      <c r="B1787" s="1">
        <f ca="1">IFERROR(__xludf.DUMMYFUNCTION("""COMPUTED_VALUE"""),1.65)</f>
        <v>1.65</v>
      </c>
      <c r="J1787" s="1" t="str">
        <f ca="1">IFERROR(__xludf.DUMMYFUNCTION("""COMPUTED_VALUE"""),"S/4 GROOVY CAT MAGNETS")</f>
        <v>S/4 GROOVY CAT MAGNETS</v>
      </c>
      <c r="K1787" s="1">
        <f ca="1">IFERROR(__xludf.DUMMYFUNCTION("""COMPUTED_VALUE"""),1)</f>
        <v>1</v>
      </c>
      <c r="L1787" s="1">
        <f ca="1">IFERROR(__xludf.DUMMYFUNCTION("""COMPUTED_VALUE"""),1.65)</f>
        <v>1.65</v>
      </c>
      <c r="T1787" s="1">
        <f ca="1">IFERROR(__xludf.DUMMYFUNCTION("""COMPUTED_VALUE"""),489590)</f>
        <v>489590</v>
      </c>
      <c r="U1787" s="1">
        <f ca="1">IFERROR(__xludf.DUMMYFUNCTION("""COMPUTED_VALUE"""),1.65)</f>
        <v>1.65</v>
      </c>
    </row>
    <row r="1788" spans="1:21" ht="12.75" x14ac:dyDescent="0.2">
      <c r="A1788" s="3">
        <f ca="1">IFERROR(__xludf.DUMMYFUNCTION("""COMPUTED_VALUE"""),40148.5930555555)</f>
        <v>40148.593055555502</v>
      </c>
      <c r="B1788" s="1">
        <f ca="1">IFERROR(__xludf.DUMMYFUNCTION("""COMPUTED_VALUE"""),1.65)</f>
        <v>1.65</v>
      </c>
      <c r="J1788" s="1" t="str">
        <f ca="1">IFERROR(__xludf.DUMMYFUNCTION("""COMPUTED_VALUE"""),"WOOD STAMP SET FLOWERS")</f>
        <v>WOOD STAMP SET FLOWERS</v>
      </c>
      <c r="K1788" s="1">
        <f ca="1">IFERROR(__xludf.DUMMYFUNCTION("""COMPUTED_VALUE"""),1)</f>
        <v>1</v>
      </c>
      <c r="L1788" s="1">
        <f ca="1">IFERROR(__xludf.DUMMYFUNCTION("""COMPUTED_VALUE"""),1.65)</f>
        <v>1.65</v>
      </c>
      <c r="T1788" s="1">
        <f ca="1">IFERROR(__xludf.DUMMYFUNCTION("""COMPUTED_VALUE"""),489590)</f>
        <v>489590</v>
      </c>
      <c r="U1788" s="1">
        <f ca="1">IFERROR(__xludf.DUMMYFUNCTION("""COMPUTED_VALUE"""),1.65)</f>
        <v>1.65</v>
      </c>
    </row>
    <row r="1789" spans="1:21" ht="12.75" x14ac:dyDescent="0.2">
      <c r="A1789" s="3">
        <f ca="1">IFERROR(__xludf.DUMMYFUNCTION("""COMPUTED_VALUE"""),40148.5930555555)</f>
        <v>40148.593055555502</v>
      </c>
      <c r="B1789" s="1">
        <f ca="1">IFERROR(__xludf.DUMMYFUNCTION("""COMPUTED_VALUE"""),8.5)</f>
        <v>8.5</v>
      </c>
      <c r="J1789" s="1" t="str">
        <f ca="1">IFERROR(__xludf.DUMMYFUNCTION("""COMPUTED_VALUE"""),"WEEKEND BAG VINTAGE ROSE PAISLEY")</f>
        <v>WEEKEND BAG VINTAGE ROSE PAISLEY</v>
      </c>
      <c r="K1789" s="1">
        <f ca="1">IFERROR(__xludf.DUMMYFUNCTION("""COMPUTED_VALUE"""),1)</f>
        <v>1</v>
      </c>
      <c r="L1789" s="1">
        <f ca="1">IFERROR(__xludf.DUMMYFUNCTION("""COMPUTED_VALUE"""),8.5)</f>
        <v>8.5</v>
      </c>
      <c r="T1789" s="1">
        <f ca="1">IFERROR(__xludf.DUMMYFUNCTION("""COMPUTED_VALUE"""),489590)</f>
        <v>489590</v>
      </c>
      <c r="U1789" s="1">
        <f ca="1">IFERROR(__xludf.DUMMYFUNCTION("""COMPUTED_VALUE"""),8.5)</f>
        <v>8.5</v>
      </c>
    </row>
    <row r="1790" spans="1:21" ht="12.75" x14ac:dyDescent="0.2">
      <c r="A1790" s="3">
        <f ca="1">IFERROR(__xludf.DUMMYFUNCTION("""COMPUTED_VALUE"""),40148.5930555555)</f>
        <v>40148.593055555502</v>
      </c>
      <c r="B1790" s="1">
        <f ca="1">IFERROR(__xludf.DUMMYFUNCTION("""COMPUTED_VALUE"""),4.95)</f>
        <v>4.95</v>
      </c>
      <c r="J1790" s="1" t="str">
        <f ca="1">IFERROR(__xludf.DUMMYFUNCTION("""COMPUTED_VALUE"""),"MOBILE VINTAGE HEARTS")</f>
        <v>MOBILE VINTAGE HEARTS</v>
      </c>
      <c r="K1790" s="1">
        <f ca="1">IFERROR(__xludf.DUMMYFUNCTION("""COMPUTED_VALUE"""),1)</f>
        <v>1</v>
      </c>
      <c r="L1790" s="1">
        <f ca="1">IFERROR(__xludf.DUMMYFUNCTION("""COMPUTED_VALUE"""),4.95)</f>
        <v>4.95</v>
      </c>
      <c r="T1790" s="1">
        <f ca="1">IFERROR(__xludf.DUMMYFUNCTION("""COMPUTED_VALUE"""),489590)</f>
        <v>489590</v>
      </c>
      <c r="U1790" s="1">
        <f ca="1">IFERROR(__xludf.DUMMYFUNCTION("""COMPUTED_VALUE"""),4.95)</f>
        <v>4.95</v>
      </c>
    </row>
    <row r="1791" spans="1:21" ht="12.75" x14ac:dyDescent="0.2">
      <c r="A1791" s="3">
        <f ca="1">IFERROR(__xludf.DUMMYFUNCTION("""COMPUTED_VALUE"""),40148.5930555555)</f>
        <v>40148.593055555502</v>
      </c>
      <c r="B1791" s="1">
        <f ca="1">IFERROR(__xludf.DUMMYFUNCTION("""COMPUTED_VALUE"""),5.95)</f>
        <v>5.95</v>
      </c>
      <c r="J1791" s="1" t="str">
        <f ca="1">IFERROR(__xludf.DUMMYFUNCTION("""COMPUTED_VALUE"""),"BIRDS MOBILE VINTAGE DESIGN")</f>
        <v>BIRDS MOBILE VINTAGE DESIGN</v>
      </c>
      <c r="K1791" s="1">
        <f ca="1">IFERROR(__xludf.DUMMYFUNCTION("""COMPUTED_VALUE"""),1)</f>
        <v>1</v>
      </c>
      <c r="L1791" s="1">
        <f ca="1">IFERROR(__xludf.DUMMYFUNCTION("""COMPUTED_VALUE"""),5.95)</f>
        <v>5.95</v>
      </c>
      <c r="T1791" s="1">
        <f ca="1">IFERROR(__xludf.DUMMYFUNCTION("""COMPUTED_VALUE"""),489590)</f>
        <v>489590</v>
      </c>
      <c r="U1791" s="1">
        <f ca="1">IFERROR(__xludf.DUMMYFUNCTION("""COMPUTED_VALUE"""),5.95)</f>
        <v>5.95</v>
      </c>
    </row>
    <row r="1792" spans="1:21" ht="12.75" x14ac:dyDescent="0.2">
      <c r="A1792" s="3">
        <f ca="1">IFERROR(__xludf.DUMMYFUNCTION("""COMPUTED_VALUE"""),40148.5930555555)</f>
        <v>40148.593055555502</v>
      </c>
      <c r="B1792" s="1">
        <f ca="1">IFERROR(__xludf.DUMMYFUNCTION("""COMPUTED_VALUE"""),6.75)</f>
        <v>6.75</v>
      </c>
      <c r="J1792" s="1" t="str">
        <f ca="1">IFERROR(__xludf.DUMMYFUNCTION("""COMPUTED_VALUE"""),"RED SPOTTY COIR DOORMAT")</f>
        <v>RED SPOTTY COIR DOORMAT</v>
      </c>
      <c r="K1792" s="1">
        <f ca="1">IFERROR(__xludf.DUMMYFUNCTION("""COMPUTED_VALUE"""),1)</f>
        <v>1</v>
      </c>
      <c r="L1792" s="1">
        <f ca="1">IFERROR(__xludf.DUMMYFUNCTION("""COMPUTED_VALUE"""),6.75)</f>
        <v>6.75</v>
      </c>
      <c r="T1792" s="1">
        <f ca="1">IFERROR(__xludf.DUMMYFUNCTION("""COMPUTED_VALUE"""),489590)</f>
        <v>489590</v>
      </c>
      <c r="U1792" s="1">
        <f ca="1">IFERROR(__xludf.DUMMYFUNCTION("""COMPUTED_VALUE"""),6.75)</f>
        <v>6.75</v>
      </c>
    </row>
    <row r="1793" spans="1:21" ht="12.75" x14ac:dyDescent="0.2">
      <c r="A1793" s="3">
        <f ca="1">IFERROR(__xludf.DUMMYFUNCTION("""COMPUTED_VALUE"""),40148.5930555555)</f>
        <v>40148.593055555502</v>
      </c>
      <c r="B1793" s="1">
        <f ca="1">IFERROR(__xludf.DUMMYFUNCTION("""COMPUTED_VALUE"""),6.75)</f>
        <v>6.75</v>
      </c>
      <c r="J1793" s="1" t="str">
        <f ca="1">IFERROR(__xludf.DUMMYFUNCTION("""COMPUTED_VALUE"""),"DOORMAT HEARTS")</f>
        <v>DOORMAT HEARTS</v>
      </c>
      <c r="K1793" s="1">
        <f ca="1">IFERROR(__xludf.DUMMYFUNCTION("""COMPUTED_VALUE"""),1)</f>
        <v>1</v>
      </c>
      <c r="L1793" s="1">
        <f ca="1">IFERROR(__xludf.DUMMYFUNCTION("""COMPUTED_VALUE"""),6.75)</f>
        <v>6.75</v>
      </c>
      <c r="T1793" s="1">
        <f ca="1">IFERROR(__xludf.DUMMYFUNCTION("""COMPUTED_VALUE"""),489590)</f>
        <v>489590</v>
      </c>
      <c r="U1793" s="1">
        <f ca="1">IFERROR(__xludf.DUMMYFUNCTION("""COMPUTED_VALUE"""),6.75)</f>
        <v>6.75</v>
      </c>
    </row>
    <row r="1794" spans="1:21" ht="12.75" x14ac:dyDescent="0.2">
      <c r="A1794" s="3">
        <f ca="1">IFERROR(__xludf.DUMMYFUNCTION("""COMPUTED_VALUE"""),40148.5930555555)</f>
        <v>40148.593055555502</v>
      </c>
      <c r="B1794" s="1">
        <f ca="1">IFERROR(__xludf.DUMMYFUNCTION("""COMPUTED_VALUE"""),6.75)</f>
        <v>6.75</v>
      </c>
      <c r="J1794" s="1" t="str">
        <f ca="1">IFERROR(__xludf.DUMMYFUNCTION("""COMPUTED_VALUE"""),"DOOR MAT BLACK FLOCK")</f>
        <v>DOOR MAT BLACK FLOCK</v>
      </c>
      <c r="K1794" s="1">
        <f ca="1">IFERROR(__xludf.DUMMYFUNCTION("""COMPUTED_VALUE"""),1)</f>
        <v>1</v>
      </c>
      <c r="L1794" s="1">
        <f ca="1">IFERROR(__xludf.DUMMYFUNCTION("""COMPUTED_VALUE"""),6.75)</f>
        <v>6.75</v>
      </c>
      <c r="T1794" s="1">
        <f ca="1">IFERROR(__xludf.DUMMYFUNCTION("""COMPUTED_VALUE"""),489590)</f>
        <v>489590</v>
      </c>
      <c r="U1794" s="1">
        <f ca="1">IFERROR(__xludf.DUMMYFUNCTION("""COMPUTED_VALUE"""),6.75)</f>
        <v>6.75</v>
      </c>
    </row>
    <row r="1795" spans="1:21" ht="12.75" x14ac:dyDescent="0.2">
      <c r="A1795" s="3">
        <f ca="1">IFERROR(__xludf.DUMMYFUNCTION("""COMPUTED_VALUE"""),40148.5930555555)</f>
        <v>40148.593055555502</v>
      </c>
      <c r="B1795" s="1">
        <f ca="1">IFERROR(__xludf.DUMMYFUNCTION("""COMPUTED_VALUE"""),6.75)</f>
        <v>6.75</v>
      </c>
      <c r="J1795" s="1" t="str">
        <f ca="1">IFERROR(__xludf.DUMMYFUNCTION("""COMPUTED_VALUE"""),"DOOR MAT FRIENDSHIP")</f>
        <v>DOOR MAT FRIENDSHIP</v>
      </c>
      <c r="K1795" s="1">
        <f ca="1">IFERROR(__xludf.DUMMYFUNCTION("""COMPUTED_VALUE"""),1)</f>
        <v>1</v>
      </c>
      <c r="L1795" s="1">
        <f ca="1">IFERROR(__xludf.DUMMYFUNCTION("""COMPUTED_VALUE"""),6.75)</f>
        <v>6.75</v>
      </c>
      <c r="T1795" s="1">
        <f ca="1">IFERROR(__xludf.DUMMYFUNCTION("""COMPUTED_VALUE"""),489590)</f>
        <v>489590</v>
      </c>
      <c r="U1795" s="1">
        <f ca="1">IFERROR(__xludf.DUMMYFUNCTION("""COMPUTED_VALUE"""),6.75)</f>
        <v>6.75</v>
      </c>
    </row>
    <row r="1796" spans="1:21" ht="12.75" x14ac:dyDescent="0.2">
      <c r="A1796" s="3">
        <f ca="1">IFERROR(__xludf.DUMMYFUNCTION("""COMPUTED_VALUE"""),40148.5930555555)</f>
        <v>40148.593055555502</v>
      </c>
      <c r="B1796" s="1">
        <f ca="1">IFERROR(__xludf.DUMMYFUNCTION("""COMPUTED_VALUE"""),6.75)</f>
        <v>6.75</v>
      </c>
      <c r="J1796" s="1" t="str">
        <f ca="1">IFERROR(__xludf.DUMMYFUNCTION("""COMPUTED_VALUE"""),"DOOR MAT MULTICOLOUR STRIPE")</f>
        <v>DOOR MAT MULTICOLOUR STRIPE</v>
      </c>
      <c r="K1796" s="1">
        <f ca="1">IFERROR(__xludf.DUMMYFUNCTION("""COMPUTED_VALUE"""),1)</f>
        <v>1</v>
      </c>
      <c r="L1796" s="1">
        <f ca="1">IFERROR(__xludf.DUMMYFUNCTION("""COMPUTED_VALUE"""),6.75)</f>
        <v>6.75</v>
      </c>
      <c r="T1796" s="1">
        <f ca="1">IFERROR(__xludf.DUMMYFUNCTION("""COMPUTED_VALUE"""),489590)</f>
        <v>489590</v>
      </c>
      <c r="U1796" s="1">
        <f ca="1">IFERROR(__xludf.DUMMYFUNCTION("""COMPUTED_VALUE"""),6.75)</f>
        <v>6.75</v>
      </c>
    </row>
    <row r="1797" spans="1:21" ht="12.75" x14ac:dyDescent="0.2">
      <c r="A1797" s="3">
        <f ca="1">IFERROR(__xludf.DUMMYFUNCTION("""COMPUTED_VALUE"""),40148.5951388888)</f>
        <v>40148.595138888799</v>
      </c>
      <c r="B1797" s="1">
        <f ca="1">IFERROR(__xludf.DUMMYFUNCTION("""COMPUTED_VALUE"""),5.45)</f>
        <v>5.45</v>
      </c>
      <c r="J1797" s="1" t="str">
        <f ca="1">IFERROR(__xludf.DUMMYFUNCTION("""COMPUTED_VALUE"""),"BLACK CHERRY LIGHTS")</f>
        <v>BLACK CHERRY LIGHTS</v>
      </c>
      <c r="K1797" s="1">
        <f ca="1">IFERROR(__xludf.DUMMYFUNCTION("""COMPUTED_VALUE"""),-3)</f>
        <v>-3</v>
      </c>
      <c r="L1797" s="1">
        <f ca="1">IFERROR(__xludf.DUMMYFUNCTION("""COMPUTED_VALUE"""),5.45)</f>
        <v>5.45</v>
      </c>
      <c r="T1797" s="1"/>
      <c r="U1797" s="1">
        <f ca="1">IFERROR(__xludf.DUMMYFUNCTION("""COMPUTED_VALUE"""),-16.35)</f>
        <v>-16.350000000000001</v>
      </c>
    </row>
    <row r="1798" spans="1:21" ht="12.75" x14ac:dyDescent="0.2">
      <c r="A1798" s="3">
        <f ca="1">IFERROR(__xludf.DUMMYFUNCTION("""COMPUTED_VALUE"""),40148.5965277777)</f>
        <v>40148.5965277777</v>
      </c>
      <c r="B1798" s="1">
        <f ca="1">IFERROR(__xludf.DUMMYFUNCTION("""COMPUTED_VALUE"""),2.1)</f>
        <v>2.1</v>
      </c>
      <c r="J1798" s="1" t="str">
        <f ca="1">IFERROR(__xludf.DUMMYFUNCTION("""COMPUTED_VALUE"""),"PLEASE ONE PERSON  METAL SIGN")</f>
        <v>PLEASE ONE PERSON  METAL SIGN</v>
      </c>
      <c r="K1798" s="1">
        <f ca="1">IFERROR(__xludf.DUMMYFUNCTION("""COMPUTED_VALUE"""),12)</f>
        <v>12</v>
      </c>
      <c r="L1798" s="1">
        <f ca="1">IFERROR(__xludf.DUMMYFUNCTION("""COMPUTED_VALUE"""),2.1)</f>
        <v>2.1</v>
      </c>
      <c r="T1798" s="1">
        <f ca="1">IFERROR(__xludf.DUMMYFUNCTION("""COMPUTED_VALUE"""),489593)</f>
        <v>489593</v>
      </c>
      <c r="U1798" s="1">
        <f ca="1">IFERROR(__xludf.DUMMYFUNCTION("""COMPUTED_VALUE"""),25.2)</f>
        <v>25.2</v>
      </c>
    </row>
    <row r="1799" spans="1:21" ht="12.75" x14ac:dyDescent="0.2">
      <c r="A1799" s="3">
        <f ca="1">IFERROR(__xludf.DUMMYFUNCTION("""COMPUTED_VALUE"""),40148.5965277777)</f>
        <v>40148.5965277777</v>
      </c>
      <c r="B1799" s="1">
        <f ca="1">IFERROR(__xludf.DUMMYFUNCTION("""COMPUTED_VALUE"""),1.69)</f>
        <v>1.69</v>
      </c>
      <c r="J1799" s="1" t="str">
        <f ca="1">IFERROR(__xludf.DUMMYFUNCTION("""COMPUTED_VALUE"""),"ASSORTED COLOUR BIRD ORNAMENT")</f>
        <v>ASSORTED COLOUR BIRD ORNAMENT</v>
      </c>
      <c r="K1799" s="1">
        <f ca="1">IFERROR(__xludf.DUMMYFUNCTION("""COMPUTED_VALUE"""),8)</f>
        <v>8</v>
      </c>
      <c r="L1799" s="1">
        <f ca="1">IFERROR(__xludf.DUMMYFUNCTION("""COMPUTED_VALUE"""),1.69)</f>
        <v>1.69</v>
      </c>
      <c r="T1799" s="1">
        <f ca="1">IFERROR(__xludf.DUMMYFUNCTION("""COMPUTED_VALUE"""),489593)</f>
        <v>489593</v>
      </c>
      <c r="U1799" s="1">
        <f ca="1">IFERROR(__xludf.DUMMYFUNCTION("""COMPUTED_VALUE"""),13.52)</f>
        <v>13.52</v>
      </c>
    </row>
    <row r="1800" spans="1:21" ht="12.75" x14ac:dyDescent="0.2">
      <c r="A1800" s="3">
        <f ca="1">IFERROR(__xludf.DUMMYFUNCTION("""COMPUTED_VALUE"""),40148.5965277777)</f>
        <v>40148.5965277777</v>
      </c>
      <c r="B1800" s="1">
        <f ca="1">IFERROR(__xludf.DUMMYFUNCTION("""COMPUTED_VALUE"""),6.75)</f>
        <v>6.75</v>
      </c>
      <c r="J1800" s="1" t="str">
        <f ca="1">IFERROR(__xludf.DUMMYFUNCTION("""COMPUTED_VALUE"""),"WHITE CHERRY LIGHTS")</f>
        <v>WHITE CHERRY LIGHTS</v>
      </c>
      <c r="K1800" s="1">
        <f ca="1">IFERROR(__xludf.DUMMYFUNCTION("""COMPUTED_VALUE"""),6)</f>
        <v>6</v>
      </c>
      <c r="L1800" s="1">
        <f ca="1">IFERROR(__xludf.DUMMYFUNCTION("""COMPUTED_VALUE"""),6.75)</f>
        <v>6.75</v>
      </c>
      <c r="T1800" s="1">
        <f ca="1">IFERROR(__xludf.DUMMYFUNCTION("""COMPUTED_VALUE"""),489593)</f>
        <v>489593</v>
      </c>
      <c r="U1800" s="1">
        <f ca="1">IFERROR(__xludf.DUMMYFUNCTION("""COMPUTED_VALUE"""),40.5)</f>
        <v>40.5</v>
      </c>
    </row>
    <row r="1801" spans="1:21" ht="12.75" x14ac:dyDescent="0.2">
      <c r="A1801" s="3">
        <f ca="1">IFERROR(__xludf.DUMMYFUNCTION("""COMPUTED_VALUE"""),40148.5965277777)</f>
        <v>40148.5965277777</v>
      </c>
      <c r="B1801" s="1">
        <f ca="1">IFERROR(__xludf.DUMMYFUNCTION("""COMPUTED_VALUE"""),0.85)</f>
        <v>0.85</v>
      </c>
      <c r="J1801" s="1" t="str">
        <f ca="1">IFERROR(__xludf.DUMMYFUNCTION("""COMPUTED_VALUE"""),"VINTAGE SNAP CARDS")</f>
        <v>VINTAGE SNAP CARDS</v>
      </c>
      <c r="K1801" s="1">
        <f ca="1">IFERROR(__xludf.DUMMYFUNCTION("""COMPUTED_VALUE"""),6)</f>
        <v>6</v>
      </c>
      <c r="L1801" s="1">
        <f ca="1">IFERROR(__xludf.DUMMYFUNCTION("""COMPUTED_VALUE"""),0.85)</f>
        <v>0.85</v>
      </c>
      <c r="T1801" s="1">
        <f ca="1">IFERROR(__xludf.DUMMYFUNCTION("""COMPUTED_VALUE"""),489593)</f>
        <v>489593</v>
      </c>
      <c r="U1801" s="1">
        <f ca="1">IFERROR(__xludf.DUMMYFUNCTION("""COMPUTED_VALUE"""),5.1)</f>
        <v>5.0999999999999996</v>
      </c>
    </row>
    <row r="1802" spans="1:21" ht="12.75" x14ac:dyDescent="0.2">
      <c r="A1802" s="3">
        <f ca="1">IFERROR(__xludf.DUMMYFUNCTION("""COMPUTED_VALUE"""),40148.5965277777)</f>
        <v>40148.5965277777</v>
      </c>
      <c r="B1802" s="1">
        <f ca="1">IFERROR(__xludf.DUMMYFUNCTION("""COMPUTED_VALUE"""),0.85)</f>
        <v>0.85</v>
      </c>
      <c r="J1802" s="1" t="str">
        <f ca="1">IFERROR(__xludf.DUMMYFUNCTION("""COMPUTED_VALUE"""),"VINTAGE DESIGN GIFT TAGS")</f>
        <v>VINTAGE DESIGN GIFT TAGS</v>
      </c>
      <c r="K1802" s="1">
        <f ca="1">IFERROR(__xludf.DUMMYFUNCTION("""COMPUTED_VALUE"""),5)</f>
        <v>5</v>
      </c>
      <c r="L1802" s="1">
        <f ca="1">IFERROR(__xludf.DUMMYFUNCTION("""COMPUTED_VALUE"""),0.85)</f>
        <v>0.85</v>
      </c>
      <c r="T1802" s="1">
        <f ca="1">IFERROR(__xludf.DUMMYFUNCTION("""COMPUTED_VALUE"""),489593)</f>
        <v>489593</v>
      </c>
      <c r="U1802" s="1">
        <f ca="1">IFERROR(__xludf.DUMMYFUNCTION("""COMPUTED_VALUE"""),4.25)</f>
        <v>4.25</v>
      </c>
    </row>
    <row r="1803" spans="1:21" ht="12.75" x14ac:dyDescent="0.2">
      <c r="A1803" s="3">
        <f ca="1">IFERROR(__xludf.DUMMYFUNCTION("""COMPUTED_VALUE"""),40148.5965277777)</f>
        <v>40148.5965277777</v>
      </c>
      <c r="B1803" s="1">
        <f ca="1">IFERROR(__xludf.DUMMYFUNCTION("""COMPUTED_VALUE"""),6.75)</f>
        <v>6.75</v>
      </c>
      <c r="J1803" s="1" t="str">
        <f ca="1">IFERROR(__xludf.DUMMYFUNCTION("""COMPUTED_VALUE"""),"SILVER CHERRY LIGHTS")</f>
        <v>SILVER CHERRY LIGHTS</v>
      </c>
      <c r="K1803" s="1">
        <f ca="1">IFERROR(__xludf.DUMMYFUNCTION("""COMPUTED_VALUE"""),4)</f>
        <v>4</v>
      </c>
      <c r="L1803" s="1">
        <f ca="1">IFERROR(__xludf.DUMMYFUNCTION("""COMPUTED_VALUE"""),6.75)</f>
        <v>6.75</v>
      </c>
      <c r="T1803" s="1">
        <f ca="1">IFERROR(__xludf.DUMMYFUNCTION("""COMPUTED_VALUE"""),489593)</f>
        <v>489593</v>
      </c>
      <c r="U1803" s="1">
        <f ca="1">IFERROR(__xludf.DUMMYFUNCTION("""COMPUTED_VALUE"""),27)</f>
        <v>27</v>
      </c>
    </row>
    <row r="1804" spans="1:21" ht="12.75" x14ac:dyDescent="0.2">
      <c r="A1804" s="3">
        <f ca="1">IFERROR(__xludf.DUMMYFUNCTION("""COMPUTED_VALUE"""),40148.5965277777)</f>
        <v>40148.5965277777</v>
      </c>
      <c r="B1804" s="1">
        <f ca="1">IFERROR(__xludf.DUMMYFUNCTION("""COMPUTED_VALUE"""),10.75)</f>
        <v>10.75</v>
      </c>
      <c r="J1804" s="1" t="str">
        <f ca="1">IFERROR(__xludf.DUMMYFUNCTION("""COMPUTED_VALUE"""),"TEA TIME CAKE STAND IN GIFT BOX")</f>
        <v>TEA TIME CAKE STAND IN GIFT BOX</v>
      </c>
      <c r="K1804" s="1">
        <f ca="1">IFERROR(__xludf.DUMMYFUNCTION("""COMPUTED_VALUE"""),4)</f>
        <v>4</v>
      </c>
      <c r="L1804" s="1">
        <f ca="1">IFERROR(__xludf.DUMMYFUNCTION("""COMPUTED_VALUE"""),10.75)</f>
        <v>10.75</v>
      </c>
      <c r="T1804" s="1">
        <f ca="1">IFERROR(__xludf.DUMMYFUNCTION("""COMPUTED_VALUE"""),489593)</f>
        <v>489593</v>
      </c>
      <c r="U1804" s="1">
        <f ca="1">IFERROR(__xludf.DUMMYFUNCTION("""COMPUTED_VALUE"""),43)</f>
        <v>43</v>
      </c>
    </row>
    <row r="1805" spans="1:21" ht="12.75" x14ac:dyDescent="0.2">
      <c r="A1805" s="3">
        <f ca="1">IFERROR(__xludf.DUMMYFUNCTION("""COMPUTED_VALUE"""),40148.5965277777)</f>
        <v>40148.5965277777</v>
      </c>
      <c r="B1805" s="1">
        <f ca="1">IFERROR(__xludf.DUMMYFUNCTION("""COMPUTED_VALUE"""),2.95)</f>
        <v>2.95</v>
      </c>
      <c r="J1805" s="1" t="str">
        <f ca="1">IFERROR(__xludf.DUMMYFUNCTION("""COMPUTED_VALUE"""),"PAPER CHAIN KIT 50'S CHRISTMAS")</f>
        <v>PAPER CHAIN KIT 50'S CHRISTMAS</v>
      </c>
      <c r="K1805" s="1">
        <f ca="1">IFERROR(__xludf.DUMMYFUNCTION("""COMPUTED_VALUE"""),4)</f>
        <v>4</v>
      </c>
      <c r="L1805" s="1">
        <f ca="1">IFERROR(__xludf.DUMMYFUNCTION("""COMPUTED_VALUE"""),2.95)</f>
        <v>2.95</v>
      </c>
      <c r="T1805" s="1">
        <f ca="1">IFERROR(__xludf.DUMMYFUNCTION("""COMPUTED_VALUE"""),489593)</f>
        <v>489593</v>
      </c>
      <c r="U1805" s="1">
        <f ca="1">IFERROR(__xludf.DUMMYFUNCTION("""COMPUTED_VALUE"""),11.8)</f>
        <v>11.8</v>
      </c>
    </row>
    <row r="1806" spans="1:21" ht="12.75" x14ac:dyDescent="0.2">
      <c r="A1806" s="3">
        <f ca="1">IFERROR(__xludf.DUMMYFUNCTION("""COMPUTED_VALUE"""),40148.5965277777)</f>
        <v>40148.5965277777</v>
      </c>
      <c r="B1806" s="1">
        <f ca="1">IFERROR(__xludf.DUMMYFUNCTION("""COMPUTED_VALUE"""),1.95)</f>
        <v>1.95</v>
      </c>
      <c r="J1806" s="1" t="str">
        <f ca="1">IFERROR(__xludf.DUMMYFUNCTION("""COMPUTED_VALUE"""),"SET OF THREE 50'S GIFT WRAPS")</f>
        <v>SET OF THREE 50'S GIFT WRAPS</v>
      </c>
      <c r="K1806" s="1">
        <f ca="1">IFERROR(__xludf.DUMMYFUNCTION("""COMPUTED_VALUE"""),4)</f>
        <v>4</v>
      </c>
      <c r="L1806" s="1">
        <f ca="1">IFERROR(__xludf.DUMMYFUNCTION("""COMPUTED_VALUE"""),1.95)</f>
        <v>1.95</v>
      </c>
      <c r="T1806" s="1">
        <f ca="1">IFERROR(__xludf.DUMMYFUNCTION("""COMPUTED_VALUE"""),489593)</f>
        <v>489593</v>
      </c>
      <c r="U1806" s="1">
        <f ca="1">IFERROR(__xludf.DUMMYFUNCTION("""COMPUTED_VALUE"""),7.8)</f>
        <v>7.8</v>
      </c>
    </row>
    <row r="1807" spans="1:21" ht="12.75" x14ac:dyDescent="0.2">
      <c r="A1807" s="3">
        <f ca="1">IFERROR(__xludf.DUMMYFUNCTION("""COMPUTED_VALUE"""),40148.5965277777)</f>
        <v>40148.5965277777</v>
      </c>
      <c r="B1807" s="1">
        <f ca="1">IFERROR(__xludf.DUMMYFUNCTION("""COMPUTED_VALUE"""),1.95)</f>
        <v>1.95</v>
      </c>
      <c r="J1807" s="1" t="str">
        <f ca="1">IFERROR(__xludf.DUMMYFUNCTION("""COMPUTED_VALUE"""),"SET OF THREE VINTAGE GIFT WRAPS")</f>
        <v>SET OF THREE VINTAGE GIFT WRAPS</v>
      </c>
      <c r="K1807" s="1">
        <f ca="1">IFERROR(__xludf.DUMMYFUNCTION("""COMPUTED_VALUE"""),4)</f>
        <v>4</v>
      </c>
      <c r="L1807" s="1">
        <f ca="1">IFERROR(__xludf.DUMMYFUNCTION("""COMPUTED_VALUE"""),1.95)</f>
        <v>1.95</v>
      </c>
      <c r="T1807" s="1">
        <f ca="1">IFERROR(__xludf.DUMMYFUNCTION("""COMPUTED_VALUE"""),489593)</f>
        <v>489593</v>
      </c>
      <c r="U1807" s="1">
        <f ca="1">IFERROR(__xludf.DUMMYFUNCTION("""COMPUTED_VALUE"""),7.8)</f>
        <v>7.8</v>
      </c>
    </row>
    <row r="1808" spans="1:21" ht="12.75" x14ac:dyDescent="0.2">
      <c r="A1808" s="3">
        <f ca="1">IFERROR(__xludf.DUMMYFUNCTION("""COMPUTED_VALUE"""),40148.5965277777)</f>
        <v>40148.5965277777</v>
      </c>
      <c r="B1808" s="1">
        <f ca="1">IFERROR(__xludf.DUMMYFUNCTION("""COMPUTED_VALUE"""),6.75)</f>
        <v>6.75</v>
      </c>
      <c r="J1808" s="1" t="str">
        <f ca="1">IFERROR(__xludf.DUMMYFUNCTION("""COMPUTED_VALUE"""),"DOORMAT HEARTS")</f>
        <v>DOORMAT HEARTS</v>
      </c>
      <c r="K1808" s="1">
        <f ca="1">IFERROR(__xludf.DUMMYFUNCTION("""COMPUTED_VALUE"""),3)</f>
        <v>3</v>
      </c>
      <c r="L1808" s="1">
        <f ca="1">IFERROR(__xludf.DUMMYFUNCTION("""COMPUTED_VALUE"""),6.75)</f>
        <v>6.75</v>
      </c>
      <c r="T1808" s="1">
        <f ca="1">IFERROR(__xludf.DUMMYFUNCTION("""COMPUTED_VALUE"""),489593)</f>
        <v>489593</v>
      </c>
      <c r="U1808" s="1">
        <f ca="1">IFERROR(__xludf.DUMMYFUNCTION("""COMPUTED_VALUE"""),20.25)</f>
        <v>20.25</v>
      </c>
    </row>
    <row r="1809" spans="1:21" ht="12.75" x14ac:dyDescent="0.2">
      <c r="A1809" s="3">
        <f ca="1">IFERROR(__xludf.DUMMYFUNCTION("""COMPUTED_VALUE"""),40148.5965277777)</f>
        <v>40148.5965277777</v>
      </c>
      <c r="B1809" s="1">
        <f ca="1">IFERROR(__xludf.DUMMYFUNCTION("""COMPUTED_VALUE"""),3.45)</f>
        <v>3.45</v>
      </c>
      <c r="J1809" s="1" t="str">
        <f ca="1">IFERROR(__xludf.DUMMYFUNCTION("""COMPUTED_VALUE"""),"GREY HEART HOT WATER BOTTLE")</f>
        <v>GREY HEART HOT WATER BOTTLE</v>
      </c>
      <c r="K1809" s="1">
        <f ca="1">IFERROR(__xludf.DUMMYFUNCTION("""COMPUTED_VALUE"""),3)</f>
        <v>3</v>
      </c>
      <c r="L1809" s="1">
        <f ca="1">IFERROR(__xludf.DUMMYFUNCTION("""COMPUTED_VALUE"""),3.45)</f>
        <v>3.45</v>
      </c>
      <c r="T1809" s="1">
        <f ca="1">IFERROR(__xludf.DUMMYFUNCTION("""COMPUTED_VALUE"""),489593)</f>
        <v>489593</v>
      </c>
      <c r="U1809" s="1">
        <f ca="1">IFERROR(__xludf.DUMMYFUNCTION("""COMPUTED_VALUE"""),10.35)</f>
        <v>10.35</v>
      </c>
    </row>
    <row r="1810" spans="1:21" ht="12.75" x14ac:dyDescent="0.2">
      <c r="A1810" s="3">
        <f ca="1">IFERROR(__xludf.DUMMYFUNCTION("""COMPUTED_VALUE"""),40148.5965277777)</f>
        <v>40148.5965277777</v>
      </c>
      <c r="B1810" s="1">
        <f ca="1">IFERROR(__xludf.DUMMYFUNCTION("""COMPUTED_VALUE"""),3.75)</f>
        <v>3.75</v>
      </c>
      <c r="J1810" s="1" t="str">
        <f ca="1">IFERROR(__xludf.DUMMYFUNCTION("""COMPUTED_VALUE"""),"DOG BOWL , CHASING BALL DESIGN")</f>
        <v>DOG BOWL , CHASING BALL DESIGN</v>
      </c>
      <c r="K1810" s="1">
        <f ca="1">IFERROR(__xludf.DUMMYFUNCTION("""COMPUTED_VALUE"""),3)</f>
        <v>3</v>
      </c>
      <c r="L1810" s="1">
        <f ca="1">IFERROR(__xludf.DUMMYFUNCTION("""COMPUTED_VALUE"""),3.75)</f>
        <v>3.75</v>
      </c>
      <c r="T1810" s="1">
        <f ca="1">IFERROR(__xludf.DUMMYFUNCTION("""COMPUTED_VALUE"""),489593)</f>
        <v>489593</v>
      </c>
      <c r="U1810" s="1">
        <f ca="1">IFERROR(__xludf.DUMMYFUNCTION("""COMPUTED_VALUE"""),11.25)</f>
        <v>11.25</v>
      </c>
    </row>
    <row r="1811" spans="1:21" ht="12.75" x14ac:dyDescent="0.2">
      <c r="A1811" s="3">
        <f ca="1">IFERROR(__xludf.DUMMYFUNCTION("""COMPUTED_VALUE"""),40148.5965277777)</f>
        <v>40148.5965277777</v>
      </c>
      <c r="B1811" s="1">
        <f ca="1">IFERROR(__xludf.DUMMYFUNCTION("""COMPUTED_VALUE"""),1.25)</f>
        <v>1.25</v>
      </c>
      <c r="J1811" s="1" t="str">
        <f ca="1">IFERROR(__xludf.DUMMYFUNCTION("""COMPUTED_VALUE"""),"VINTAGE HEADS AND TAILS CARD GAME")</f>
        <v>VINTAGE HEADS AND TAILS CARD GAME</v>
      </c>
      <c r="K1811" s="1">
        <f ca="1">IFERROR(__xludf.DUMMYFUNCTION("""COMPUTED_VALUE"""),3)</f>
        <v>3</v>
      </c>
      <c r="L1811" s="1">
        <f ca="1">IFERROR(__xludf.DUMMYFUNCTION("""COMPUTED_VALUE"""),1.25)</f>
        <v>1.25</v>
      </c>
      <c r="T1811" s="1">
        <f ca="1">IFERROR(__xludf.DUMMYFUNCTION("""COMPUTED_VALUE"""),489593)</f>
        <v>489593</v>
      </c>
      <c r="U1811" s="1">
        <f ca="1">IFERROR(__xludf.DUMMYFUNCTION("""COMPUTED_VALUE"""),3.75)</f>
        <v>3.75</v>
      </c>
    </row>
    <row r="1812" spans="1:21" ht="12.75" x14ac:dyDescent="0.2">
      <c r="A1812" s="3">
        <f ca="1">IFERROR(__xludf.DUMMYFUNCTION("""COMPUTED_VALUE"""),40148.5965277777)</f>
        <v>40148.5965277777</v>
      </c>
      <c r="B1812" s="1">
        <f ca="1">IFERROR(__xludf.DUMMYFUNCTION("""COMPUTED_VALUE"""),1.95)</f>
        <v>1.95</v>
      </c>
      <c r="J1812" s="1" t="str">
        <f ca="1">IFERROR(__xludf.DUMMYFUNCTION("""COMPUTED_VALUE"""),"3 STRIPEY MICE FELTCRAFT")</f>
        <v>3 STRIPEY MICE FELTCRAFT</v>
      </c>
      <c r="K1812" s="1">
        <f ca="1">IFERROR(__xludf.DUMMYFUNCTION("""COMPUTED_VALUE"""),3)</f>
        <v>3</v>
      </c>
      <c r="L1812" s="1">
        <f ca="1">IFERROR(__xludf.DUMMYFUNCTION("""COMPUTED_VALUE"""),1.95)</f>
        <v>1.95</v>
      </c>
      <c r="T1812" s="1">
        <f ca="1">IFERROR(__xludf.DUMMYFUNCTION("""COMPUTED_VALUE"""),489593)</f>
        <v>489593</v>
      </c>
      <c r="U1812" s="1">
        <f ca="1">IFERROR(__xludf.DUMMYFUNCTION("""COMPUTED_VALUE"""),5.85)</f>
        <v>5.85</v>
      </c>
    </row>
    <row r="1813" spans="1:21" ht="12.75" x14ac:dyDescent="0.2">
      <c r="A1813" s="3">
        <f ca="1">IFERROR(__xludf.DUMMYFUNCTION("""COMPUTED_VALUE"""),40148.5965277777)</f>
        <v>40148.5965277777</v>
      </c>
      <c r="B1813" s="1">
        <f ca="1">IFERROR(__xludf.DUMMYFUNCTION("""COMPUTED_VALUE"""),4.95)</f>
        <v>4.95</v>
      </c>
      <c r="J1813" s="1" t="str">
        <f ca="1">IFERROR(__xludf.DUMMYFUNCTION("""COMPUTED_VALUE"""),"CHOCOLATE HOT WATER BOTTLE")</f>
        <v>CHOCOLATE HOT WATER BOTTLE</v>
      </c>
      <c r="K1813" s="1">
        <f ca="1">IFERROR(__xludf.DUMMYFUNCTION("""COMPUTED_VALUE"""),2)</f>
        <v>2</v>
      </c>
      <c r="L1813" s="1">
        <f ca="1">IFERROR(__xludf.DUMMYFUNCTION("""COMPUTED_VALUE"""),4.95)</f>
        <v>4.95</v>
      </c>
      <c r="T1813" s="1">
        <f ca="1">IFERROR(__xludf.DUMMYFUNCTION("""COMPUTED_VALUE"""),489593)</f>
        <v>489593</v>
      </c>
      <c r="U1813" s="1">
        <f ca="1">IFERROR(__xludf.DUMMYFUNCTION("""COMPUTED_VALUE"""),9.9)</f>
        <v>9.9</v>
      </c>
    </row>
    <row r="1814" spans="1:21" ht="12.75" x14ac:dyDescent="0.2">
      <c r="A1814" s="3">
        <f ca="1">IFERROR(__xludf.DUMMYFUNCTION("""COMPUTED_VALUE"""),40148.5965277777)</f>
        <v>40148.5965277777</v>
      </c>
      <c r="B1814" s="1">
        <f ca="1">IFERROR(__xludf.DUMMYFUNCTION("""COMPUTED_VALUE"""),2.95)</f>
        <v>2.95</v>
      </c>
      <c r="J1814" s="1" t="str">
        <f ca="1">IFERROR(__xludf.DUMMYFUNCTION("""COMPUTED_VALUE"""),"PINK STRIPE HOT WATER BOTTLE")</f>
        <v>PINK STRIPE HOT WATER BOTTLE</v>
      </c>
      <c r="K1814" s="1">
        <f ca="1">IFERROR(__xludf.DUMMYFUNCTION("""COMPUTED_VALUE"""),2)</f>
        <v>2</v>
      </c>
      <c r="L1814" s="1">
        <f ca="1">IFERROR(__xludf.DUMMYFUNCTION("""COMPUTED_VALUE"""),2.95)</f>
        <v>2.95</v>
      </c>
      <c r="T1814" s="1">
        <f ca="1">IFERROR(__xludf.DUMMYFUNCTION("""COMPUTED_VALUE"""),489593)</f>
        <v>489593</v>
      </c>
      <c r="U1814" s="1">
        <f ca="1">IFERROR(__xludf.DUMMYFUNCTION("""COMPUTED_VALUE"""),5.9)</f>
        <v>5.9</v>
      </c>
    </row>
    <row r="1815" spans="1:21" ht="12.75" x14ac:dyDescent="0.2">
      <c r="A1815" s="3">
        <f ca="1">IFERROR(__xludf.DUMMYFUNCTION("""COMPUTED_VALUE"""),40148.5965277777)</f>
        <v>40148.5965277777</v>
      </c>
      <c r="B1815" s="1">
        <f ca="1">IFERROR(__xludf.DUMMYFUNCTION("""COMPUTED_VALUE"""),7.95)</f>
        <v>7.95</v>
      </c>
      <c r="J1815" s="1" t="str">
        <f ca="1">IFERROR(__xludf.DUMMYFUNCTION("""COMPUTED_VALUE"""),"VICTORIAN SEWING BOX MEDIUM")</f>
        <v>VICTORIAN SEWING BOX MEDIUM</v>
      </c>
      <c r="K1815" s="1">
        <f ca="1">IFERROR(__xludf.DUMMYFUNCTION("""COMPUTED_VALUE"""),2)</f>
        <v>2</v>
      </c>
      <c r="L1815" s="1">
        <f ca="1">IFERROR(__xludf.DUMMYFUNCTION("""COMPUTED_VALUE"""),7.95)</f>
        <v>7.95</v>
      </c>
      <c r="T1815" s="1">
        <f ca="1">IFERROR(__xludf.DUMMYFUNCTION("""COMPUTED_VALUE"""),489593)</f>
        <v>489593</v>
      </c>
      <c r="U1815" s="1">
        <f ca="1">IFERROR(__xludf.DUMMYFUNCTION("""COMPUTED_VALUE"""),15.9)</f>
        <v>15.9</v>
      </c>
    </row>
    <row r="1816" spans="1:21" ht="12.75" x14ac:dyDescent="0.2">
      <c r="A1816" s="3">
        <f ca="1">IFERROR(__xludf.DUMMYFUNCTION("""COMPUTED_VALUE"""),40148.5965277777)</f>
        <v>40148.5965277777</v>
      </c>
      <c r="B1816" s="1">
        <f ca="1">IFERROR(__xludf.DUMMYFUNCTION("""COMPUTED_VALUE"""),8.5)</f>
        <v>8.5</v>
      </c>
      <c r="J1816" s="1" t="str">
        <f ca="1">IFERROR(__xludf.DUMMYFUNCTION("""COMPUTED_VALUE"""),"3 HOOK PHOTO SHELF ANTIQUE WHITE")</f>
        <v>3 HOOK PHOTO SHELF ANTIQUE WHITE</v>
      </c>
      <c r="K1816" s="1">
        <f ca="1">IFERROR(__xludf.DUMMYFUNCTION("""COMPUTED_VALUE"""),2)</f>
        <v>2</v>
      </c>
      <c r="L1816" s="1">
        <f ca="1">IFERROR(__xludf.DUMMYFUNCTION("""COMPUTED_VALUE"""),8.5)</f>
        <v>8.5</v>
      </c>
      <c r="T1816" s="1">
        <f ca="1">IFERROR(__xludf.DUMMYFUNCTION("""COMPUTED_VALUE"""),489593)</f>
        <v>489593</v>
      </c>
      <c r="U1816" s="1">
        <f ca="1">IFERROR(__xludf.DUMMYFUNCTION("""COMPUTED_VALUE"""),17)</f>
        <v>17</v>
      </c>
    </row>
    <row r="1817" spans="1:21" ht="12.75" x14ac:dyDescent="0.2">
      <c r="A1817" s="3">
        <f ca="1">IFERROR(__xludf.DUMMYFUNCTION("""COMPUTED_VALUE"""),40148.5965277777)</f>
        <v>40148.5965277777</v>
      </c>
      <c r="B1817" s="1">
        <f ca="1">IFERROR(__xludf.DUMMYFUNCTION("""COMPUTED_VALUE"""),2.95)</f>
        <v>2.95</v>
      </c>
      <c r="J1817" s="1" t="str">
        <f ca="1">IFERROR(__xludf.DUMMYFUNCTION("""COMPUTED_VALUE"""),"FELTCRAFT DOLL MOLLY")</f>
        <v>FELTCRAFT DOLL MOLLY</v>
      </c>
      <c r="K1817" s="1">
        <f ca="1">IFERROR(__xludf.DUMMYFUNCTION("""COMPUTED_VALUE"""),2)</f>
        <v>2</v>
      </c>
      <c r="L1817" s="1">
        <f ca="1">IFERROR(__xludf.DUMMYFUNCTION("""COMPUTED_VALUE"""),2.95)</f>
        <v>2.95</v>
      </c>
      <c r="T1817" s="1">
        <f ca="1">IFERROR(__xludf.DUMMYFUNCTION("""COMPUTED_VALUE"""),489593)</f>
        <v>489593</v>
      </c>
      <c r="U1817" s="1">
        <f ca="1">IFERROR(__xludf.DUMMYFUNCTION("""COMPUTED_VALUE"""),5.9)</f>
        <v>5.9</v>
      </c>
    </row>
    <row r="1818" spans="1:21" ht="12.75" x14ac:dyDescent="0.2">
      <c r="A1818" s="3">
        <f ca="1">IFERROR(__xludf.DUMMYFUNCTION("""COMPUTED_VALUE"""),40148.5965277777)</f>
        <v>40148.5965277777</v>
      </c>
      <c r="B1818" s="1">
        <f ca="1">IFERROR(__xludf.DUMMYFUNCTION("""COMPUTED_VALUE"""),2.95)</f>
        <v>2.95</v>
      </c>
      <c r="J1818" s="1" t="str">
        <f ca="1">IFERROR(__xludf.DUMMYFUNCTION("""COMPUTED_VALUE"""),"FELTCRAFT DOLL MARIA")</f>
        <v>FELTCRAFT DOLL MARIA</v>
      </c>
      <c r="K1818" s="1">
        <f ca="1">IFERROR(__xludf.DUMMYFUNCTION("""COMPUTED_VALUE"""),2)</f>
        <v>2</v>
      </c>
      <c r="L1818" s="1">
        <f ca="1">IFERROR(__xludf.DUMMYFUNCTION("""COMPUTED_VALUE"""),2.95)</f>
        <v>2.95</v>
      </c>
      <c r="T1818" s="1">
        <f ca="1">IFERROR(__xludf.DUMMYFUNCTION("""COMPUTED_VALUE"""),489593)</f>
        <v>489593</v>
      </c>
      <c r="U1818" s="1">
        <f ca="1">IFERROR(__xludf.DUMMYFUNCTION("""COMPUTED_VALUE"""),5.9)</f>
        <v>5.9</v>
      </c>
    </row>
    <row r="1819" spans="1:21" ht="12.75" x14ac:dyDescent="0.2">
      <c r="A1819" s="3">
        <f ca="1">IFERROR(__xludf.DUMMYFUNCTION("""COMPUTED_VALUE"""),40148.5965277777)</f>
        <v>40148.5965277777</v>
      </c>
      <c r="B1819" s="1">
        <f ca="1">IFERROR(__xludf.DUMMYFUNCTION("""COMPUTED_VALUE"""),1.25)</f>
        <v>1.25</v>
      </c>
      <c r="J1819" s="1" t="str">
        <f ca="1">IFERROR(__xludf.DUMMYFUNCTION("""COMPUTED_VALUE"""),"COSY HOUR CIGAR BOX MATCHES")</f>
        <v>COSY HOUR CIGAR BOX MATCHES</v>
      </c>
      <c r="K1819" s="1">
        <f ca="1">IFERROR(__xludf.DUMMYFUNCTION("""COMPUTED_VALUE"""),2)</f>
        <v>2</v>
      </c>
      <c r="L1819" s="1">
        <f ca="1">IFERROR(__xludf.DUMMYFUNCTION("""COMPUTED_VALUE"""),1.25)</f>
        <v>1.25</v>
      </c>
      <c r="T1819" s="1">
        <f ca="1">IFERROR(__xludf.DUMMYFUNCTION("""COMPUTED_VALUE"""),489593)</f>
        <v>489593</v>
      </c>
      <c r="U1819" s="1">
        <f ca="1">IFERROR(__xludf.DUMMYFUNCTION("""COMPUTED_VALUE"""),2.5)</f>
        <v>2.5</v>
      </c>
    </row>
    <row r="1820" spans="1:21" ht="12.75" x14ac:dyDescent="0.2">
      <c r="A1820" s="3">
        <f ca="1">IFERROR(__xludf.DUMMYFUNCTION("""COMPUTED_VALUE"""),40148.5965277777)</f>
        <v>40148.5965277777</v>
      </c>
      <c r="B1820" s="1">
        <f ca="1">IFERROR(__xludf.DUMMYFUNCTION("""COMPUTED_VALUE"""),7.95)</f>
        <v>7.95</v>
      </c>
      <c r="J1820" s="1" t="str">
        <f ca="1">IFERROR(__xludf.DUMMYFUNCTION("""COMPUTED_VALUE"""),"VICTORIAN SEWING BOX MEDIUM")</f>
        <v>VICTORIAN SEWING BOX MEDIUM</v>
      </c>
      <c r="K1820" s="1">
        <f ca="1">IFERROR(__xludf.DUMMYFUNCTION("""COMPUTED_VALUE"""),2)</f>
        <v>2</v>
      </c>
      <c r="L1820" s="1">
        <f ca="1">IFERROR(__xludf.DUMMYFUNCTION("""COMPUTED_VALUE"""),7.95)</f>
        <v>7.95</v>
      </c>
      <c r="T1820" s="1">
        <f ca="1">IFERROR(__xludf.DUMMYFUNCTION("""COMPUTED_VALUE"""),489593)</f>
        <v>489593</v>
      </c>
      <c r="U1820" s="1">
        <f ca="1">IFERROR(__xludf.DUMMYFUNCTION("""COMPUTED_VALUE"""),15.9)</f>
        <v>15.9</v>
      </c>
    </row>
    <row r="1821" spans="1:21" ht="12.75" x14ac:dyDescent="0.2">
      <c r="A1821" s="3">
        <f ca="1">IFERROR(__xludf.DUMMYFUNCTION("""COMPUTED_VALUE"""),40148.5965277777)</f>
        <v>40148.5965277777</v>
      </c>
      <c r="B1821" s="1">
        <f ca="1">IFERROR(__xludf.DUMMYFUNCTION("""COMPUTED_VALUE"""),29.95)</f>
        <v>29.95</v>
      </c>
      <c r="J1821" s="1" t="str">
        <f ca="1">IFERROR(__xludf.DUMMYFUNCTION("""COMPUTED_VALUE"""),"WOOD AND GLASS MEDICINE CABINET")</f>
        <v>WOOD AND GLASS MEDICINE CABINET</v>
      </c>
      <c r="K1821" s="1">
        <f ca="1">IFERROR(__xludf.DUMMYFUNCTION("""COMPUTED_VALUE"""),1)</f>
        <v>1</v>
      </c>
      <c r="L1821" s="1">
        <f ca="1">IFERROR(__xludf.DUMMYFUNCTION("""COMPUTED_VALUE"""),29.95)</f>
        <v>29.95</v>
      </c>
      <c r="T1821" s="1">
        <f ca="1">IFERROR(__xludf.DUMMYFUNCTION("""COMPUTED_VALUE"""),489593)</f>
        <v>489593</v>
      </c>
      <c r="U1821" s="1">
        <f ca="1">IFERROR(__xludf.DUMMYFUNCTION("""COMPUTED_VALUE"""),29.95)</f>
        <v>29.95</v>
      </c>
    </row>
    <row r="1822" spans="1:21" ht="12.75" x14ac:dyDescent="0.2">
      <c r="A1822" s="3">
        <f ca="1">IFERROR(__xludf.DUMMYFUNCTION("""COMPUTED_VALUE"""),40148.5965277777)</f>
        <v>40148.5965277777</v>
      </c>
      <c r="B1822" s="1">
        <f ca="1">IFERROR(__xludf.DUMMYFUNCTION("""COMPUTED_VALUE"""),18.95)</f>
        <v>18.95</v>
      </c>
      <c r="J1822" s="1" t="str">
        <f ca="1">IFERROR(__xludf.DUMMYFUNCTION("""COMPUTED_VALUE"""),"CREAM SWEETHEART WALL CABINET")</f>
        <v>CREAM SWEETHEART WALL CABINET</v>
      </c>
      <c r="K1822" s="1">
        <f ca="1">IFERROR(__xludf.DUMMYFUNCTION("""COMPUTED_VALUE"""),1)</f>
        <v>1</v>
      </c>
      <c r="L1822" s="1">
        <f ca="1">IFERROR(__xludf.DUMMYFUNCTION("""COMPUTED_VALUE"""),18.95)</f>
        <v>18.95</v>
      </c>
      <c r="T1822" s="1">
        <f ca="1">IFERROR(__xludf.DUMMYFUNCTION("""COMPUTED_VALUE"""),489593)</f>
        <v>489593</v>
      </c>
      <c r="U1822" s="1">
        <f ca="1">IFERROR(__xludf.DUMMYFUNCTION("""COMPUTED_VALUE"""),18.95)</f>
        <v>18.95</v>
      </c>
    </row>
    <row r="1823" spans="1:21" ht="12.75" x14ac:dyDescent="0.2">
      <c r="A1823" s="3">
        <f ca="1">IFERROR(__xludf.DUMMYFUNCTION("""COMPUTED_VALUE"""),40148.5965277777)</f>
        <v>40148.5965277777</v>
      </c>
      <c r="B1823" s="1">
        <f ca="1">IFERROR(__xludf.DUMMYFUNCTION("""COMPUTED_VALUE"""),0.85)</f>
        <v>0.85</v>
      </c>
      <c r="J1823" s="1" t="str">
        <f ca="1">IFERROR(__xludf.DUMMYFUNCTION("""COMPUTED_VALUE"""),"LIGHT BIRD HOUSE TREE DECORATION")</f>
        <v>LIGHT BIRD HOUSE TREE DECORATION</v>
      </c>
      <c r="K1823" s="1">
        <f ca="1">IFERROR(__xludf.DUMMYFUNCTION("""COMPUTED_VALUE"""),1)</f>
        <v>1</v>
      </c>
      <c r="L1823" s="1">
        <f ca="1">IFERROR(__xludf.DUMMYFUNCTION("""COMPUTED_VALUE"""),0.85)</f>
        <v>0.85</v>
      </c>
      <c r="T1823" s="1">
        <f ca="1">IFERROR(__xludf.DUMMYFUNCTION("""COMPUTED_VALUE"""),489593)</f>
        <v>489593</v>
      </c>
      <c r="U1823" s="1">
        <f ca="1">IFERROR(__xludf.DUMMYFUNCTION("""COMPUTED_VALUE"""),0.85)</f>
        <v>0.85</v>
      </c>
    </row>
    <row r="1824" spans="1:21" ht="12.75" x14ac:dyDescent="0.2">
      <c r="A1824" s="3">
        <f ca="1">IFERROR(__xludf.DUMMYFUNCTION("""COMPUTED_VALUE"""),40148.5965277777)</f>
        <v>40148.5965277777</v>
      </c>
      <c r="B1824" s="1">
        <f ca="1">IFERROR(__xludf.DUMMYFUNCTION("""COMPUTED_VALUE"""),29.95)</f>
        <v>29.95</v>
      </c>
      <c r="J1824" s="1" t="str">
        <f ca="1">IFERROR(__xludf.DUMMYFUNCTION("""COMPUTED_VALUE"""),"FRENCH STYLE WIRE DOOR CABINET")</f>
        <v>FRENCH STYLE WIRE DOOR CABINET</v>
      </c>
      <c r="K1824" s="1">
        <f ca="1">IFERROR(__xludf.DUMMYFUNCTION("""COMPUTED_VALUE"""),1)</f>
        <v>1</v>
      </c>
      <c r="L1824" s="1">
        <f ca="1">IFERROR(__xludf.DUMMYFUNCTION("""COMPUTED_VALUE"""),29.95)</f>
        <v>29.95</v>
      </c>
      <c r="T1824" s="1">
        <f ca="1">IFERROR(__xludf.DUMMYFUNCTION("""COMPUTED_VALUE"""),489593)</f>
        <v>489593</v>
      </c>
      <c r="U1824" s="1">
        <f ca="1">IFERROR(__xludf.DUMMYFUNCTION("""COMPUTED_VALUE"""),29.95)</f>
        <v>29.95</v>
      </c>
    </row>
    <row r="1825" spans="1:21" ht="12.75" x14ac:dyDescent="0.2">
      <c r="A1825" s="3">
        <f ca="1">IFERROR(__xludf.DUMMYFUNCTION("""COMPUTED_VALUE"""),40148.5965277777)</f>
        <v>40148.5965277777</v>
      </c>
      <c r="B1825" s="1">
        <f ca="1">IFERROR(__xludf.DUMMYFUNCTION("""COMPUTED_VALUE"""),7.95)</f>
        <v>7.95</v>
      </c>
      <c r="J1825" s="1" t="str">
        <f ca="1">IFERROR(__xludf.DUMMYFUNCTION("""COMPUTED_VALUE"""),"CREAM SWEETHEART SHELF + HOOKS")</f>
        <v>CREAM SWEETHEART SHELF + HOOKS</v>
      </c>
      <c r="K1825" s="1">
        <f ca="1">IFERROR(__xludf.DUMMYFUNCTION("""COMPUTED_VALUE"""),1)</f>
        <v>1</v>
      </c>
      <c r="L1825" s="1">
        <f ca="1">IFERROR(__xludf.DUMMYFUNCTION("""COMPUTED_VALUE"""),7.95)</f>
        <v>7.95</v>
      </c>
      <c r="T1825" s="1">
        <f ca="1">IFERROR(__xludf.DUMMYFUNCTION("""COMPUTED_VALUE"""),489593)</f>
        <v>489593</v>
      </c>
      <c r="U1825" s="1">
        <f ca="1">IFERROR(__xludf.DUMMYFUNCTION("""COMPUTED_VALUE"""),7.95)</f>
        <v>7.95</v>
      </c>
    </row>
    <row r="1826" spans="1:21" ht="12.75" x14ac:dyDescent="0.2">
      <c r="A1826" s="3">
        <f ca="1">IFERROR(__xludf.DUMMYFUNCTION("""COMPUTED_VALUE"""),40148.5965277777)</f>
        <v>40148.5965277777</v>
      </c>
      <c r="B1826" s="1">
        <f ca="1">IFERROR(__xludf.DUMMYFUNCTION("""COMPUTED_VALUE"""),14.95)</f>
        <v>14.95</v>
      </c>
      <c r="J1826" s="1" t="str">
        <f ca="1">IFERROR(__xludf.DUMMYFUNCTION("""COMPUTED_VALUE"""),"WALL MOUNTED VINTAGE ORGANISER")</f>
        <v>WALL MOUNTED VINTAGE ORGANISER</v>
      </c>
      <c r="K1826" s="1">
        <f ca="1">IFERROR(__xludf.DUMMYFUNCTION("""COMPUTED_VALUE"""),1)</f>
        <v>1</v>
      </c>
      <c r="L1826" s="1">
        <f ca="1">IFERROR(__xludf.DUMMYFUNCTION("""COMPUTED_VALUE"""),14.95)</f>
        <v>14.95</v>
      </c>
      <c r="T1826" s="1">
        <f ca="1">IFERROR(__xludf.DUMMYFUNCTION("""COMPUTED_VALUE"""),489593)</f>
        <v>489593</v>
      </c>
      <c r="U1826" s="1">
        <f ca="1">IFERROR(__xludf.DUMMYFUNCTION("""COMPUTED_VALUE"""),14.95)</f>
        <v>14.95</v>
      </c>
    </row>
    <row r="1827" spans="1:21" ht="12.75" x14ac:dyDescent="0.2">
      <c r="A1827" s="3">
        <f ca="1">IFERROR(__xludf.DUMMYFUNCTION("""COMPUTED_VALUE"""),40148.5965277777)</f>
        <v>40148.5965277777</v>
      </c>
      <c r="B1827" s="1">
        <f ca="1">IFERROR(__xludf.DUMMYFUNCTION("""COMPUTED_VALUE"""),4.95)</f>
        <v>4.95</v>
      </c>
      <c r="J1827" s="1" t="str">
        <f ca="1">IFERROR(__xludf.DUMMYFUNCTION("""COMPUTED_VALUE"""),"BLOKEY SILVER TOOL SET")</f>
        <v>BLOKEY SILVER TOOL SET</v>
      </c>
      <c r="K1827" s="1">
        <f ca="1">IFERROR(__xludf.DUMMYFUNCTION("""COMPUTED_VALUE"""),1)</f>
        <v>1</v>
      </c>
      <c r="L1827" s="1">
        <f ca="1">IFERROR(__xludf.DUMMYFUNCTION("""COMPUTED_VALUE"""),4.95)</f>
        <v>4.95</v>
      </c>
      <c r="T1827" s="1">
        <f ca="1">IFERROR(__xludf.DUMMYFUNCTION("""COMPUTED_VALUE"""),489593)</f>
        <v>489593</v>
      </c>
      <c r="U1827" s="1">
        <f ca="1">IFERROR(__xludf.DUMMYFUNCTION("""COMPUTED_VALUE"""),4.95)</f>
        <v>4.95</v>
      </c>
    </row>
    <row r="1828" spans="1:21" ht="12.75" x14ac:dyDescent="0.2">
      <c r="A1828" s="3">
        <f ca="1">IFERROR(__xludf.DUMMYFUNCTION("""COMPUTED_VALUE"""),40148.5965277777)</f>
        <v>40148.5965277777</v>
      </c>
      <c r="B1828" s="1">
        <f ca="1">IFERROR(__xludf.DUMMYFUNCTION("""COMPUTED_VALUE"""),1.25)</f>
        <v>1.25</v>
      </c>
      <c r="J1828" s="1" t="str">
        <f ca="1">IFERROR(__xludf.DUMMYFUNCTION("""COMPUTED_VALUE"""),"STRAWBERRY CERAMIC TRINKET BOX")</f>
        <v>STRAWBERRY CERAMIC TRINKET BOX</v>
      </c>
      <c r="K1828" s="1">
        <f ca="1">IFERROR(__xludf.DUMMYFUNCTION("""COMPUTED_VALUE"""),12)</f>
        <v>12</v>
      </c>
      <c r="L1828" s="1">
        <f ca="1">IFERROR(__xludf.DUMMYFUNCTION("""COMPUTED_VALUE"""),1.25)</f>
        <v>1.25</v>
      </c>
      <c r="T1828" s="1">
        <f ca="1">IFERROR(__xludf.DUMMYFUNCTION("""COMPUTED_VALUE"""),489594)</f>
        <v>489594</v>
      </c>
      <c r="U1828" s="1">
        <f ca="1">IFERROR(__xludf.DUMMYFUNCTION("""COMPUTED_VALUE"""),15)</f>
        <v>15</v>
      </c>
    </row>
    <row r="1829" spans="1:21" ht="12.75" x14ac:dyDescent="0.2">
      <c r="A1829" s="3">
        <f ca="1">IFERROR(__xludf.DUMMYFUNCTION("""COMPUTED_VALUE"""),40148.5965277777)</f>
        <v>40148.5965277777</v>
      </c>
      <c r="B1829" s="1">
        <f ca="1">IFERROR(__xludf.DUMMYFUNCTION("""COMPUTED_VALUE"""),1.25)</f>
        <v>1.25</v>
      </c>
      <c r="J1829" s="1" t="str">
        <f ca="1">IFERROR(__xludf.DUMMYFUNCTION("""COMPUTED_VALUE"""),"SWEETHEART CERAMIC TRINKET BOX")</f>
        <v>SWEETHEART CERAMIC TRINKET BOX</v>
      </c>
      <c r="K1829" s="1">
        <f ca="1">IFERROR(__xludf.DUMMYFUNCTION("""COMPUTED_VALUE"""),11)</f>
        <v>11</v>
      </c>
      <c r="L1829" s="1">
        <f ca="1">IFERROR(__xludf.DUMMYFUNCTION("""COMPUTED_VALUE"""),1.25)</f>
        <v>1.25</v>
      </c>
      <c r="T1829" s="1">
        <f ca="1">IFERROR(__xludf.DUMMYFUNCTION("""COMPUTED_VALUE"""),489594)</f>
        <v>489594</v>
      </c>
      <c r="U1829" s="1">
        <f ca="1">IFERROR(__xludf.DUMMYFUNCTION("""COMPUTED_VALUE"""),13.75)</f>
        <v>13.75</v>
      </c>
    </row>
    <row r="1830" spans="1:21" ht="12.75" x14ac:dyDescent="0.2">
      <c r="A1830" s="3">
        <f ca="1">IFERROR(__xludf.DUMMYFUNCTION("""COMPUTED_VALUE"""),40148.5965277777)</f>
        <v>40148.5965277777</v>
      </c>
      <c r="B1830" s="1">
        <f ca="1">IFERROR(__xludf.DUMMYFUNCTION("""COMPUTED_VALUE"""),1.25)</f>
        <v>1.25</v>
      </c>
      <c r="J1830" s="1" t="str">
        <f ca="1">IFERROR(__xludf.DUMMYFUNCTION("""COMPUTED_VALUE"""),"SMALL DOLLY MIX DESIGN ORANGE BOWL")</f>
        <v>SMALL DOLLY MIX DESIGN ORANGE BOWL</v>
      </c>
      <c r="K1830" s="1">
        <f ca="1">IFERROR(__xludf.DUMMYFUNCTION("""COMPUTED_VALUE"""),8)</f>
        <v>8</v>
      </c>
      <c r="L1830" s="1">
        <f ca="1">IFERROR(__xludf.DUMMYFUNCTION("""COMPUTED_VALUE"""),1.25)</f>
        <v>1.25</v>
      </c>
      <c r="T1830" s="1">
        <f ca="1">IFERROR(__xludf.DUMMYFUNCTION("""COMPUTED_VALUE"""),489594)</f>
        <v>489594</v>
      </c>
      <c r="U1830" s="1">
        <f ca="1">IFERROR(__xludf.DUMMYFUNCTION("""COMPUTED_VALUE"""),10)</f>
        <v>10</v>
      </c>
    </row>
    <row r="1831" spans="1:21" ht="12.75" x14ac:dyDescent="0.2">
      <c r="A1831" s="3">
        <f ca="1">IFERROR(__xludf.DUMMYFUNCTION("""COMPUTED_VALUE"""),40148.5965277777)</f>
        <v>40148.5965277777</v>
      </c>
      <c r="B1831" s="1">
        <f ca="1">IFERROR(__xludf.DUMMYFUNCTION("""COMPUTED_VALUE"""),2.95)</f>
        <v>2.95</v>
      </c>
      <c r="J1831" s="1" t="str">
        <f ca="1">IFERROR(__xludf.DUMMYFUNCTION("""COMPUTED_VALUE"""),"TEA TIME MUG IN GIFT BOX")</f>
        <v>TEA TIME MUG IN GIFT BOX</v>
      </c>
      <c r="K1831" s="1">
        <f ca="1">IFERROR(__xludf.DUMMYFUNCTION("""COMPUTED_VALUE"""),8)</f>
        <v>8</v>
      </c>
      <c r="L1831" s="1">
        <f ca="1">IFERROR(__xludf.DUMMYFUNCTION("""COMPUTED_VALUE"""),2.95)</f>
        <v>2.95</v>
      </c>
      <c r="T1831" s="1">
        <f ca="1">IFERROR(__xludf.DUMMYFUNCTION("""COMPUTED_VALUE"""),489594)</f>
        <v>489594</v>
      </c>
      <c r="U1831" s="1">
        <f ca="1">IFERROR(__xludf.DUMMYFUNCTION("""COMPUTED_VALUE"""),23.6)</f>
        <v>23.6</v>
      </c>
    </row>
    <row r="1832" spans="1:21" ht="12.75" x14ac:dyDescent="0.2">
      <c r="A1832" s="3">
        <f ca="1">IFERROR(__xludf.DUMMYFUNCTION("""COMPUTED_VALUE"""),40148.5965277777)</f>
        <v>40148.5965277777</v>
      </c>
      <c r="B1832" s="1">
        <f ca="1">IFERROR(__xludf.DUMMYFUNCTION("""COMPUTED_VALUE"""),0.65)</f>
        <v>0.65</v>
      </c>
      <c r="J1832" s="1" t="str">
        <f ca="1">IFERROR(__xludf.DUMMYFUNCTION("""COMPUTED_VALUE"""),"FAIRY CAKES NOTEBOOK A6 SIZE")</f>
        <v>FAIRY CAKES NOTEBOOK A6 SIZE</v>
      </c>
      <c r="K1832" s="1">
        <f ca="1">IFERROR(__xludf.DUMMYFUNCTION("""COMPUTED_VALUE"""),8)</f>
        <v>8</v>
      </c>
      <c r="L1832" s="1">
        <f ca="1">IFERROR(__xludf.DUMMYFUNCTION("""COMPUTED_VALUE"""),0.65)</f>
        <v>0.65</v>
      </c>
      <c r="T1832" s="1">
        <f ca="1">IFERROR(__xludf.DUMMYFUNCTION("""COMPUTED_VALUE"""),489594)</f>
        <v>489594</v>
      </c>
      <c r="U1832" s="1">
        <f ca="1">IFERROR(__xludf.DUMMYFUNCTION("""COMPUTED_VALUE"""),5.2)</f>
        <v>5.2</v>
      </c>
    </row>
    <row r="1833" spans="1:21" ht="12.75" x14ac:dyDescent="0.2">
      <c r="A1833" s="3">
        <f ca="1">IFERROR(__xludf.DUMMYFUNCTION("""COMPUTED_VALUE"""),40148.5965277777)</f>
        <v>40148.5965277777</v>
      </c>
      <c r="B1833" s="1">
        <f ca="1">IFERROR(__xludf.DUMMYFUNCTION("""COMPUTED_VALUE"""),0.42)</f>
        <v>0.42</v>
      </c>
      <c r="J1833" s="1" t="str">
        <f ca="1">IFERROR(__xludf.DUMMYFUNCTION("""COMPUTED_VALUE"""),"FAIRY CAKES NOTEBOOK A7 SIZE")</f>
        <v>FAIRY CAKES NOTEBOOK A7 SIZE</v>
      </c>
      <c r="K1833" s="1">
        <f ca="1">IFERROR(__xludf.DUMMYFUNCTION("""COMPUTED_VALUE"""),8)</f>
        <v>8</v>
      </c>
      <c r="L1833" s="1">
        <f ca="1">IFERROR(__xludf.DUMMYFUNCTION("""COMPUTED_VALUE"""),0.42)</f>
        <v>0.42</v>
      </c>
      <c r="T1833" s="1">
        <f ca="1">IFERROR(__xludf.DUMMYFUNCTION("""COMPUTED_VALUE"""),489594)</f>
        <v>489594</v>
      </c>
      <c r="U1833" s="1">
        <f ca="1">IFERROR(__xludf.DUMMYFUNCTION("""COMPUTED_VALUE"""),3.36)</f>
        <v>3.36</v>
      </c>
    </row>
    <row r="1834" spans="1:21" ht="12.75" x14ac:dyDescent="0.2">
      <c r="A1834" s="3">
        <f ca="1">IFERROR(__xludf.DUMMYFUNCTION("""COMPUTED_VALUE"""),40148.5965277777)</f>
        <v>40148.5965277777</v>
      </c>
      <c r="B1834" s="1">
        <f ca="1">IFERROR(__xludf.DUMMYFUNCTION("""COMPUTED_VALUE"""),1.25)</f>
        <v>1.25</v>
      </c>
      <c r="J1834" s="1" t="str">
        <f ca="1">IFERROR(__xludf.DUMMYFUNCTION("""COMPUTED_VALUE"""),"JELLY BABIES YELLOW SMALL BOWL")</f>
        <v>JELLY BABIES YELLOW SMALL BOWL</v>
      </c>
      <c r="K1834" s="1">
        <f ca="1">IFERROR(__xludf.DUMMYFUNCTION("""COMPUTED_VALUE"""),7)</f>
        <v>7</v>
      </c>
      <c r="L1834" s="1">
        <f ca="1">IFERROR(__xludf.DUMMYFUNCTION("""COMPUTED_VALUE"""),1.25)</f>
        <v>1.25</v>
      </c>
      <c r="T1834" s="1">
        <f ca="1">IFERROR(__xludf.DUMMYFUNCTION("""COMPUTED_VALUE"""),489594)</f>
        <v>489594</v>
      </c>
      <c r="U1834" s="1">
        <f ca="1">IFERROR(__xludf.DUMMYFUNCTION("""COMPUTED_VALUE"""),8.75)</f>
        <v>8.75</v>
      </c>
    </row>
    <row r="1835" spans="1:21" ht="12.75" x14ac:dyDescent="0.2">
      <c r="A1835" s="3">
        <f ca="1">IFERROR(__xludf.DUMMYFUNCTION("""COMPUTED_VALUE"""),40148.5965277777)</f>
        <v>40148.5965277777</v>
      </c>
      <c r="B1835" s="1">
        <f ca="1">IFERROR(__xludf.DUMMYFUNCTION("""COMPUTED_VALUE"""),1.25)</f>
        <v>1.25</v>
      </c>
      <c r="J1835" s="1" t="str">
        <f ca="1">IFERROR(__xludf.DUMMYFUNCTION("""COMPUTED_VALUE"""),"RED SPOTTY BOWL")</f>
        <v>RED SPOTTY BOWL</v>
      </c>
      <c r="K1835" s="1">
        <f ca="1">IFERROR(__xludf.DUMMYFUNCTION("""COMPUTED_VALUE"""),6)</f>
        <v>6</v>
      </c>
      <c r="L1835" s="1">
        <f ca="1">IFERROR(__xludf.DUMMYFUNCTION("""COMPUTED_VALUE"""),1.25)</f>
        <v>1.25</v>
      </c>
      <c r="T1835" s="1">
        <f ca="1">IFERROR(__xludf.DUMMYFUNCTION("""COMPUTED_VALUE"""),489594)</f>
        <v>489594</v>
      </c>
      <c r="U1835" s="1">
        <f ca="1">IFERROR(__xludf.DUMMYFUNCTION("""COMPUTED_VALUE"""),7.5)</f>
        <v>7.5</v>
      </c>
    </row>
    <row r="1836" spans="1:21" ht="12.75" x14ac:dyDescent="0.2">
      <c r="A1836" s="3">
        <f ca="1">IFERROR(__xludf.DUMMYFUNCTION("""COMPUTED_VALUE"""),40148.5965277777)</f>
        <v>40148.5965277777</v>
      </c>
      <c r="B1836" s="1">
        <f ca="1">IFERROR(__xludf.DUMMYFUNCTION("""COMPUTED_VALUE"""),1.25)</f>
        <v>1.25</v>
      </c>
      <c r="J1836" s="1" t="str">
        <f ca="1">IFERROR(__xludf.DUMMYFUNCTION("""COMPUTED_VALUE"""),"PIZZA SLICE DISH")</f>
        <v>PIZZA SLICE DISH</v>
      </c>
      <c r="K1836" s="1">
        <f ca="1">IFERROR(__xludf.DUMMYFUNCTION("""COMPUTED_VALUE"""),6)</f>
        <v>6</v>
      </c>
      <c r="L1836" s="1">
        <f ca="1">IFERROR(__xludf.DUMMYFUNCTION("""COMPUTED_VALUE"""),1.25)</f>
        <v>1.25</v>
      </c>
      <c r="T1836" s="1">
        <f ca="1">IFERROR(__xludf.DUMMYFUNCTION("""COMPUTED_VALUE"""),489594)</f>
        <v>489594</v>
      </c>
      <c r="U1836" s="1">
        <f ca="1">IFERROR(__xludf.DUMMYFUNCTION("""COMPUTED_VALUE"""),7.5)</f>
        <v>7.5</v>
      </c>
    </row>
    <row r="1837" spans="1:21" ht="12.75" x14ac:dyDescent="0.2">
      <c r="A1837" s="3">
        <f ca="1">IFERROR(__xludf.DUMMYFUNCTION("""COMPUTED_VALUE"""),40148.5965277777)</f>
        <v>40148.5965277777</v>
      </c>
      <c r="B1837" s="1">
        <f ca="1">IFERROR(__xludf.DUMMYFUNCTION("""COMPUTED_VALUE"""),1.45)</f>
        <v>1.45</v>
      </c>
      <c r="J1837" s="1" t="str">
        <f ca="1">IFERROR(__xludf.DUMMYFUNCTION("""COMPUTED_VALUE"""),"CHRISTMAS PUDDING TRINKET POT")</f>
        <v>CHRISTMAS PUDDING TRINKET POT</v>
      </c>
      <c r="K1837" s="1">
        <f ca="1">IFERROR(__xludf.DUMMYFUNCTION("""COMPUTED_VALUE"""),6)</f>
        <v>6</v>
      </c>
      <c r="L1837" s="1">
        <f ca="1">IFERROR(__xludf.DUMMYFUNCTION("""COMPUTED_VALUE"""),1.45)</f>
        <v>1.45</v>
      </c>
      <c r="T1837" s="1">
        <f ca="1">IFERROR(__xludf.DUMMYFUNCTION("""COMPUTED_VALUE"""),489594)</f>
        <v>489594</v>
      </c>
      <c r="U1837" s="1">
        <f ca="1">IFERROR(__xludf.DUMMYFUNCTION("""COMPUTED_VALUE"""),8.7)</f>
        <v>8.6999999999999993</v>
      </c>
    </row>
    <row r="1838" spans="1:21" ht="12.75" x14ac:dyDescent="0.2">
      <c r="A1838" s="3">
        <f ca="1">IFERROR(__xludf.DUMMYFUNCTION("""COMPUTED_VALUE"""),40148.5965277777)</f>
        <v>40148.5965277777</v>
      </c>
      <c r="B1838" s="1">
        <f ca="1">IFERROR(__xludf.DUMMYFUNCTION("""COMPUTED_VALUE"""),2.55)</f>
        <v>2.5499999999999998</v>
      </c>
      <c r="J1838" s="1" t="str">
        <f ca="1">IFERROR(__xludf.DUMMYFUNCTION("""COMPUTED_VALUE"""),"WOODEN PICTURE FRAME WHITE FINISH")</f>
        <v>WOODEN PICTURE FRAME WHITE FINISH</v>
      </c>
      <c r="K1838" s="1">
        <f ca="1">IFERROR(__xludf.DUMMYFUNCTION("""COMPUTED_VALUE"""),6)</f>
        <v>6</v>
      </c>
      <c r="L1838" s="1">
        <f ca="1">IFERROR(__xludf.DUMMYFUNCTION("""COMPUTED_VALUE"""),2.55)</f>
        <v>2.5499999999999998</v>
      </c>
      <c r="T1838" s="1">
        <f ca="1">IFERROR(__xludf.DUMMYFUNCTION("""COMPUTED_VALUE"""),489594)</f>
        <v>489594</v>
      </c>
      <c r="U1838" s="1">
        <f ca="1">IFERROR(__xludf.DUMMYFUNCTION("""COMPUTED_VALUE"""),15.2999999999999)</f>
        <v>15.299999999999899</v>
      </c>
    </row>
    <row r="1839" spans="1:21" ht="12.75" x14ac:dyDescent="0.2">
      <c r="A1839" s="3">
        <f ca="1">IFERROR(__xludf.DUMMYFUNCTION("""COMPUTED_VALUE"""),40148.5965277777)</f>
        <v>40148.5965277777</v>
      </c>
      <c r="B1839" s="1">
        <f ca="1">IFERROR(__xludf.DUMMYFUNCTION("""COMPUTED_VALUE"""),1.25)</f>
        <v>1.25</v>
      </c>
      <c r="J1839" s="1" t="str">
        <f ca="1">IFERROR(__xludf.DUMMYFUNCTION("""COMPUTED_VALUE"""),"SMALL LICORICE DES PINK BOWL")</f>
        <v>SMALL LICORICE DES PINK BOWL</v>
      </c>
      <c r="K1839" s="1">
        <f ca="1">IFERROR(__xludf.DUMMYFUNCTION("""COMPUTED_VALUE"""),5)</f>
        <v>5</v>
      </c>
      <c r="L1839" s="1">
        <f ca="1">IFERROR(__xludf.DUMMYFUNCTION("""COMPUTED_VALUE"""),1.25)</f>
        <v>1.25</v>
      </c>
      <c r="T1839" s="1">
        <f ca="1">IFERROR(__xludf.DUMMYFUNCTION("""COMPUTED_VALUE"""),489594)</f>
        <v>489594</v>
      </c>
      <c r="U1839" s="1">
        <f ca="1">IFERROR(__xludf.DUMMYFUNCTION("""COMPUTED_VALUE"""),6.25)</f>
        <v>6.25</v>
      </c>
    </row>
    <row r="1840" spans="1:21" ht="12.75" x14ac:dyDescent="0.2">
      <c r="A1840" s="3">
        <f ca="1">IFERROR(__xludf.DUMMYFUNCTION("""COMPUTED_VALUE"""),40148.5965277777)</f>
        <v>40148.5965277777</v>
      </c>
      <c r="B1840" s="1">
        <f ca="1">IFERROR(__xludf.DUMMYFUNCTION("""COMPUTED_VALUE"""),1.25)</f>
        <v>1.25</v>
      </c>
      <c r="J1840" s="1" t="str">
        <f ca="1">IFERROR(__xludf.DUMMYFUNCTION("""COMPUTED_VALUE"""),"SMALL CHOCOLATES PINK BOWL")</f>
        <v>SMALL CHOCOLATES PINK BOWL</v>
      </c>
      <c r="K1840" s="1">
        <f ca="1">IFERROR(__xludf.DUMMYFUNCTION("""COMPUTED_VALUE"""),5)</f>
        <v>5</v>
      </c>
      <c r="L1840" s="1">
        <f ca="1">IFERROR(__xludf.DUMMYFUNCTION("""COMPUTED_VALUE"""),1.25)</f>
        <v>1.25</v>
      </c>
      <c r="T1840" s="1">
        <f ca="1">IFERROR(__xludf.DUMMYFUNCTION("""COMPUTED_VALUE"""),489594)</f>
        <v>489594</v>
      </c>
      <c r="U1840" s="1">
        <f ca="1">IFERROR(__xludf.DUMMYFUNCTION("""COMPUTED_VALUE"""),6.25)</f>
        <v>6.25</v>
      </c>
    </row>
    <row r="1841" spans="1:21" ht="12.75" x14ac:dyDescent="0.2">
      <c r="A1841" s="3">
        <f ca="1">IFERROR(__xludf.DUMMYFUNCTION("""COMPUTED_VALUE"""),40148.5965277777)</f>
        <v>40148.5965277777</v>
      </c>
      <c r="B1841" s="1">
        <f ca="1">IFERROR(__xludf.DUMMYFUNCTION("""COMPUTED_VALUE"""),2.1)</f>
        <v>2.1</v>
      </c>
      <c r="J1841" s="1" t="str">
        <f ca="1">IFERROR(__xludf.DUMMYFUNCTION("""COMPUTED_VALUE"""),"SET/6 PURPLE BUTTERFLY T-LIGHTS")</f>
        <v>SET/6 PURPLE BUTTERFLY T-LIGHTS</v>
      </c>
      <c r="K1841" s="1">
        <f ca="1">IFERROR(__xludf.DUMMYFUNCTION("""COMPUTED_VALUE"""),4)</f>
        <v>4</v>
      </c>
      <c r="L1841" s="1">
        <f ca="1">IFERROR(__xludf.DUMMYFUNCTION("""COMPUTED_VALUE"""),2.1)</f>
        <v>2.1</v>
      </c>
      <c r="T1841" s="1">
        <f ca="1">IFERROR(__xludf.DUMMYFUNCTION("""COMPUTED_VALUE"""),489594)</f>
        <v>489594</v>
      </c>
      <c r="U1841" s="1">
        <f ca="1">IFERROR(__xludf.DUMMYFUNCTION("""COMPUTED_VALUE"""),8.4)</f>
        <v>8.4</v>
      </c>
    </row>
    <row r="1842" spans="1:21" ht="12.75" x14ac:dyDescent="0.2">
      <c r="A1842" s="3">
        <f ca="1">IFERROR(__xludf.DUMMYFUNCTION("""COMPUTED_VALUE"""),40148.5965277777)</f>
        <v>40148.5965277777</v>
      </c>
      <c r="B1842" s="1">
        <f ca="1">IFERROR(__xludf.DUMMYFUNCTION("""COMPUTED_VALUE"""),1.25)</f>
        <v>1.25</v>
      </c>
      <c r="J1842" s="1" t="str">
        <f ca="1">IFERROR(__xludf.DUMMYFUNCTION("""COMPUTED_VALUE"""),"BLUE SPOTTY BOWL")</f>
        <v>BLUE SPOTTY BOWL</v>
      </c>
      <c r="K1842" s="1">
        <f ca="1">IFERROR(__xludf.DUMMYFUNCTION("""COMPUTED_VALUE"""),4)</f>
        <v>4</v>
      </c>
      <c r="L1842" s="1">
        <f ca="1">IFERROR(__xludf.DUMMYFUNCTION("""COMPUTED_VALUE"""),1.25)</f>
        <v>1.25</v>
      </c>
      <c r="T1842" s="1">
        <f ca="1">IFERROR(__xludf.DUMMYFUNCTION("""COMPUTED_VALUE"""),489594)</f>
        <v>489594</v>
      </c>
      <c r="U1842" s="1">
        <f ca="1">IFERROR(__xludf.DUMMYFUNCTION("""COMPUTED_VALUE"""),5)</f>
        <v>5</v>
      </c>
    </row>
    <row r="1843" spans="1:21" ht="12.75" x14ac:dyDescent="0.2">
      <c r="A1843" s="3">
        <f ca="1">IFERROR(__xludf.DUMMYFUNCTION("""COMPUTED_VALUE"""),40148.5965277777)</f>
        <v>40148.5965277777</v>
      </c>
      <c r="B1843" s="1">
        <f ca="1">IFERROR(__xludf.DUMMYFUNCTION("""COMPUTED_VALUE"""),0.65)</f>
        <v>0.65</v>
      </c>
      <c r="J1843" s="1" t="str">
        <f ca="1">IFERROR(__xludf.DUMMYFUNCTION("""COMPUTED_VALUE"""),"12 PENCILS SMALL TUBE RED SPOTTY")</f>
        <v>12 PENCILS SMALL TUBE RED SPOTTY</v>
      </c>
      <c r="K1843" s="1">
        <f ca="1">IFERROR(__xludf.DUMMYFUNCTION("""COMPUTED_VALUE"""),4)</f>
        <v>4</v>
      </c>
      <c r="L1843" s="1">
        <f ca="1">IFERROR(__xludf.DUMMYFUNCTION("""COMPUTED_VALUE"""),0.65)</f>
        <v>0.65</v>
      </c>
      <c r="T1843" s="1">
        <f ca="1">IFERROR(__xludf.DUMMYFUNCTION("""COMPUTED_VALUE"""),489594)</f>
        <v>489594</v>
      </c>
      <c r="U1843" s="1">
        <f ca="1">IFERROR(__xludf.DUMMYFUNCTION("""COMPUTED_VALUE"""),2.6)</f>
        <v>2.6</v>
      </c>
    </row>
    <row r="1844" spans="1:21" ht="12.75" x14ac:dyDescent="0.2">
      <c r="A1844" s="3">
        <f ca="1">IFERROR(__xludf.DUMMYFUNCTION("""COMPUTED_VALUE"""),40148.5965277777)</f>
        <v>40148.5965277777</v>
      </c>
      <c r="B1844" s="1">
        <f ca="1">IFERROR(__xludf.DUMMYFUNCTION("""COMPUTED_VALUE"""),1.25)</f>
        <v>1.25</v>
      </c>
      <c r="J1844" s="1" t="str">
        <f ca="1">IFERROR(__xludf.DUMMYFUNCTION("""COMPUTED_VALUE"""),"VINTAGE HEADS AND TAILS CARD GAME")</f>
        <v>VINTAGE HEADS AND TAILS CARD GAME</v>
      </c>
      <c r="K1844" s="1">
        <f ca="1">IFERROR(__xludf.DUMMYFUNCTION("""COMPUTED_VALUE"""),4)</f>
        <v>4</v>
      </c>
      <c r="L1844" s="1">
        <f ca="1">IFERROR(__xludf.DUMMYFUNCTION("""COMPUTED_VALUE"""),1.25)</f>
        <v>1.25</v>
      </c>
      <c r="T1844" s="1">
        <f ca="1">IFERROR(__xludf.DUMMYFUNCTION("""COMPUTED_VALUE"""),489594)</f>
        <v>489594</v>
      </c>
      <c r="U1844" s="1">
        <f ca="1">IFERROR(__xludf.DUMMYFUNCTION("""COMPUTED_VALUE"""),5)</f>
        <v>5</v>
      </c>
    </row>
    <row r="1845" spans="1:21" ht="12.75" x14ac:dyDescent="0.2">
      <c r="A1845" s="3">
        <f ca="1">IFERROR(__xludf.DUMMYFUNCTION("""COMPUTED_VALUE"""),40148.5965277777)</f>
        <v>40148.5965277777</v>
      </c>
      <c r="B1845" s="1">
        <f ca="1">IFERROR(__xludf.DUMMYFUNCTION("""COMPUTED_VALUE"""),0.85)</f>
        <v>0.85</v>
      </c>
      <c r="J1845" s="1" t="str">
        <f ca="1">IFERROR(__xludf.DUMMYFUNCTION("""COMPUTED_VALUE"""),"FAIRY CAKE NOTEBOOK A5 SIZE")</f>
        <v>FAIRY CAKE NOTEBOOK A5 SIZE</v>
      </c>
      <c r="K1845" s="1">
        <f ca="1">IFERROR(__xludf.DUMMYFUNCTION("""COMPUTED_VALUE"""),4)</f>
        <v>4</v>
      </c>
      <c r="L1845" s="1">
        <f ca="1">IFERROR(__xludf.DUMMYFUNCTION("""COMPUTED_VALUE"""),0.85)</f>
        <v>0.85</v>
      </c>
      <c r="T1845" s="1">
        <f ca="1">IFERROR(__xludf.DUMMYFUNCTION("""COMPUTED_VALUE"""),489594)</f>
        <v>489594</v>
      </c>
      <c r="U1845" s="1">
        <f ca="1">IFERROR(__xludf.DUMMYFUNCTION("""COMPUTED_VALUE"""),3.4)</f>
        <v>3.4</v>
      </c>
    </row>
    <row r="1846" spans="1:21" ht="12.75" x14ac:dyDescent="0.2">
      <c r="A1846" s="3">
        <f ca="1">IFERROR(__xludf.DUMMYFUNCTION("""COMPUTED_VALUE"""),40148.5965277777)</f>
        <v>40148.5965277777</v>
      </c>
      <c r="B1846" s="1">
        <f ca="1">IFERROR(__xludf.DUMMYFUNCTION("""COMPUTED_VALUE"""),1.65)</f>
        <v>1.65</v>
      </c>
      <c r="J1846" s="1" t="str">
        <f ca="1">IFERROR(__xludf.DUMMYFUNCTION("""COMPUTED_VALUE"""),"PINK DOUGHNUT TRINKET POT")</f>
        <v>PINK DOUGHNUT TRINKET POT</v>
      </c>
      <c r="K1846" s="1">
        <f ca="1">IFERROR(__xludf.DUMMYFUNCTION("""COMPUTED_VALUE"""),4)</f>
        <v>4</v>
      </c>
      <c r="L1846" s="1">
        <f ca="1">IFERROR(__xludf.DUMMYFUNCTION("""COMPUTED_VALUE"""),1.65)</f>
        <v>1.65</v>
      </c>
      <c r="T1846" s="1">
        <f ca="1">IFERROR(__xludf.DUMMYFUNCTION("""COMPUTED_VALUE"""),489594)</f>
        <v>489594</v>
      </c>
      <c r="U1846" s="1">
        <f ca="1">IFERROR(__xludf.DUMMYFUNCTION("""COMPUTED_VALUE"""),6.6)</f>
        <v>6.6</v>
      </c>
    </row>
    <row r="1847" spans="1:21" ht="12.75" x14ac:dyDescent="0.2">
      <c r="A1847" s="3">
        <f ca="1">IFERROR(__xludf.DUMMYFUNCTION("""COMPUTED_VALUE"""),40148.5965277777)</f>
        <v>40148.5965277777</v>
      </c>
      <c r="B1847" s="1">
        <f ca="1">IFERROR(__xludf.DUMMYFUNCTION("""COMPUTED_VALUE"""),1.65)</f>
        <v>1.65</v>
      </c>
      <c r="J1847" s="1" t="str">
        <f ca="1">IFERROR(__xludf.DUMMYFUNCTION("""COMPUTED_VALUE"""),"LUNCH BAG WOODLAND")</f>
        <v>LUNCH BAG WOODLAND</v>
      </c>
      <c r="K1847" s="1">
        <f ca="1">IFERROR(__xludf.DUMMYFUNCTION("""COMPUTED_VALUE"""),4)</f>
        <v>4</v>
      </c>
      <c r="L1847" s="1">
        <f ca="1">IFERROR(__xludf.DUMMYFUNCTION("""COMPUTED_VALUE"""),1.65)</f>
        <v>1.65</v>
      </c>
      <c r="T1847" s="1">
        <f ca="1">IFERROR(__xludf.DUMMYFUNCTION("""COMPUTED_VALUE"""),489594)</f>
        <v>489594</v>
      </c>
      <c r="U1847" s="1">
        <f ca="1">IFERROR(__xludf.DUMMYFUNCTION("""COMPUTED_VALUE"""),6.6)</f>
        <v>6.6</v>
      </c>
    </row>
    <row r="1848" spans="1:21" ht="12.75" x14ac:dyDescent="0.2">
      <c r="A1848" s="3">
        <f ca="1">IFERROR(__xludf.DUMMYFUNCTION("""COMPUTED_VALUE"""),40148.5965277777)</f>
        <v>40148.5965277777</v>
      </c>
      <c r="B1848" s="1">
        <f ca="1">IFERROR(__xludf.DUMMYFUNCTION("""COMPUTED_VALUE"""),1.25)</f>
        <v>1.25</v>
      </c>
      <c r="J1848" s="1" t="str">
        <f ca="1">IFERROR(__xludf.DUMMYFUNCTION("""COMPUTED_VALUE"""),"36 PENCILS TUBE WOODLAND")</f>
        <v>36 PENCILS TUBE WOODLAND</v>
      </c>
      <c r="K1848" s="1">
        <f ca="1">IFERROR(__xludf.DUMMYFUNCTION("""COMPUTED_VALUE"""),3)</f>
        <v>3</v>
      </c>
      <c r="L1848" s="1">
        <f ca="1">IFERROR(__xludf.DUMMYFUNCTION("""COMPUTED_VALUE"""),1.25)</f>
        <v>1.25</v>
      </c>
      <c r="T1848" s="1">
        <f ca="1">IFERROR(__xludf.DUMMYFUNCTION("""COMPUTED_VALUE"""),489594)</f>
        <v>489594</v>
      </c>
      <c r="U1848" s="1">
        <f ca="1">IFERROR(__xludf.DUMMYFUNCTION("""COMPUTED_VALUE"""),3.75)</f>
        <v>3.75</v>
      </c>
    </row>
    <row r="1849" spans="1:21" ht="12.75" x14ac:dyDescent="0.2">
      <c r="A1849" s="3">
        <f ca="1">IFERROR(__xludf.DUMMYFUNCTION("""COMPUTED_VALUE"""),40148.5965277777)</f>
        <v>40148.5965277777</v>
      </c>
      <c r="B1849" s="1">
        <f ca="1">IFERROR(__xludf.DUMMYFUNCTION("""COMPUTED_VALUE"""),1.49)</f>
        <v>1.49</v>
      </c>
      <c r="J1849" s="1" t="str">
        <f ca="1">IFERROR(__xludf.DUMMYFUNCTION("""COMPUTED_VALUE"""),"CERAMIC CAKE DESIGN SPOTTED MUG")</f>
        <v>CERAMIC CAKE DESIGN SPOTTED MUG</v>
      </c>
      <c r="K1849" s="1">
        <f ca="1">IFERROR(__xludf.DUMMYFUNCTION("""COMPUTED_VALUE"""),3)</f>
        <v>3</v>
      </c>
      <c r="L1849" s="1">
        <f ca="1">IFERROR(__xludf.DUMMYFUNCTION("""COMPUTED_VALUE"""),1.49)</f>
        <v>1.49</v>
      </c>
      <c r="T1849" s="1">
        <f ca="1">IFERROR(__xludf.DUMMYFUNCTION("""COMPUTED_VALUE"""),489594)</f>
        <v>489594</v>
      </c>
      <c r="U1849" s="1">
        <f ca="1">IFERROR(__xludf.DUMMYFUNCTION("""COMPUTED_VALUE"""),4.47)</f>
        <v>4.47</v>
      </c>
    </row>
    <row r="1850" spans="1:21" ht="12.75" x14ac:dyDescent="0.2">
      <c r="A1850" s="3">
        <f ca="1">IFERROR(__xludf.DUMMYFUNCTION("""COMPUTED_VALUE"""),40148.5965277777)</f>
        <v>40148.5965277777</v>
      </c>
      <c r="B1850" s="1">
        <f ca="1">IFERROR(__xludf.DUMMYFUNCTION("""COMPUTED_VALUE"""),1.95)</f>
        <v>1.95</v>
      </c>
      <c r="J1850" s="1" t="str">
        <f ca="1">IFERROR(__xludf.DUMMYFUNCTION("""COMPUTED_VALUE"""),"FOOD CONTAINER SET 3 LOVE HEART")</f>
        <v>FOOD CONTAINER SET 3 LOVE HEART</v>
      </c>
      <c r="K1850" s="1">
        <f ca="1">IFERROR(__xludf.DUMMYFUNCTION("""COMPUTED_VALUE"""),3)</f>
        <v>3</v>
      </c>
      <c r="L1850" s="1">
        <f ca="1">IFERROR(__xludf.DUMMYFUNCTION("""COMPUTED_VALUE"""),1.95)</f>
        <v>1.95</v>
      </c>
      <c r="T1850" s="1">
        <f ca="1">IFERROR(__xludf.DUMMYFUNCTION("""COMPUTED_VALUE"""),489594)</f>
        <v>489594</v>
      </c>
      <c r="U1850" s="1">
        <f ca="1">IFERROR(__xludf.DUMMYFUNCTION("""COMPUTED_VALUE"""),5.85)</f>
        <v>5.85</v>
      </c>
    </row>
    <row r="1851" spans="1:21" ht="12.75" x14ac:dyDescent="0.2">
      <c r="A1851" s="3">
        <f ca="1">IFERROR(__xludf.DUMMYFUNCTION("""COMPUTED_VALUE"""),40148.5965277777)</f>
        <v>40148.5965277777</v>
      </c>
      <c r="B1851" s="1">
        <f ca="1">IFERROR(__xludf.DUMMYFUNCTION("""COMPUTED_VALUE"""),2.95)</f>
        <v>2.95</v>
      </c>
      <c r="J1851" s="1" t="str">
        <f ca="1">IFERROR(__xludf.DUMMYFUNCTION("""COMPUTED_VALUE"""),"CERAMIC CAKE BOWL + HANGING CAKES")</f>
        <v>CERAMIC CAKE BOWL + HANGING CAKES</v>
      </c>
      <c r="K1851" s="1">
        <f ca="1">IFERROR(__xludf.DUMMYFUNCTION("""COMPUTED_VALUE"""),3)</f>
        <v>3</v>
      </c>
      <c r="L1851" s="1">
        <f ca="1">IFERROR(__xludf.DUMMYFUNCTION("""COMPUTED_VALUE"""),2.95)</f>
        <v>2.95</v>
      </c>
      <c r="T1851" s="1">
        <f ca="1">IFERROR(__xludf.DUMMYFUNCTION("""COMPUTED_VALUE"""),489594)</f>
        <v>489594</v>
      </c>
      <c r="U1851" s="1">
        <f ca="1">IFERROR(__xludf.DUMMYFUNCTION("""COMPUTED_VALUE"""),8.85)</f>
        <v>8.85</v>
      </c>
    </row>
    <row r="1852" spans="1:21" ht="12.75" x14ac:dyDescent="0.2">
      <c r="A1852" s="3">
        <f ca="1">IFERROR(__xludf.DUMMYFUNCTION("""COMPUTED_VALUE"""),40148.5965277777)</f>
        <v>40148.5965277777</v>
      </c>
      <c r="B1852" s="1">
        <f ca="1">IFERROR(__xludf.DUMMYFUNCTION("""COMPUTED_VALUE"""),0.95)</f>
        <v>0.95</v>
      </c>
      <c r="J1852" s="1" t="str">
        <f ca="1">IFERROR(__xludf.DUMMYFUNCTION("""COMPUTED_VALUE"""),"REX CASH+CARRY JUMBO SHOPPER")</f>
        <v>REX CASH+CARRY JUMBO SHOPPER</v>
      </c>
      <c r="K1852" s="1">
        <f ca="1">IFERROR(__xludf.DUMMYFUNCTION("""COMPUTED_VALUE"""),3)</f>
        <v>3</v>
      </c>
      <c r="L1852" s="1">
        <f ca="1">IFERROR(__xludf.DUMMYFUNCTION("""COMPUTED_VALUE"""),0.95)</f>
        <v>0.95</v>
      </c>
      <c r="T1852" s="1">
        <f ca="1">IFERROR(__xludf.DUMMYFUNCTION("""COMPUTED_VALUE"""),489594)</f>
        <v>489594</v>
      </c>
      <c r="U1852" s="1">
        <f ca="1">IFERROR(__xludf.DUMMYFUNCTION("""COMPUTED_VALUE"""),2.84999999999999)</f>
        <v>2.8499999999999899</v>
      </c>
    </row>
    <row r="1853" spans="1:21" ht="12.75" x14ac:dyDescent="0.2">
      <c r="A1853" s="3">
        <f ca="1">IFERROR(__xludf.DUMMYFUNCTION("""COMPUTED_VALUE"""),40148.5965277777)</f>
        <v>40148.5965277777</v>
      </c>
      <c r="B1853" s="1">
        <f ca="1">IFERROR(__xludf.DUMMYFUNCTION("""COMPUTED_VALUE"""),1.65)</f>
        <v>1.65</v>
      </c>
      <c r="J1853" s="1" t="str">
        <f ca="1">IFERROR(__xludf.DUMMYFUNCTION("""COMPUTED_VALUE"""),"LUNCH BAG RED SPOTTY")</f>
        <v>LUNCH BAG RED SPOTTY</v>
      </c>
      <c r="K1853" s="1">
        <f ca="1">IFERROR(__xludf.DUMMYFUNCTION("""COMPUTED_VALUE"""),3)</f>
        <v>3</v>
      </c>
      <c r="L1853" s="1">
        <f ca="1">IFERROR(__xludf.DUMMYFUNCTION("""COMPUTED_VALUE"""),1.65)</f>
        <v>1.65</v>
      </c>
      <c r="T1853" s="1">
        <f ca="1">IFERROR(__xludf.DUMMYFUNCTION("""COMPUTED_VALUE"""),489594)</f>
        <v>489594</v>
      </c>
      <c r="U1853" s="1">
        <f ca="1">IFERROR(__xludf.DUMMYFUNCTION("""COMPUTED_VALUE"""),4.94999999999999)</f>
        <v>4.9499999999999904</v>
      </c>
    </row>
    <row r="1854" spans="1:21" ht="12.75" x14ac:dyDescent="0.2">
      <c r="A1854" s="3">
        <f ca="1">IFERROR(__xludf.DUMMYFUNCTION("""COMPUTED_VALUE"""),40148.5965277777)</f>
        <v>40148.5965277777</v>
      </c>
      <c r="B1854" s="1">
        <f ca="1">IFERROR(__xludf.DUMMYFUNCTION("""COMPUTED_VALUE"""),3.95)</f>
        <v>3.95</v>
      </c>
      <c r="J1854" s="1" t="str">
        <f ca="1">IFERROR(__xludf.DUMMYFUNCTION("""COMPUTED_VALUE"""),"HOT WATER BOTTLE TEA AND SYMPATHY")</f>
        <v>HOT WATER BOTTLE TEA AND SYMPATHY</v>
      </c>
      <c r="K1854" s="1">
        <f ca="1">IFERROR(__xludf.DUMMYFUNCTION("""COMPUTED_VALUE"""),3)</f>
        <v>3</v>
      </c>
      <c r="L1854" s="1">
        <f ca="1">IFERROR(__xludf.DUMMYFUNCTION("""COMPUTED_VALUE"""),3.95)</f>
        <v>3.95</v>
      </c>
      <c r="T1854" s="1">
        <f ca="1">IFERROR(__xludf.DUMMYFUNCTION("""COMPUTED_VALUE"""),489594)</f>
        <v>489594</v>
      </c>
      <c r="U1854" s="1">
        <f ca="1">IFERROR(__xludf.DUMMYFUNCTION("""COMPUTED_VALUE"""),11.85)</f>
        <v>11.85</v>
      </c>
    </row>
    <row r="1855" spans="1:21" ht="12.75" x14ac:dyDescent="0.2">
      <c r="A1855" s="3">
        <f ca="1">IFERROR(__xludf.DUMMYFUNCTION("""COMPUTED_VALUE"""),40148.5965277777)</f>
        <v>40148.5965277777</v>
      </c>
      <c r="B1855" s="1">
        <f ca="1">IFERROR(__xludf.DUMMYFUNCTION("""COMPUTED_VALUE"""),1.95)</f>
        <v>1.95</v>
      </c>
      <c r="J1855" s="1" t="str">
        <f ca="1">IFERROR(__xludf.DUMMYFUNCTION("""COMPUTED_VALUE"""),"JUMBO STORAGE BAG SUKI")</f>
        <v>JUMBO STORAGE BAG SUKI</v>
      </c>
      <c r="K1855" s="1">
        <f ca="1">IFERROR(__xludf.DUMMYFUNCTION("""COMPUTED_VALUE"""),2)</f>
        <v>2</v>
      </c>
      <c r="L1855" s="1">
        <f ca="1">IFERROR(__xludf.DUMMYFUNCTION("""COMPUTED_VALUE"""),1.95)</f>
        <v>1.95</v>
      </c>
      <c r="T1855" s="1">
        <f ca="1">IFERROR(__xludf.DUMMYFUNCTION("""COMPUTED_VALUE"""),489594)</f>
        <v>489594</v>
      </c>
      <c r="U1855" s="1">
        <f ca="1">IFERROR(__xludf.DUMMYFUNCTION("""COMPUTED_VALUE"""),3.9)</f>
        <v>3.9</v>
      </c>
    </row>
    <row r="1856" spans="1:21" ht="12.75" x14ac:dyDescent="0.2">
      <c r="A1856" s="3">
        <f ca="1">IFERROR(__xludf.DUMMYFUNCTION("""COMPUTED_VALUE"""),40148.5965277777)</f>
        <v>40148.5965277777</v>
      </c>
      <c r="B1856" s="1">
        <f ca="1">IFERROR(__xludf.DUMMYFUNCTION("""COMPUTED_VALUE"""),1.95)</f>
        <v>1.95</v>
      </c>
      <c r="J1856" s="1" t="str">
        <f ca="1">IFERROR(__xludf.DUMMYFUNCTION("""COMPUTED_VALUE"""),"JUMBO  BAG BAROQUE BLACK WHITE")</f>
        <v>JUMBO  BAG BAROQUE BLACK WHITE</v>
      </c>
      <c r="K1856" s="1">
        <f ca="1">IFERROR(__xludf.DUMMYFUNCTION("""COMPUTED_VALUE"""),2)</f>
        <v>2</v>
      </c>
      <c r="L1856" s="1">
        <f ca="1">IFERROR(__xludf.DUMMYFUNCTION("""COMPUTED_VALUE"""),1.95)</f>
        <v>1.95</v>
      </c>
      <c r="T1856" s="1">
        <f ca="1">IFERROR(__xludf.DUMMYFUNCTION("""COMPUTED_VALUE"""),489594)</f>
        <v>489594</v>
      </c>
      <c r="U1856" s="1">
        <f ca="1">IFERROR(__xludf.DUMMYFUNCTION("""COMPUTED_VALUE"""),3.9)</f>
        <v>3.9</v>
      </c>
    </row>
    <row r="1857" spans="1:21" ht="12.75" x14ac:dyDescent="0.2">
      <c r="A1857" s="3">
        <f ca="1">IFERROR(__xludf.DUMMYFUNCTION("""COMPUTED_VALUE"""),40148.5965277777)</f>
        <v>40148.5965277777</v>
      </c>
      <c r="B1857" s="1">
        <f ca="1">IFERROR(__xludf.DUMMYFUNCTION("""COMPUTED_VALUE"""),1.95)</f>
        <v>1.95</v>
      </c>
      <c r="J1857" s="1" t="str">
        <f ca="1">IFERROR(__xludf.DUMMYFUNCTION("""COMPUTED_VALUE"""),"JUMBO BAG PINK VINTAGE PAISLEY")</f>
        <v>JUMBO BAG PINK VINTAGE PAISLEY</v>
      </c>
      <c r="K1857" s="1">
        <f ca="1">IFERROR(__xludf.DUMMYFUNCTION("""COMPUTED_VALUE"""),2)</f>
        <v>2</v>
      </c>
      <c r="L1857" s="1">
        <f ca="1">IFERROR(__xludf.DUMMYFUNCTION("""COMPUTED_VALUE"""),1.95)</f>
        <v>1.95</v>
      </c>
      <c r="T1857" s="1">
        <f ca="1">IFERROR(__xludf.DUMMYFUNCTION("""COMPUTED_VALUE"""),489594)</f>
        <v>489594</v>
      </c>
      <c r="U1857" s="1">
        <f ca="1">IFERROR(__xludf.DUMMYFUNCTION("""COMPUTED_VALUE"""),3.9)</f>
        <v>3.9</v>
      </c>
    </row>
    <row r="1858" spans="1:21" ht="12.75" x14ac:dyDescent="0.2">
      <c r="A1858" s="3">
        <f ca="1">IFERROR(__xludf.DUMMYFUNCTION("""COMPUTED_VALUE"""),40148.5965277777)</f>
        <v>40148.5965277777</v>
      </c>
      <c r="B1858" s="1">
        <f ca="1">IFERROR(__xludf.DUMMYFUNCTION("""COMPUTED_VALUE"""),1.49)</f>
        <v>1.49</v>
      </c>
      <c r="J1858" s="1" t="str">
        <f ca="1">IFERROR(__xludf.DUMMYFUNCTION("""COMPUTED_VALUE"""),"CERAMIC CAKE DESIGN SPOTTED PLATE")</f>
        <v>CERAMIC CAKE DESIGN SPOTTED PLATE</v>
      </c>
      <c r="K1858" s="1">
        <f ca="1">IFERROR(__xludf.DUMMYFUNCTION("""COMPUTED_VALUE"""),2)</f>
        <v>2</v>
      </c>
      <c r="L1858" s="1">
        <f ca="1">IFERROR(__xludf.DUMMYFUNCTION("""COMPUTED_VALUE"""),1.49)</f>
        <v>1.49</v>
      </c>
      <c r="T1858" s="1">
        <f ca="1">IFERROR(__xludf.DUMMYFUNCTION("""COMPUTED_VALUE"""),489594)</f>
        <v>489594</v>
      </c>
      <c r="U1858" s="1">
        <f ca="1">IFERROR(__xludf.DUMMYFUNCTION("""COMPUTED_VALUE"""),2.98)</f>
        <v>2.98</v>
      </c>
    </row>
    <row r="1859" spans="1:21" ht="12.75" x14ac:dyDescent="0.2">
      <c r="A1859" s="3">
        <f ca="1">IFERROR(__xludf.DUMMYFUNCTION("""COMPUTED_VALUE"""),40148.5965277777)</f>
        <v>40148.5965277777</v>
      </c>
      <c r="B1859" s="1">
        <f ca="1">IFERROR(__xludf.DUMMYFUNCTION("""COMPUTED_VALUE"""),1.65)</f>
        <v>1.65</v>
      </c>
      <c r="J1859" s="1" t="str">
        <f ca="1">IFERROR(__xludf.DUMMYFUNCTION("""COMPUTED_VALUE"""),"MINI CAKE STAND  HANGING STRAWBERY")</f>
        <v>MINI CAKE STAND  HANGING STRAWBERY</v>
      </c>
      <c r="K1859" s="1">
        <f ca="1">IFERROR(__xludf.DUMMYFUNCTION("""COMPUTED_VALUE"""),2)</f>
        <v>2</v>
      </c>
      <c r="L1859" s="1">
        <f ca="1">IFERROR(__xludf.DUMMYFUNCTION("""COMPUTED_VALUE"""),1.65)</f>
        <v>1.65</v>
      </c>
      <c r="T1859" s="1">
        <f ca="1">IFERROR(__xludf.DUMMYFUNCTION("""COMPUTED_VALUE"""),489594)</f>
        <v>489594</v>
      </c>
      <c r="U1859" s="1">
        <f ca="1">IFERROR(__xludf.DUMMYFUNCTION("""COMPUTED_VALUE"""),3.3)</f>
        <v>3.3</v>
      </c>
    </row>
    <row r="1860" spans="1:21" ht="12.75" x14ac:dyDescent="0.2">
      <c r="A1860" s="3">
        <f ca="1">IFERROR(__xludf.DUMMYFUNCTION("""COMPUTED_VALUE"""),40148.5965277777)</f>
        <v>40148.5965277777</v>
      </c>
      <c r="B1860" s="1">
        <f ca="1">IFERROR(__xludf.DUMMYFUNCTION("""COMPUTED_VALUE"""),1.49)</f>
        <v>1.49</v>
      </c>
      <c r="J1860" s="1" t="str">
        <f ca="1">IFERROR(__xludf.DUMMYFUNCTION("""COMPUTED_VALUE"""),"CERAMIC CAKE DESIGN SPOTTED MUG")</f>
        <v>CERAMIC CAKE DESIGN SPOTTED MUG</v>
      </c>
      <c r="K1860" s="1">
        <f ca="1">IFERROR(__xludf.DUMMYFUNCTION("""COMPUTED_VALUE"""),2)</f>
        <v>2</v>
      </c>
      <c r="L1860" s="1">
        <f ca="1">IFERROR(__xludf.DUMMYFUNCTION("""COMPUTED_VALUE"""),1.49)</f>
        <v>1.49</v>
      </c>
      <c r="T1860" s="1">
        <f ca="1">IFERROR(__xludf.DUMMYFUNCTION("""COMPUTED_VALUE"""),489594)</f>
        <v>489594</v>
      </c>
      <c r="U1860" s="1">
        <f ca="1">IFERROR(__xludf.DUMMYFUNCTION("""COMPUTED_VALUE"""),2.98)</f>
        <v>2.98</v>
      </c>
    </row>
    <row r="1861" spans="1:21" ht="12.75" x14ac:dyDescent="0.2">
      <c r="A1861" s="3">
        <f ca="1">IFERROR(__xludf.DUMMYFUNCTION("""COMPUTED_VALUE"""),40148.5965277777)</f>
        <v>40148.5965277777</v>
      </c>
      <c r="B1861" s="1">
        <f ca="1">IFERROR(__xludf.DUMMYFUNCTION("""COMPUTED_VALUE"""),2.55)</f>
        <v>2.5499999999999998</v>
      </c>
      <c r="J1861" s="1" t="str">
        <f ca="1">IFERROR(__xludf.DUMMYFUNCTION("""COMPUTED_VALUE"""),"CAT BOWL")</f>
        <v>CAT BOWL</v>
      </c>
      <c r="K1861" s="1">
        <f ca="1">IFERROR(__xludf.DUMMYFUNCTION("""COMPUTED_VALUE"""),2)</f>
        <v>2</v>
      </c>
      <c r="L1861" s="1">
        <f ca="1">IFERROR(__xludf.DUMMYFUNCTION("""COMPUTED_VALUE"""),2.55)</f>
        <v>2.5499999999999998</v>
      </c>
      <c r="T1861" s="1">
        <f ca="1">IFERROR(__xludf.DUMMYFUNCTION("""COMPUTED_VALUE"""),489594)</f>
        <v>489594</v>
      </c>
      <c r="U1861" s="1">
        <f ca="1">IFERROR(__xludf.DUMMYFUNCTION("""COMPUTED_VALUE"""),5.1)</f>
        <v>5.0999999999999996</v>
      </c>
    </row>
    <row r="1862" spans="1:21" ht="12.75" x14ac:dyDescent="0.2">
      <c r="A1862" s="3">
        <f ca="1">IFERROR(__xludf.DUMMYFUNCTION("""COMPUTED_VALUE"""),40148.5965277777)</f>
        <v>40148.5965277777</v>
      </c>
      <c r="B1862" s="1">
        <f ca="1">IFERROR(__xludf.DUMMYFUNCTION("""COMPUTED_VALUE"""),2.55)</f>
        <v>2.5499999999999998</v>
      </c>
      <c r="J1862" s="1" t="str">
        <f ca="1">IFERROR(__xludf.DUMMYFUNCTION("""COMPUTED_VALUE"""),"CAMOFLAGE DESIGN TEDDY")</f>
        <v>CAMOFLAGE DESIGN TEDDY</v>
      </c>
      <c r="K1862" s="1">
        <f ca="1">IFERROR(__xludf.DUMMYFUNCTION("""COMPUTED_VALUE"""),2)</f>
        <v>2</v>
      </c>
      <c r="L1862" s="1">
        <f ca="1">IFERROR(__xludf.DUMMYFUNCTION("""COMPUTED_VALUE"""),2.55)</f>
        <v>2.5499999999999998</v>
      </c>
      <c r="T1862" s="1">
        <f ca="1">IFERROR(__xludf.DUMMYFUNCTION("""COMPUTED_VALUE"""),489594)</f>
        <v>489594</v>
      </c>
      <c r="U1862" s="1">
        <f ca="1">IFERROR(__xludf.DUMMYFUNCTION("""COMPUTED_VALUE"""),5.1)</f>
        <v>5.0999999999999996</v>
      </c>
    </row>
    <row r="1863" spans="1:21" ht="12.75" x14ac:dyDescent="0.2">
      <c r="A1863" s="3">
        <f ca="1">IFERROR(__xludf.DUMMYFUNCTION("""COMPUTED_VALUE"""),40148.5965277777)</f>
        <v>40148.5965277777</v>
      </c>
      <c r="B1863" s="1">
        <f ca="1">IFERROR(__xludf.DUMMYFUNCTION("""COMPUTED_VALUE"""),9.95)</f>
        <v>9.9499999999999993</v>
      </c>
      <c r="J1863" s="1" t="str">
        <f ca="1">IFERROR(__xludf.DUMMYFUNCTION("""COMPUTED_VALUE"""),"CERAMIC CAKE STAND + HANGING CAKES")</f>
        <v>CERAMIC CAKE STAND + HANGING CAKES</v>
      </c>
      <c r="K1863" s="1">
        <f ca="1">IFERROR(__xludf.DUMMYFUNCTION("""COMPUTED_VALUE"""),2)</f>
        <v>2</v>
      </c>
      <c r="L1863" s="1">
        <f ca="1">IFERROR(__xludf.DUMMYFUNCTION("""COMPUTED_VALUE"""),9.95)</f>
        <v>9.9499999999999993</v>
      </c>
      <c r="T1863" s="1">
        <f ca="1">IFERROR(__xludf.DUMMYFUNCTION("""COMPUTED_VALUE"""),489594)</f>
        <v>489594</v>
      </c>
      <c r="U1863" s="1">
        <f ca="1">IFERROR(__xludf.DUMMYFUNCTION("""COMPUTED_VALUE"""),19.9)</f>
        <v>19.899999999999999</v>
      </c>
    </row>
    <row r="1864" spans="1:21" ht="12.75" x14ac:dyDescent="0.2">
      <c r="A1864" s="3">
        <f ca="1">IFERROR(__xludf.DUMMYFUNCTION("""COMPUTED_VALUE"""),40148.5965277777)</f>
        <v>40148.5965277777</v>
      </c>
      <c r="B1864" s="1">
        <f ca="1">IFERROR(__xludf.DUMMYFUNCTION("""COMPUTED_VALUE"""),1.25)</f>
        <v>1.25</v>
      </c>
      <c r="J1864" s="1" t="str">
        <f ca="1">IFERROR(__xludf.DUMMYFUNCTION("""COMPUTED_VALUE"""),"KINGS CHOICE MUG")</f>
        <v>KINGS CHOICE MUG</v>
      </c>
      <c r="K1864" s="1">
        <f ca="1">IFERROR(__xludf.DUMMYFUNCTION("""COMPUTED_VALUE"""),2)</f>
        <v>2</v>
      </c>
      <c r="L1864" s="1">
        <f ca="1">IFERROR(__xludf.DUMMYFUNCTION("""COMPUTED_VALUE"""),1.25)</f>
        <v>1.25</v>
      </c>
      <c r="T1864" s="1">
        <f ca="1">IFERROR(__xludf.DUMMYFUNCTION("""COMPUTED_VALUE"""),489594)</f>
        <v>489594</v>
      </c>
      <c r="U1864" s="1">
        <f ca="1">IFERROR(__xludf.DUMMYFUNCTION("""COMPUTED_VALUE"""),2.5)</f>
        <v>2.5</v>
      </c>
    </row>
    <row r="1865" spans="1:21" ht="12.75" x14ac:dyDescent="0.2">
      <c r="A1865" s="3">
        <f ca="1">IFERROR(__xludf.DUMMYFUNCTION("""COMPUTED_VALUE"""),40148.5965277777)</f>
        <v>40148.5965277777</v>
      </c>
      <c r="B1865" s="1">
        <f ca="1">IFERROR(__xludf.DUMMYFUNCTION("""COMPUTED_VALUE"""),1.65)</f>
        <v>1.65</v>
      </c>
      <c r="J1865" s="1" t="str">
        <f ca="1">IFERROR(__xludf.DUMMYFUNCTION("""COMPUTED_VALUE"""),"BLACK PIRATE TREASURE CHEST")</f>
        <v>BLACK PIRATE TREASURE CHEST</v>
      </c>
      <c r="K1865" s="1">
        <f ca="1">IFERROR(__xludf.DUMMYFUNCTION("""COMPUTED_VALUE"""),2)</f>
        <v>2</v>
      </c>
      <c r="L1865" s="1">
        <f ca="1">IFERROR(__xludf.DUMMYFUNCTION("""COMPUTED_VALUE"""),1.65)</f>
        <v>1.65</v>
      </c>
      <c r="T1865" s="1">
        <f ca="1">IFERROR(__xludf.DUMMYFUNCTION("""COMPUTED_VALUE"""),489594)</f>
        <v>489594</v>
      </c>
      <c r="U1865" s="1">
        <f ca="1">IFERROR(__xludf.DUMMYFUNCTION("""COMPUTED_VALUE"""),3.3)</f>
        <v>3.3</v>
      </c>
    </row>
    <row r="1866" spans="1:21" ht="12.75" x14ac:dyDescent="0.2">
      <c r="A1866" s="3">
        <f ca="1">IFERROR(__xludf.DUMMYFUNCTION("""COMPUTED_VALUE"""),40148.5965277777)</f>
        <v>40148.5965277777</v>
      </c>
      <c r="B1866" s="1">
        <f ca="1">IFERROR(__xludf.DUMMYFUNCTION("""COMPUTED_VALUE"""),4.25)</f>
        <v>4.25</v>
      </c>
      <c r="J1866" s="1" t="str">
        <f ca="1">IFERROR(__xludf.DUMMYFUNCTION("""COMPUTED_VALUE"""),"GREEN CHRISTMAS TREE CARD HOLDER")</f>
        <v>GREEN CHRISTMAS TREE CARD HOLDER</v>
      </c>
      <c r="K1866" s="1">
        <f ca="1">IFERROR(__xludf.DUMMYFUNCTION("""COMPUTED_VALUE"""),2)</f>
        <v>2</v>
      </c>
      <c r="L1866" s="1">
        <f ca="1">IFERROR(__xludf.DUMMYFUNCTION("""COMPUTED_VALUE"""),4.25)</f>
        <v>4.25</v>
      </c>
      <c r="T1866" s="1">
        <f ca="1">IFERROR(__xludf.DUMMYFUNCTION("""COMPUTED_VALUE"""),489594)</f>
        <v>489594</v>
      </c>
      <c r="U1866" s="1">
        <f ca="1">IFERROR(__xludf.DUMMYFUNCTION("""COMPUTED_VALUE"""),8.5)</f>
        <v>8.5</v>
      </c>
    </row>
    <row r="1867" spans="1:21" ht="12.75" x14ac:dyDescent="0.2">
      <c r="A1867" s="3">
        <f ca="1">IFERROR(__xludf.DUMMYFUNCTION("""COMPUTED_VALUE"""),40148.5965277777)</f>
        <v>40148.5965277777</v>
      </c>
      <c r="B1867" s="1">
        <f ca="1">IFERROR(__xludf.DUMMYFUNCTION("""COMPUTED_VALUE"""),4.95)</f>
        <v>4.95</v>
      </c>
      <c r="J1867" s="1" t="str">
        <f ca="1">IFERROR(__xludf.DUMMYFUNCTION("""COMPUTED_VALUE"""),"GREEN CHRISTMAS TREE STRING 20LIGHT")</f>
        <v>GREEN CHRISTMAS TREE STRING 20LIGHT</v>
      </c>
      <c r="K1867" s="1">
        <f ca="1">IFERROR(__xludf.DUMMYFUNCTION("""COMPUTED_VALUE"""),1)</f>
        <v>1</v>
      </c>
      <c r="L1867" s="1">
        <f ca="1">IFERROR(__xludf.DUMMYFUNCTION("""COMPUTED_VALUE"""),4.95)</f>
        <v>4.95</v>
      </c>
      <c r="T1867" s="1">
        <f ca="1">IFERROR(__xludf.DUMMYFUNCTION("""COMPUTED_VALUE"""),489594)</f>
        <v>489594</v>
      </c>
      <c r="U1867" s="1">
        <f ca="1">IFERROR(__xludf.DUMMYFUNCTION("""COMPUTED_VALUE"""),4.95)</f>
        <v>4.95</v>
      </c>
    </row>
    <row r="1868" spans="1:21" ht="12.75" x14ac:dyDescent="0.2">
      <c r="A1868" s="3">
        <f ca="1">IFERROR(__xludf.DUMMYFUNCTION("""COMPUTED_VALUE"""),40148.5965277777)</f>
        <v>40148.5965277777</v>
      </c>
      <c r="B1868" s="1">
        <f ca="1">IFERROR(__xludf.DUMMYFUNCTION("""COMPUTED_VALUE"""),4.95)</f>
        <v>4.95</v>
      </c>
      <c r="J1868" s="1" t="str">
        <f ca="1">IFERROR(__xludf.DUMMYFUNCTION("""COMPUTED_VALUE"""),"ANTIQUE LILY FAIRY LIGHTS")</f>
        <v>ANTIQUE LILY FAIRY LIGHTS</v>
      </c>
      <c r="K1868" s="1">
        <f ca="1">IFERROR(__xludf.DUMMYFUNCTION("""COMPUTED_VALUE"""),1)</f>
        <v>1</v>
      </c>
      <c r="L1868" s="1">
        <f ca="1">IFERROR(__xludf.DUMMYFUNCTION("""COMPUTED_VALUE"""),4.95)</f>
        <v>4.95</v>
      </c>
      <c r="T1868" s="1">
        <f ca="1">IFERROR(__xludf.DUMMYFUNCTION("""COMPUTED_VALUE"""),489594)</f>
        <v>489594</v>
      </c>
      <c r="U1868" s="1">
        <f ca="1">IFERROR(__xludf.DUMMYFUNCTION("""COMPUTED_VALUE"""),4.95)</f>
        <v>4.95</v>
      </c>
    </row>
    <row r="1869" spans="1:21" ht="12.75" x14ac:dyDescent="0.2">
      <c r="A1869" s="3">
        <f ca="1">IFERROR(__xludf.DUMMYFUNCTION("""COMPUTED_VALUE"""),40148.5965277777)</f>
        <v>40148.5965277777</v>
      </c>
      <c r="B1869" s="1">
        <f ca="1">IFERROR(__xludf.DUMMYFUNCTION("""COMPUTED_VALUE"""),2.95)</f>
        <v>2.95</v>
      </c>
      <c r="J1869" s="1" t="str">
        <f ca="1">IFERROR(__xludf.DUMMYFUNCTION("""COMPUTED_VALUE"""),"CERAMIC BOWL WITH LOVE HEART DESIGN")</f>
        <v>CERAMIC BOWL WITH LOVE HEART DESIGN</v>
      </c>
      <c r="K1869" s="1">
        <f ca="1">IFERROR(__xludf.DUMMYFUNCTION("""COMPUTED_VALUE"""),1)</f>
        <v>1</v>
      </c>
      <c r="L1869" s="1">
        <f ca="1">IFERROR(__xludf.DUMMYFUNCTION("""COMPUTED_VALUE"""),2.95)</f>
        <v>2.95</v>
      </c>
      <c r="T1869" s="1">
        <f ca="1">IFERROR(__xludf.DUMMYFUNCTION("""COMPUTED_VALUE"""),489594)</f>
        <v>489594</v>
      </c>
      <c r="U1869" s="1">
        <f ca="1">IFERROR(__xludf.DUMMYFUNCTION("""COMPUTED_VALUE"""),2.95)</f>
        <v>2.95</v>
      </c>
    </row>
    <row r="1870" spans="1:21" ht="12.75" x14ac:dyDescent="0.2">
      <c r="A1870" s="3">
        <f ca="1">IFERROR(__xludf.DUMMYFUNCTION("""COMPUTED_VALUE"""),40148.5965277777)</f>
        <v>40148.5965277777</v>
      </c>
      <c r="B1870" s="1">
        <f ca="1">IFERROR(__xludf.DUMMYFUNCTION("""COMPUTED_VALUE"""),1.65)</f>
        <v>1.65</v>
      </c>
      <c r="J1870" s="1" t="str">
        <f ca="1">IFERROR(__xludf.DUMMYFUNCTION("""COMPUTED_VALUE"""),"MINI CAKE STAND  HANGING STRAWBERY")</f>
        <v>MINI CAKE STAND  HANGING STRAWBERY</v>
      </c>
      <c r="K1870" s="1">
        <f ca="1">IFERROR(__xludf.DUMMYFUNCTION("""COMPUTED_VALUE"""),1)</f>
        <v>1</v>
      </c>
      <c r="L1870" s="1">
        <f ca="1">IFERROR(__xludf.DUMMYFUNCTION("""COMPUTED_VALUE"""),1.65)</f>
        <v>1.65</v>
      </c>
      <c r="T1870" s="1">
        <f ca="1">IFERROR(__xludf.DUMMYFUNCTION("""COMPUTED_VALUE"""),489594)</f>
        <v>489594</v>
      </c>
      <c r="U1870" s="1">
        <f ca="1">IFERROR(__xludf.DUMMYFUNCTION("""COMPUTED_VALUE"""),1.65)</f>
        <v>1.65</v>
      </c>
    </row>
    <row r="1871" spans="1:21" ht="12.75" x14ac:dyDescent="0.2">
      <c r="A1871" s="3">
        <f ca="1">IFERROR(__xludf.DUMMYFUNCTION("""COMPUTED_VALUE"""),40148.5965277777)</f>
        <v>40148.5965277777</v>
      </c>
      <c r="B1871" s="1">
        <f ca="1">IFERROR(__xludf.DUMMYFUNCTION("""COMPUTED_VALUE"""),1.49)</f>
        <v>1.49</v>
      </c>
      <c r="J1871" s="1" t="str">
        <f ca="1">IFERROR(__xludf.DUMMYFUNCTION("""COMPUTED_VALUE"""),"CERAMIC CAKE DESIGN SPOTTED MUG")</f>
        <v>CERAMIC CAKE DESIGN SPOTTED MUG</v>
      </c>
      <c r="K1871" s="1">
        <f ca="1">IFERROR(__xludf.DUMMYFUNCTION("""COMPUTED_VALUE"""),1)</f>
        <v>1</v>
      </c>
      <c r="L1871" s="1">
        <f ca="1">IFERROR(__xludf.DUMMYFUNCTION("""COMPUTED_VALUE"""),1.49)</f>
        <v>1.49</v>
      </c>
      <c r="T1871" s="1">
        <f ca="1">IFERROR(__xludf.DUMMYFUNCTION("""COMPUTED_VALUE"""),489594)</f>
        <v>489594</v>
      </c>
      <c r="U1871" s="1">
        <f ca="1">IFERROR(__xludf.DUMMYFUNCTION("""COMPUTED_VALUE"""),1.49)</f>
        <v>1.49</v>
      </c>
    </row>
    <row r="1872" spans="1:21" ht="12.75" x14ac:dyDescent="0.2">
      <c r="A1872" s="3">
        <f ca="1">IFERROR(__xludf.DUMMYFUNCTION("""COMPUTED_VALUE"""),40148.5965277777)</f>
        <v>40148.5965277777</v>
      </c>
      <c r="B1872" s="1">
        <f ca="1">IFERROR(__xludf.DUMMYFUNCTION("""COMPUTED_VALUE"""),2.55)</f>
        <v>2.5499999999999998</v>
      </c>
      <c r="J1872" s="1" t="str">
        <f ca="1">IFERROR(__xludf.DUMMYFUNCTION("""COMPUTED_VALUE"""),"BLUE CIRCLES DESIGN MONKEY DOLL")</f>
        <v>BLUE CIRCLES DESIGN MONKEY DOLL</v>
      </c>
      <c r="K1872" s="1">
        <f ca="1">IFERROR(__xludf.DUMMYFUNCTION("""COMPUTED_VALUE"""),1)</f>
        <v>1</v>
      </c>
      <c r="L1872" s="1">
        <f ca="1">IFERROR(__xludf.DUMMYFUNCTION("""COMPUTED_VALUE"""),2.55)</f>
        <v>2.5499999999999998</v>
      </c>
      <c r="T1872" s="1">
        <f ca="1">IFERROR(__xludf.DUMMYFUNCTION("""COMPUTED_VALUE"""),489594)</f>
        <v>489594</v>
      </c>
      <c r="U1872" s="1">
        <f ca="1">IFERROR(__xludf.DUMMYFUNCTION("""COMPUTED_VALUE"""),2.55)</f>
        <v>2.5499999999999998</v>
      </c>
    </row>
    <row r="1873" spans="1:21" ht="12.75" x14ac:dyDescent="0.2">
      <c r="A1873" s="3">
        <f ca="1">IFERROR(__xludf.DUMMYFUNCTION("""COMPUTED_VALUE"""),40148.5965277777)</f>
        <v>40148.5965277777</v>
      </c>
      <c r="B1873" s="1">
        <f ca="1">IFERROR(__xludf.DUMMYFUNCTION("""COMPUTED_VALUE"""),2.55)</f>
        <v>2.5499999999999998</v>
      </c>
      <c r="J1873" s="1" t="str">
        <f ca="1">IFERROR(__xludf.DUMMYFUNCTION("""COMPUTED_VALUE"""),"STRIPES DESIGN MONKEY DOLL")</f>
        <v>STRIPES DESIGN MONKEY DOLL</v>
      </c>
      <c r="K1873" s="1">
        <f ca="1">IFERROR(__xludf.DUMMYFUNCTION("""COMPUTED_VALUE"""),1)</f>
        <v>1</v>
      </c>
      <c r="L1873" s="1">
        <f ca="1">IFERROR(__xludf.DUMMYFUNCTION("""COMPUTED_VALUE"""),2.55)</f>
        <v>2.5499999999999998</v>
      </c>
      <c r="T1873" s="1">
        <f ca="1">IFERROR(__xludf.DUMMYFUNCTION("""COMPUTED_VALUE"""),489594)</f>
        <v>489594</v>
      </c>
      <c r="U1873" s="1">
        <f ca="1">IFERROR(__xludf.DUMMYFUNCTION("""COMPUTED_VALUE"""),2.55)</f>
        <v>2.5499999999999998</v>
      </c>
    </row>
    <row r="1874" spans="1:21" ht="12.75" x14ac:dyDescent="0.2">
      <c r="A1874" s="3">
        <f ca="1">IFERROR(__xludf.DUMMYFUNCTION("""COMPUTED_VALUE"""),40148.5965277777)</f>
        <v>40148.5965277777</v>
      </c>
      <c r="B1874" s="1">
        <f ca="1">IFERROR(__xludf.DUMMYFUNCTION("""COMPUTED_VALUE"""),2.95)</f>
        <v>2.95</v>
      </c>
      <c r="J1874" s="1" t="str">
        <f ca="1">IFERROR(__xludf.DUMMYFUNCTION("""COMPUTED_VALUE"""),"CERAMIC BOWL WITH LOVE HEART DESIGN")</f>
        <v>CERAMIC BOWL WITH LOVE HEART DESIGN</v>
      </c>
      <c r="K1874" s="1">
        <f ca="1">IFERROR(__xludf.DUMMYFUNCTION("""COMPUTED_VALUE"""),1)</f>
        <v>1</v>
      </c>
      <c r="L1874" s="1">
        <f ca="1">IFERROR(__xludf.DUMMYFUNCTION("""COMPUTED_VALUE"""),2.95)</f>
        <v>2.95</v>
      </c>
      <c r="T1874" s="1">
        <f ca="1">IFERROR(__xludf.DUMMYFUNCTION("""COMPUTED_VALUE"""),489594)</f>
        <v>489594</v>
      </c>
      <c r="U1874" s="1">
        <f ca="1">IFERROR(__xludf.DUMMYFUNCTION("""COMPUTED_VALUE"""),2.95)</f>
        <v>2.95</v>
      </c>
    </row>
    <row r="1875" spans="1:21" ht="12.75" x14ac:dyDescent="0.2">
      <c r="A1875" s="3">
        <f ca="1">IFERROR(__xludf.DUMMYFUNCTION("""COMPUTED_VALUE"""),40148.5965277777)</f>
        <v>40148.5965277777</v>
      </c>
      <c r="B1875" s="1">
        <f ca="1">IFERROR(__xludf.DUMMYFUNCTION("""COMPUTED_VALUE"""),2.95)</f>
        <v>2.95</v>
      </c>
      <c r="J1875" s="1" t="str">
        <f ca="1">IFERROR(__xludf.DUMMYFUNCTION("""COMPUTED_VALUE"""),"ART LIGHTS,FUNK MONKEY")</f>
        <v>ART LIGHTS,FUNK MONKEY</v>
      </c>
      <c r="K1875" s="1">
        <f ca="1">IFERROR(__xludf.DUMMYFUNCTION("""COMPUTED_VALUE"""),1)</f>
        <v>1</v>
      </c>
      <c r="L1875" s="1">
        <f ca="1">IFERROR(__xludf.DUMMYFUNCTION("""COMPUTED_VALUE"""),2.95)</f>
        <v>2.95</v>
      </c>
      <c r="T1875" s="1">
        <f ca="1">IFERROR(__xludf.DUMMYFUNCTION("""COMPUTED_VALUE"""),489594)</f>
        <v>489594</v>
      </c>
      <c r="U1875" s="1">
        <f ca="1">IFERROR(__xludf.DUMMYFUNCTION("""COMPUTED_VALUE"""),2.95)</f>
        <v>2.95</v>
      </c>
    </row>
    <row r="1876" spans="1:21" ht="12.75" x14ac:dyDescent="0.2">
      <c r="A1876" s="3">
        <f ca="1">IFERROR(__xludf.DUMMYFUNCTION("""COMPUTED_VALUE"""),40148.5965277777)</f>
        <v>40148.5965277777</v>
      </c>
      <c r="B1876" s="1">
        <f ca="1">IFERROR(__xludf.DUMMYFUNCTION("""COMPUTED_VALUE"""),10.75)</f>
        <v>10.75</v>
      </c>
      <c r="J1876" s="1" t="str">
        <f ca="1">IFERROR(__xludf.DUMMYFUNCTION("""COMPUTED_VALUE"""),"TEA TIME CAKE STAND IN GIFT BOX")</f>
        <v>TEA TIME CAKE STAND IN GIFT BOX</v>
      </c>
      <c r="K1876" s="1">
        <f ca="1">IFERROR(__xludf.DUMMYFUNCTION("""COMPUTED_VALUE"""),1)</f>
        <v>1</v>
      </c>
      <c r="L1876" s="1">
        <f ca="1">IFERROR(__xludf.DUMMYFUNCTION("""COMPUTED_VALUE"""),10.75)</f>
        <v>10.75</v>
      </c>
      <c r="T1876" s="1">
        <f ca="1">IFERROR(__xludf.DUMMYFUNCTION("""COMPUTED_VALUE"""),489594)</f>
        <v>489594</v>
      </c>
      <c r="U1876" s="1">
        <f ca="1">IFERROR(__xludf.DUMMYFUNCTION("""COMPUTED_VALUE"""),10.75)</f>
        <v>10.75</v>
      </c>
    </row>
    <row r="1877" spans="1:21" ht="12.75" x14ac:dyDescent="0.2">
      <c r="A1877" s="3">
        <f ca="1">IFERROR(__xludf.DUMMYFUNCTION("""COMPUTED_VALUE"""),40148.5965277777)</f>
        <v>40148.5965277777</v>
      </c>
      <c r="B1877" s="1">
        <f ca="1">IFERROR(__xludf.DUMMYFUNCTION("""COMPUTED_VALUE"""),2.95)</f>
        <v>2.95</v>
      </c>
      <c r="J1877" s="1" t="str">
        <f ca="1">IFERROR(__xludf.DUMMYFUNCTION("""COMPUTED_VALUE"""),"CERAMIC CAKE BOWL + HANGING CAKES")</f>
        <v>CERAMIC CAKE BOWL + HANGING CAKES</v>
      </c>
      <c r="K1877" s="1">
        <f ca="1">IFERROR(__xludf.DUMMYFUNCTION("""COMPUTED_VALUE"""),1)</f>
        <v>1</v>
      </c>
      <c r="L1877" s="1">
        <f ca="1">IFERROR(__xludf.DUMMYFUNCTION("""COMPUTED_VALUE"""),2.95)</f>
        <v>2.95</v>
      </c>
      <c r="T1877" s="1">
        <f ca="1">IFERROR(__xludf.DUMMYFUNCTION("""COMPUTED_VALUE"""),489594)</f>
        <v>489594</v>
      </c>
      <c r="U1877" s="1">
        <f ca="1">IFERROR(__xludf.DUMMYFUNCTION("""COMPUTED_VALUE"""),2.95)</f>
        <v>2.95</v>
      </c>
    </row>
    <row r="1878" spans="1:21" ht="12.75" x14ac:dyDescent="0.2">
      <c r="A1878" s="3">
        <f ca="1">IFERROR(__xludf.DUMMYFUNCTION("""COMPUTED_VALUE"""),40148.5965277777)</f>
        <v>40148.5965277777</v>
      </c>
      <c r="B1878" s="1">
        <f ca="1">IFERROR(__xludf.DUMMYFUNCTION("""COMPUTED_VALUE"""),4.95)</f>
        <v>4.95</v>
      </c>
      <c r="J1878" s="1" t="str">
        <f ca="1">IFERROR(__xludf.DUMMYFUNCTION("""COMPUTED_VALUE"""),"SET 3 RED SPOT TIN TEA,COFFEE,SUGAR")</f>
        <v>SET 3 RED SPOT TIN TEA,COFFEE,SUGAR</v>
      </c>
      <c r="K1878" s="1">
        <f ca="1">IFERROR(__xludf.DUMMYFUNCTION("""COMPUTED_VALUE"""),1)</f>
        <v>1</v>
      </c>
      <c r="L1878" s="1">
        <f ca="1">IFERROR(__xludf.DUMMYFUNCTION("""COMPUTED_VALUE"""),4.95)</f>
        <v>4.95</v>
      </c>
      <c r="T1878" s="1">
        <f ca="1">IFERROR(__xludf.DUMMYFUNCTION("""COMPUTED_VALUE"""),489594)</f>
        <v>489594</v>
      </c>
      <c r="U1878" s="1">
        <f ca="1">IFERROR(__xludf.DUMMYFUNCTION("""COMPUTED_VALUE"""),4.95)</f>
        <v>4.95</v>
      </c>
    </row>
    <row r="1879" spans="1:21" ht="12.75" x14ac:dyDescent="0.2">
      <c r="A1879" s="3">
        <f ca="1">IFERROR(__xludf.DUMMYFUNCTION("""COMPUTED_VALUE"""),40148.5965277777)</f>
        <v>40148.5965277777</v>
      </c>
      <c r="B1879" s="1">
        <f ca="1">IFERROR(__xludf.DUMMYFUNCTION("""COMPUTED_VALUE"""),2.55)</f>
        <v>2.5499999999999998</v>
      </c>
      <c r="J1879" s="1" t="str">
        <f ca="1">IFERROR(__xludf.DUMMYFUNCTION("""COMPUTED_VALUE"""),"COFFEE MUG CAT + BIRD DESIGN")</f>
        <v>COFFEE MUG CAT + BIRD DESIGN</v>
      </c>
      <c r="K1879" s="1">
        <f ca="1">IFERROR(__xludf.DUMMYFUNCTION("""COMPUTED_VALUE"""),-2)</f>
        <v>-2</v>
      </c>
      <c r="L1879" s="1">
        <f ca="1">IFERROR(__xludf.DUMMYFUNCTION("""COMPUTED_VALUE"""),2.55)</f>
        <v>2.5499999999999998</v>
      </c>
      <c r="T1879" s="1"/>
      <c r="U1879" s="1">
        <f ca="1">IFERROR(__xludf.DUMMYFUNCTION("""COMPUTED_VALUE"""),-5.1)</f>
        <v>-5.0999999999999996</v>
      </c>
    </row>
    <row r="1880" spans="1:21" ht="12.75" x14ac:dyDescent="0.2">
      <c r="A1880" s="3">
        <f ca="1">IFERROR(__xludf.DUMMYFUNCTION("""COMPUTED_VALUE"""),40148.5972222222)</f>
        <v>40148.597222222197</v>
      </c>
      <c r="B1880" s="1">
        <f ca="1">IFERROR(__xludf.DUMMYFUNCTION("""COMPUTED_VALUE"""),14.95)</f>
        <v>14.95</v>
      </c>
      <c r="J1880" s="1" t="str">
        <f ca="1">IFERROR(__xludf.DUMMYFUNCTION("""COMPUTED_VALUE"""),"GLASS CAKE STAND MIRRORED BASE")</f>
        <v>GLASS CAKE STAND MIRRORED BASE</v>
      </c>
      <c r="K1880" s="1">
        <f ca="1">IFERROR(__xludf.DUMMYFUNCTION("""COMPUTED_VALUE"""),-1)</f>
        <v>-1</v>
      </c>
      <c r="L1880" s="1">
        <f ca="1">IFERROR(__xludf.DUMMYFUNCTION("""COMPUTED_VALUE"""),14.95)</f>
        <v>14.95</v>
      </c>
      <c r="T1880" s="1"/>
      <c r="U1880" s="1">
        <f ca="1">IFERROR(__xludf.DUMMYFUNCTION("""COMPUTED_VALUE"""),-14.95)</f>
        <v>-14.95</v>
      </c>
    </row>
    <row r="1881" spans="1:21" ht="12.75" x14ac:dyDescent="0.2">
      <c r="A1881" s="3">
        <f ca="1">IFERROR(__xludf.DUMMYFUNCTION("""COMPUTED_VALUE"""),40148.6020833333)</f>
        <v>40148.602083333302</v>
      </c>
      <c r="B1881" s="1">
        <f ca="1">IFERROR(__xludf.DUMMYFUNCTION("""COMPUTED_VALUE"""),8.5)</f>
        <v>8.5</v>
      </c>
      <c r="J1881" s="1" t="str">
        <f ca="1">IFERROR(__xludf.DUMMYFUNCTION("""COMPUTED_VALUE"""),"WEEKEND BAG VINTAGE ROSE PAISLEY")</f>
        <v>WEEKEND BAG VINTAGE ROSE PAISLEY</v>
      </c>
      <c r="K1881" s="1">
        <f ca="1">IFERROR(__xludf.DUMMYFUNCTION("""COMPUTED_VALUE"""),2)</f>
        <v>2</v>
      </c>
      <c r="L1881" s="1">
        <f ca="1">IFERROR(__xludf.DUMMYFUNCTION("""COMPUTED_VALUE"""),8.5)</f>
        <v>8.5</v>
      </c>
      <c r="T1881" s="1">
        <f ca="1">IFERROR(__xludf.DUMMYFUNCTION("""COMPUTED_VALUE"""),489596)</f>
        <v>489596</v>
      </c>
      <c r="U1881" s="1">
        <f ca="1">IFERROR(__xludf.DUMMYFUNCTION("""COMPUTED_VALUE"""),17)</f>
        <v>17</v>
      </c>
    </row>
    <row r="1882" spans="1:21" ht="12.75" x14ac:dyDescent="0.2">
      <c r="A1882" s="3">
        <f ca="1">IFERROR(__xludf.DUMMYFUNCTION("""COMPUTED_VALUE"""),40148.6027777777)</f>
        <v>40148.602777777698</v>
      </c>
      <c r="B1882" s="1">
        <f ca="1">IFERROR(__xludf.DUMMYFUNCTION("""COMPUTED_VALUE"""),1.3)</f>
        <v>1.3</v>
      </c>
      <c r="J1882" s="1" t="str">
        <f ca="1">IFERROR(__xludf.DUMMYFUNCTION("""COMPUTED_VALUE"""),"PACK OF 72 RETRO SPOT CAKE CASES")</f>
        <v>PACK OF 72 RETRO SPOT CAKE CASES</v>
      </c>
      <c r="K1882" s="1">
        <f ca="1">IFERROR(__xludf.DUMMYFUNCTION("""COMPUTED_VALUE"""),18)</f>
        <v>18</v>
      </c>
      <c r="L1882" s="1">
        <f ca="1">IFERROR(__xludf.DUMMYFUNCTION("""COMPUTED_VALUE"""),1.3)</f>
        <v>1.3</v>
      </c>
      <c r="T1882" s="1">
        <f ca="1">IFERROR(__xludf.DUMMYFUNCTION("""COMPUTED_VALUE"""),489597)</f>
        <v>489597</v>
      </c>
      <c r="U1882" s="1">
        <f ca="1">IFERROR(__xludf.DUMMYFUNCTION("""COMPUTED_VALUE"""),23.4)</f>
        <v>23.4</v>
      </c>
    </row>
    <row r="1883" spans="1:21" ht="12.75" x14ac:dyDescent="0.2">
      <c r="A1883" s="3">
        <f ca="1">IFERROR(__xludf.DUMMYFUNCTION("""COMPUTED_VALUE"""),40148.6027777777)</f>
        <v>40148.602777777698</v>
      </c>
      <c r="B1883" s="1">
        <f ca="1">IFERROR(__xludf.DUMMYFUNCTION("""COMPUTED_VALUE"""),2.57)</f>
        <v>2.57</v>
      </c>
      <c r="J1883" s="1" t="str">
        <f ca="1">IFERROR(__xludf.DUMMYFUNCTION("""COMPUTED_VALUE"""),"CHRISTMAS TOILET ROLL")</f>
        <v>CHRISTMAS TOILET ROLL</v>
      </c>
      <c r="K1883" s="1">
        <f ca="1">IFERROR(__xludf.DUMMYFUNCTION("""COMPUTED_VALUE"""),14)</f>
        <v>14</v>
      </c>
      <c r="L1883" s="1">
        <f ca="1">IFERROR(__xludf.DUMMYFUNCTION("""COMPUTED_VALUE"""),2.57)</f>
        <v>2.57</v>
      </c>
      <c r="T1883" s="1">
        <f ca="1">IFERROR(__xludf.DUMMYFUNCTION("""COMPUTED_VALUE"""),489597)</f>
        <v>489597</v>
      </c>
      <c r="U1883" s="1">
        <f ca="1">IFERROR(__xludf.DUMMYFUNCTION("""COMPUTED_VALUE"""),35.98)</f>
        <v>35.979999999999997</v>
      </c>
    </row>
    <row r="1884" spans="1:21" ht="12.75" x14ac:dyDescent="0.2">
      <c r="A1884" s="3">
        <f ca="1">IFERROR(__xludf.DUMMYFUNCTION("""COMPUTED_VALUE"""),40148.6027777777)</f>
        <v>40148.602777777698</v>
      </c>
      <c r="B1884" s="1">
        <f ca="1">IFERROR(__xludf.DUMMYFUNCTION("""COMPUTED_VALUE"""),2.57)</f>
        <v>2.57</v>
      </c>
      <c r="J1884" s="1" t="str">
        <f ca="1">IFERROR(__xludf.DUMMYFUNCTION("""COMPUTED_VALUE"""),"SWEETHEART CERAMIC TRINKET BOX")</f>
        <v>SWEETHEART CERAMIC TRINKET BOX</v>
      </c>
      <c r="K1884" s="1">
        <f ca="1">IFERROR(__xludf.DUMMYFUNCTION("""COMPUTED_VALUE"""),13)</f>
        <v>13</v>
      </c>
      <c r="L1884" s="1">
        <f ca="1">IFERROR(__xludf.DUMMYFUNCTION("""COMPUTED_VALUE"""),2.57)</f>
        <v>2.57</v>
      </c>
      <c r="T1884" s="1">
        <f ca="1">IFERROR(__xludf.DUMMYFUNCTION("""COMPUTED_VALUE"""),489597)</f>
        <v>489597</v>
      </c>
      <c r="U1884" s="1">
        <f ca="1">IFERROR(__xludf.DUMMYFUNCTION("""COMPUTED_VALUE"""),33.41)</f>
        <v>33.409999999999997</v>
      </c>
    </row>
    <row r="1885" spans="1:21" ht="12.75" x14ac:dyDescent="0.2">
      <c r="A1885" s="3">
        <f ca="1">IFERROR(__xludf.DUMMYFUNCTION("""COMPUTED_VALUE"""),40148.6027777777)</f>
        <v>40148.602777777698</v>
      </c>
      <c r="B1885" s="1">
        <f ca="1">IFERROR(__xludf.DUMMYFUNCTION("""COMPUTED_VALUE"""),2.57)</f>
        <v>2.57</v>
      </c>
      <c r="J1885" s="1" t="str">
        <f ca="1">IFERROR(__xludf.DUMMYFUNCTION("""COMPUTED_VALUE"""),"STRAWBERRY CERAMIC TRINKET BOX")</f>
        <v>STRAWBERRY CERAMIC TRINKET BOX</v>
      </c>
      <c r="K1885" s="1">
        <f ca="1">IFERROR(__xludf.DUMMYFUNCTION("""COMPUTED_VALUE"""),12)</f>
        <v>12</v>
      </c>
      <c r="L1885" s="1">
        <f ca="1">IFERROR(__xludf.DUMMYFUNCTION("""COMPUTED_VALUE"""),2.57)</f>
        <v>2.57</v>
      </c>
      <c r="T1885" s="1">
        <f ca="1">IFERROR(__xludf.DUMMYFUNCTION("""COMPUTED_VALUE"""),489597)</f>
        <v>489597</v>
      </c>
      <c r="U1885" s="1">
        <f ca="1">IFERROR(__xludf.DUMMYFUNCTION("""COMPUTED_VALUE"""),30.8399999999999)</f>
        <v>30.8399999999999</v>
      </c>
    </row>
    <row r="1886" spans="1:21" ht="12.75" x14ac:dyDescent="0.2">
      <c r="A1886" s="3">
        <f ca="1">IFERROR(__xludf.DUMMYFUNCTION("""COMPUTED_VALUE"""),40148.6027777777)</f>
        <v>40148.602777777698</v>
      </c>
      <c r="B1886" s="1">
        <f ca="1">IFERROR(__xludf.DUMMYFUNCTION("""COMPUTED_VALUE"""),3.43)</f>
        <v>3.43</v>
      </c>
      <c r="J1886" s="1" t="str">
        <f ca="1">IFERROR(__xludf.DUMMYFUNCTION("""COMPUTED_VALUE"""),"RED SPOTTY EGG CUP")</f>
        <v>RED SPOTTY EGG CUP</v>
      </c>
      <c r="K1886" s="1">
        <f ca="1">IFERROR(__xludf.DUMMYFUNCTION("""COMPUTED_VALUE"""),7)</f>
        <v>7</v>
      </c>
      <c r="L1886" s="1">
        <f ca="1">IFERROR(__xludf.DUMMYFUNCTION("""COMPUTED_VALUE"""),3.43)</f>
        <v>3.43</v>
      </c>
      <c r="T1886" s="1">
        <f ca="1">IFERROR(__xludf.DUMMYFUNCTION("""COMPUTED_VALUE"""),489597)</f>
        <v>489597</v>
      </c>
      <c r="U1886" s="1">
        <f ca="1">IFERROR(__xludf.DUMMYFUNCTION("""COMPUTED_VALUE"""),24.01)</f>
        <v>24.01</v>
      </c>
    </row>
    <row r="1887" spans="1:21" ht="12.75" x14ac:dyDescent="0.2">
      <c r="A1887" s="3">
        <f ca="1">IFERROR(__xludf.DUMMYFUNCTION("""COMPUTED_VALUE"""),40148.6027777777)</f>
        <v>40148.602777777698</v>
      </c>
      <c r="B1887" s="1">
        <f ca="1">IFERROR(__xludf.DUMMYFUNCTION("""COMPUTED_VALUE"""),4.3)</f>
        <v>4.3</v>
      </c>
      <c r="J1887" s="1" t="str">
        <f ca="1">IFERROR(__xludf.DUMMYFUNCTION("""COMPUTED_VALUE"""),"JUMBO BAG WOODLAND ANIMALS")</f>
        <v>JUMBO BAG WOODLAND ANIMALS</v>
      </c>
      <c r="K1887" s="1">
        <f ca="1">IFERROR(__xludf.DUMMYFUNCTION("""COMPUTED_VALUE"""),6)</f>
        <v>6</v>
      </c>
      <c r="L1887" s="1">
        <f ca="1">IFERROR(__xludf.DUMMYFUNCTION("""COMPUTED_VALUE"""),4.3)</f>
        <v>4.3</v>
      </c>
      <c r="T1887" s="1">
        <f ca="1">IFERROR(__xludf.DUMMYFUNCTION("""COMPUTED_VALUE"""),489597)</f>
        <v>489597</v>
      </c>
      <c r="U1887" s="1">
        <f ca="1">IFERROR(__xludf.DUMMYFUNCTION("""COMPUTED_VALUE"""),25.7999999999999)</f>
        <v>25.799999999999901</v>
      </c>
    </row>
    <row r="1888" spans="1:21" ht="12.75" x14ac:dyDescent="0.2">
      <c r="A1888" s="3">
        <f ca="1">IFERROR(__xludf.DUMMYFUNCTION("""COMPUTED_VALUE"""),40148.6027777777)</f>
        <v>40148.602777777698</v>
      </c>
      <c r="B1888" s="1">
        <f ca="1">IFERROR(__xludf.DUMMYFUNCTION("""COMPUTED_VALUE"""),3.43)</f>
        <v>3.43</v>
      </c>
      <c r="J1888" s="1" t="str">
        <f ca="1">IFERROR(__xludf.DUMMYFUNCTION("""COMPUTED_VALUE"""),"RED SPOTTY PLATE")</f>
        <v>RED SPOTTY PLATE</v>
      </c>
      <c r="K1888" s="1">
        <f ca="1">IFERROR(__xludf.DUMMYFUNCTION("""COMPUTED_VALUE"""),6)</f>
        <v>6</v>
      </c>
      <c r="L1888" s="1">
        <f ca="1">IFERROR(__xludf.DUMMYFUNCTION("""COMPUTED_VALUE"""),3.43)</f>
        <v>3.43</v>
      </c>
      <c r="T1888" s="1">
        <f ca="1">IFERROR(__xludf.DUMMYFUNCTION("""COMPUTED_VALUE"""),489597)</f>
        <v>489597</v>
      </c>
      <c r="U1888" s="1">
        <f ca="1">IFERROR(__xludf.DUMMYFUNCTION("""COMPUTED_VALUE"""),20.58)</f>
        <v>20.58</v>
      </c>
    </row>
    <row r="1889" spans="1:21" ht="12.75" x14ac:dyDescent="0.2">
      <c r="A1889" s="3">
        <f ca="1">IFERROR(__xludf.DUMMYFUNCTION("""COMPUTED_VALUE"""),40148.6027777777)</f>
        <v>40148.602777777698</v>
      </c>
      <c r="B1889" s="1">
        <f ca="1">IFERROR(__xludf.DUMMYFUNCTION("""COMPUTED_VALUE"""),3.43)</f>
        <v>3.43</v>
      </c>
      <c r="J1889" s="1" t="str">
        <f ca="1">IFERROR(__xludf.DUMMYFUNCTION("""COMPUTED_VALUE"""),"DINOSAURS  WRITING SET")</f>
        <v>DINOSAURS  WRITING SET</v>
      </c>
      <c r="K1889" s="1">
        <f ca="1">IFERROR(__xludf.DUMMYFUNCTION("""COMPUTED_VALUE"""),6)</f>
        <v>6</v>
      </c>
      <c r="L1889" s="1">
        <f ca="1">IFERROR(__xludf.DUMMYFUNCTION("""COMPUTED_VALUE"""),3.43)</f>
        <v>3.43</v>
      </c>
      <c r="T1889" s="1">
        <f ca="1">IFERROR(__xludf.DUMMYFUNCTION("""COMPUTED_VALUE"""),489597)</f>
        <v>489597</v>
      </c>
      <c r="U1889" s="1">
        <f ca="1">IFERROR(__xludf.DUMMYFUNCTION("""COMPUTED_VALUE"""),20.58)</f>
        <v>20.58</v>
      </c>
    </row>
    <row r="1890" spans="1:21" ht="12.75" x14ac:dyDescent="0.2">
      <c r="A1890" s="3">
        <f ca="1">IFERROR(__xludf.DUMMYFUNCTION("""COMPUTED_VALUE"""),40148.6027777777)</f>
        <v>40148.602777777698</v>
      </c>
      <c r="B1890" s="1">
        <f ca="1">IFERROR(__xludf.DUMMYFUNCTION("""COMPUTED_VALUE"""),2.57)</f>
        <v>2.57</v>
      </c>
      <c r="J1890" s="1" t="str">
        <f ca="1">IFERROR(__xludf.DUMMYFUNCTION("""COMPUTED_VALUE"""),"36 PENCILS TUBE WOODLAND")</f>
        <v>36 PENCILS TUBE WOODLAND</v>
      </c>
      <c r="K1890" s="1">
        <f ca="1">IFERROR(__xludf.DUMMYFUNCTION("""COMPUTED_VALUE"""),5)</f>
        <v>5</v>
      </c>
      <c r="L1890" s="1">
        <f ca="1">IFERROR(__xludf.DUMMYFUNCTION("""COMPUTED_VALUE"""),2.57)</f>
        <v>2.57</v>
      </c>
      <c r="T1890" s="1">
        <f ca="1">IFERROR(__xludf.DUMMYFUNCTION("""COMPUTED_VALUE"""),489597)</f>
        <v>489597</v>
      </c>
      <c r="U1890" s="1">
        <f ca="1">IFERROR(__xludf.DUMMYFUNCTION("""COMPUTED_VALUE"""),12.85)</f>
        <v>12.85</v>
      </c>
    </row>
    <row r="1891" spans="1:21" ht="12.75" x14ac:dyDescent="0.2">
      <c r="A1891" s="3">
        <f ca="1">IFERROR(__xludf.DUMMYFUNCTION("""COMPUTED_VALUE"""),40148.6027777777)</f>
        <v>40148.602777777698</v>
      </c>
      <c r="B1891" s="1">
        <f ca="1">IFERROR(__xludf.DUMMYFUNCTION("""COMPUTED_VALUE"""),5.17)</f>
        <v>5.17</v>
      </c>
      <c r="J1891" s="1" t="str">
        <f ca="1">IFERROR(__xludf.DUMMYFUNCTION("""COMPUTED_VALUE"""),"FAIRY CAKE FLANNEL ASSORTED COLOUR")</f>
        <v>FAIRY CAKE FLANNEL ASSORTED COLOUR</v>
      </c>
      <c r="K1891" s="1">
        <f ca="1">IFERROR(__xludf.DUMMYFUNCTION("""COMPUTED_VALUE"""),5)</f>
        <v>5</v>
      </c>
      <c r="L1891" s="1">
        <f ca="1">IFERROR(__xludf.DUMMYFUNCTION("""COMPUTED_VALUE"""),5.17)</f>
        <v>5.17</v>
      </c>
      <c r="T1891" s="1">
        <f ca="1">IFERROR(__xludf.DUMMYFUNCTION("""COMPUTED_VALUE"""),489597)</f>
        <v>489597</v>
      </c>
      <c r="U1891" s="1">
        <f ca="1">IFERROR(__xludf.DUMMYFUNCTION("""COMPUTED_VALUE"""),25.85)</f>
        <v>25.85</v>
      </c>
    </row>
    <row r="1892" spans="1:21" ht="12.75" x14ac:dyDescent="0.2">
      <c r="A1892" s="3">
        <f ca="1">IFERROR(__xludf.DUMMYFUNCTION("""COMPUTED_VALUE"""),40148.6027777777)</f>
        <v>40148.602777777698</v>
      </c>
      <c r="B1892" s="1">
        <f ca="1">IFERROR(__xludf.DUMMYFUNCTION("""COMPUTED_VALUE"""),2.57)</f>
        <v>2.57</v>
      </c>
      <c r="J1892" s="1" t="str">
        <f ca="1">IFERROR(__xludf.DUMMYFUNCTION("""COMPUTED_VALUE"""),"VINTAGE BILLBOARD DRINK ME MUG")</f>
        <v>VINTAGE BILLBOARD DRINK ME MUG</v>
      </c>
      <c r="K1892" s="1">
        <f ca="1">IFERROR(__xludf.DUMMYFUNCTION("""COMPUTED_VALUE"""),4)</f>
        <v>4</v>
      </c>
      <c r="L1892" s="1">
        <f ca="1">IFERROR(__xludf.DUMMYFUNCTION("""COMPUTED_VALUE"""),2.57)</f>
        <v>2.57</v>
      </c>
      <c r="T1892" s="1">
        <f ca="1">IFERROR(__xludf.DUMMYFUNCTION("""COMPUTED_VALUE"""),489597)</f>
        <v>489597</v>
      </c>
      <c r="U1892" s="1">
        <f ca="1">IFERROR(__xludf.DUMMYFUNCTION("""COMPUTED_VALUE"""),10.28)</f>
        <v>10.28</v>
      </c>
    </row>
    <row r="1893" spans="1:21" ht="12.75" x14ac:dyDescent="0.2">
      <c r="A1893" s="3">
        <f ca="1">IFERROR(__xludf.DUMMYFUNCTION("""COMPUTED_VALUE"""),40148.6027777777)</f>
        <v>40148.602777777698</v>
      </c>
      <c r="B1893" s="1">
        <f ca="1">IFERROR(__xludf.DUMMYFUNCTION("""COMPUTED_VALUE"""),4.3)</f>
        <v>4.3</v>
      </c>
      <c r="J1893" s="1" t="str">
        <f ca="1">IFERROR(__xludf.DUMMYFUNCTION("""COMPUTED_VALUE"""),"SMALL GLASS HEART TRINKET POT")</f>
        <v>SMALL GLASS HEART TRINKET POT</v>
      </c>
      <c r="K1893" s="1">
        <f ca="1">IFERROR(__xludf.DUMMYFUNCTION("""COMPUTED_VALUE"""),4)</f>
        <v>4</v>
      </c>
      <c r="L1893" s="1">
        <f ca="1">IFERROR(__xludf.DUMMYFUNCTION("""COMPUTED_VALUE"""),4.3)</f>
        <v>4.3</v>
      </c>
      <c r="T1893" s="1">
        <f ca="1">IFERROR(__xludf.DUMMYFUNCTION("""COMPUTED_VALUE"""),489597)</f>
        <v>489597</v>
      </c>
      <c r="U1893" s="1">
        <f ca="1">IFERROR(__xludf.DUMMYFUNCTION("""COMPUTED_VALUE"""),17.2)</f>
        <v>17.2</v>
      </c>
    </row>
    <row r="1894" spans="1:21" ht="12.75" x14ac:dyDescent="0.2">
      <c r="A1894" s="3">
        <f ca="1">IFERROR(__xludf.DUMMYFUNCTION("""COMPUTED_VALUE"""),40148.6027777777)</f>
        <v>40148.602777777698</v>
      </c>
      <c r="B1894" s="1">
        <f ca="1">IFERROR(__xludf.DUMMYFUNCTION("""COMPUTED_VALUE"""),2.57)</f>
        <v>2.57</v>
      </c>
      <c r="J1894" s="1" t="str">
        <f ca="1">IFERROR(__xludf.DUMMYFUNCTION("""COMPUTED_VALUE"""),"TOAST ITS - DINOSAUR")</f>
        <v>TOAST ITS - DINOSAUR</v>
      </c>
      <c r="K1894" s="1">
        <f ca="1">IFERROR(__xludf.DUMMYFUNCTION("""COMPUTED_VALUE"""),4)</f>
        <v>4</v>
      </c>
      <c r="L1894" s="1">
        <f ca="1">IFERROR(__xludf.DUMMYFUNCTION("""COMPUTED_VALUE"""),2.57)</f>
        <v>2.57</v>
      </c>
      <c r="T1894" s="1">
        <f ca="1">IFERROR(__xludf.DUMMYFUNCTION("""COMPUTED_VALUE"""),489597)</f>
        <v>489597</v>
      </c>
      <c r="U1894" s="1">
        <f ca="1">IFERROR(__xludf.DUMMYFUNCTION("""COMPUTED_VALUE"""),10.28)</f>
        <v>10.28</v>
      </c>
    </row>
    <row r="1895" spans="1:21" ht="12.75" x14ac:dyDescent="0.2">
      <c r="A1895" s="3">
        <f ca="1">IFERROR(__xludf.DUMMYFUNCTION("""COMPUTED_VALUE"""),40148.6027777777)</f>
        <v>40148.602777777698</v>
      </c>
      <c r="B1895" s="1">
        <f ca="1">IFERROR(__xludf.DUMMYFUNCTION("""COMPUTED_VALUE"""),1.7)</f>
        <v>1.7</v>
      </c>
      <c r="J1895" s="1" t="str">
        <f ca="1">IFERROR(__xludf.DUMMYFUNCTION("""COMPUTED_VALUE"""),"RED SPOTTY CHARLOTTE BAG")</f>
        <v>RED SPOTTY CHARLOTTE BAG</v>
      </c>
      <c r="K1895" s="1">
        <f ca="1">IFERROR(__xludf.DUMMYFUNCTION("""COMPUTED_VALUE"""),3)</f>
        <v>3</v>
      </c>
      <c r="L1895" s="1">
        <f ca="1">IFERROR(__xludf.DUMMYFUNCTION("""COMPUTED_VALUE"""),1.7)</f>
        <v>1.7</v>
      </c>
      <c r="T1895" s="1">
        <f ca="1">IFERROR(__xludf.DUMMYFUNCTION("""COMPUTED_VALUE"""),489597)</f>
        <v>489597</v>
      </c>
      <c r="U1895" s="1">
        <f ca="1">IFERROR(__xludf.DUMMYFUNCTION("""COMPUTED_VALUE"""),5.1)</f>
        <v>5.0999999999999996</v>
      </c>
    </row>
    <row r="1896" spans="1:21" ht="12.75" x14ac:dyDescent="0.2">
      <c r="A1896" s="3">
        <f ca="1">IFERROR(__xludf.DUMMYFUNCTION("""COMPUTED_VALUE"""),40148.6027777777)</f>
        <v>40148.602777777698</v>
      </c>
      <c r="B1896" s="1">
        <f ca="1">IFERROR(__xludf.DUMMYFUNCTION("""COMPUTED_VALUE"""),4.3)</f>
        <v>4.3</v>
      </c>
      <c r="J1896" s="1" t="str">
        <f ca="1">IFERROR(__xludf.DUMMYFUNCTION("""COMPUTED_VALUE"""),"RETRO BLUE SPOTTY WASHING UP GLOVES")</f>
        <v>RETRO BLUE SPOTTY WASHING UP GLOVES</v>
      </c>
      <c r="K1896" s="1">
        <f ca="1">IFERROR(__xludf.DUMMYFUNCTION("""COMPUTED_VALUE"""),3)</f>
        <v>3</v>
      </c>
      <c r="L1896" s="1">
        <f ca="1">IFERROR(__xludf.DUMMYFUNCTION("""COMPUTED_VALUE"""),4.3)</f>
        <v>4.3</v>
      </c>
      <c r="T1896" s="1">
        <f ca="1">IFERROR(__xludf.DUMMYFUNCTION("""COMPUTED_VALUE"""),489597)</f>
        <v>489597</v>
      </c>
      <c r="U1896" s="1">
        <f ca="1">IFERROR(__xludf.DUMMYFUNCTION("""COMPUTED_VALUE"""),12.8999999999999)</f>
        <v>12.899999999999901</v>
      </c>
    </row>
    <row r="1897" spans="1:21" ht="12.75" x14ac:dyDescent="0.2">
      <c r="A1897" s="3">
        <f ca="1">IFERROR(__xludf.DUMMYFUNCTION("""COMPUTED_VALUE"""),40148.6027777777)</f>
        <v>40148.602777777698</v>
      </c>
      <c r="B1897" s="1">
        <f ca="1">IFERROR(__xludf.DUMMYFUNCTION("""COMPUTED_VALUE"""),4.3)</f>
        <v>4.3</v>
      </c>
      <c r="J1897" s="1" t="str">
        <f ca="1">IFERROR(__xludf.DUMMYFUNCTION("""COMPUTED_VALUE"""),"CLEAR MILKSHAKE GLASS")</f>
        <v>CLEAR MILKSHAKE GLASS</v>
      </c>
      <c r="K1897" s="1">
        <f ca="1">IFERROR(__xludf.DUMMYFUNCTION("""COMPUTED_VALUE"""),3)</f>
        <v>3</v>
      </c>
      <c r="L1897" s="1">
        <f ca="1">IFERROR(__xludf.DUMMYFUNCTION("""COMPUTED_VALUE"""),4.3)</f>
        <v>4.3</v>
      </c>
      <c r="T1897" s="1">
        <f ca="1">IFERROR(__xludf.DUMMYFUNCTION("""COMPUTED_VALUE"""),489597)</f>
        <v>489597</v>
      </c>
      <c r="U1897" s="1">
        <f ca="1">IFERROR(__xludf.DUMMYFUNCTION("""COMPUTED_VALUE"""),12.8999999999999)</f>
        <v>12.899999999999901</v>
      </c>
    </row>
    <row r="1898" spans="1:21" ht="12.75" x14ac:dyDescent="0.2">
      <c r="A1898" s="3">
        <f ca="1">IFERROR(__xludf.DUMMYFUNCTION("""COMPUTED_VALUE"""),40148.6027777777)</f>
        <v>40148.602777777698</v>
      </c>
      <c r="B1898" s="1">
        <f ca="1">IFERROR(__xludf.DUMMYFUNCTION("""COMPUTED_VALUE"""),4.3)</f>
        <v>4.3</v>
      </c>
      <c r="J1898" s="1" t="str">
        <f ca="1">IFERROR(__xludf.DUMMYFUNCTION("""COMPUTED_VALUE"""),"PINK MILKSHAKE GLASS")</f>
        <v>PINK MILKSHAKE GLASS</v>
      </c>
      <c r="K1898" s="1">
        <f ca="1">IFERROR(__xludf.DUMMYFUNCTION("""COMPUTED_VALUE"""),3)</f>
        <v>3</v>
      </c>
      <c r="L1898" s="1">
        <f ca="1">IFERROR(__xludf.DUMMYFUNCTION("""COMPUTED_VALUE"""),4.3)</f>
        <v>4.3</v>
      </c>
      <c r="T1898" s="1">
        <f ca="1">IFERROR(__xludf.DUMMYFUNCTION("""COMPUTED_VALUE"""),489597)</f>
        <v>489597</v>
      </c>
      <c r="U1898" s="1">
        <f ca="1">IFERROR(__xludf.DUMMYFUNCTION("""COMPUTED_VALUE"""),12.8999999999999)</f>
        <v>12.899999999999901</v>
      </c>
    </row>
    <row r="1899" spans="1:21" ht="12.75" x14ac:dyDescent="0.2">
      <c r="A1899" s="3">
        <f ca="1">IFERROR(__xludf.DUMMYFUNCTION("""COMPUTED_VALUE"""),40148.6027777777)</f>
        <v>40148.602777777698</v>
      </c>
      <c r="B1899" s="1">
        <f ca="1">IFERROR(__xludf.DUMMYFUNCTION("""COMPUTED_VALUE"""),2.57)</f>
        <v>2.57</v>
      </c>
      <c r="J1899" s="1" t="str">
        <f ca="1">IFERROR(__xludf.DUMMYFUNCTION("""COMPUTED_VALUE"""),"SANDWICH BATH SPONGE")</f>
        <v>SANDWICH BATH SPONGE</v>
      </c>
      <c r="K1899" s="1">
        <f ca="1">IFERROR(__xludf.DUMMYFUNCTION("""COMPUTED_VALUE"""),3)</f>
        <v>3</v>
      </c>
      <c r="L1899" s="1">
        <f ca="1">IFERROR(__xludf.DUMMYFUNCTION("""COMPUTED_VALUE"""),2.57)</f>
        <v>2.57</v>
      </c>
      <c r="T1899" s="1">
        <f ca="1">IFERROR(__xludf.DUMMYFUNCTION("""COMPUTED_VALUE"""),489597)</f>
        <v>489597</v>
      </c>
      <c r="U1899" s="1">
        <f ca="1">IFERROR(__xludf.DUMMYFUNCTION("""COMPUTED_VALUE"""),7.70999999999999)</f>
        <v>7.7099999999999902</v>
      </c>
    </row>
    <row r="1900" spans="1:21" ht="12.75" x14ac:dyDescent="0.2">
      <c r="A1900" s="3">
        <f ca="1">IFERROR(__xludf.DUMMYFUNCTION("""COMPUTED_VALUE"""),40148.6027777777)</f>
        <v>40148.602777777698</v>
      </c>
      <c r="B1900" s="1">
        <f ca="1">IFERROR(__xludf.DUMMYFUNCTION("""COMPUTED_VALUE"""),2.57)</f>
        <v>2.57</v>
      </c>
      <c r="J1900" s="1" t="str">
        <f ca="1">IFERROR(__xludf.DUMMYFUNCTION("""COMPUTED_VALUE"""),"36 PENCILS TUBE RED SPOTTY")</f>
        <v>36 PENCILS TUBE RED SPOTTY</v>
      </c>
      <c r="K1900" s="1">
        <f ca="1">IFERROR(__xludf.DUMMYFUNCTION("""COMPUTED_VALUE"""),3)</f>
        <v>3</v>
      </c>
      <c r="L1900" s="1">
        <f ca="1">IFERROR(__xludf.DUMMYFUNCTION("""COMPUTED_VALUE"""),2.57)</f>
        <v>2.57</v>
      </c>
      <c r="T1900" s="1">
        <f ca="1">IFERROR(__xludf.DUMMYFUNCTION("""COMPUTED_VALUE"""),489597)</f>
        <v>489597</v>
      </c>
      <c r="U1900" s="1">
        <f ca="1">IFERROR(__xludf.DUMMYFUNCTION("""COMPUTED_VALUE"""),7.70999999999999)</f>
        <v>7.7099999999999902</v>
      </c>
    </row>
    <row r="1901" spans="1:21" ht="12.75" x14ac:dyDescent="0.2">
      <c r="A1901" s="3">
        <f ca="1">IFERROR(__xludf.DUMMYFUNCTION("""COMPUTED_VALUE"""),40148.6027777777)</f>
        <v>40148.602777777698</v>
      </c>
      <c r="B1901" s="1">
        <f ca="1">IFERROR(__xludf.DUMMYFUNCTION("""COMPUTED_VALUE"""),1.7)</f>
        <v>1.7</v>
      </c>
      <c r="J1901" s="1" t="str">
        <f ca="1">IFERROR(__xludf.DUMMYFUNCTION("""COMPUTED_VALUE"""),"12 PENCILS TALL TUBE WOODLAND")</f>
        <v>12 PENCILS TALL TUBE WOODLAND</v>
      </c>
      <c r="K1901" s="1">
        <f ca="1">IFERROR(__xludf.DUMMYFUNCTION("""COMPUTED_VALUE"""),3)</f>
        <v>3</v>
      </c>
      <c r="L1901" s="1">
        <f ca="1">IFERROR(__xludf.DUMMYFUNCTION("""COMPUTED_VALUE"""),1.7)</f>
        <v>1.7</v>
      </c>
      <c r="T1901" s="1">
        <f ca="1">IFERROR(__xludf.DUMMYFUNCTION("""COMPUTED_VALUE"""),489597)</f>
        <v>489597</v>
      </c>
      <c r="U1901" s="1">
        <f ca="1">IFERROR(__xludf.DUMMYFUNCTION("""COMPUTED_VALUE"""),5.1)</f>
        <v>5.0999999999999996</v>
      </c>
    </row>
    <row r="1902" spans="1:21" ht="12.75" x14ac:dyDescent="0.2">
      <c r="A1902" s="3">
        <f ca="1">IFERROR(__xludf.DUMMYFUNCTION("""COMPUTED_VALUE"""),40148.6027777777)</f>
        <v>40148.602777777698</v>
      </c>
      <c r="B1902" s="1">
        <f ca="1">IFERROR(__xludf.DUMMYFUNCTION("""COMPUTED_VALUE"""),1.7)</f>
        <v>1.7</v>
      </c>
      <c r="J1902" s="1" t="str">
        <f ca="1">IFERROR(__xludf.DUMMYFUNCTION("""COMPUTED_VALUE"""),"PARTY INVITES WOODLAND")</f>
        <v>PARTY INVITES WOODLAND</v>
      </c>
      <c r="K1902" s="1">
        <f ca="1">IFERROR(__xludf.DUMMYFUNCTION("""COMPUTED_VALUE"""),3)</f>
        <v>3</v>
      </c>
      <c r="L1902" s="1">
        <f ca="1">IFERROR(__xludf.DUMMYFUNCTION("""COMPUTED_VALUE"""),1.7)</f>
        <v>1.7</v>
      </c>
      <c r="T1902" s="1">
        <f ca="1">IFERROR(__xludf.DUMMYFUNCTION("""COMPUTED_VALUE"""),489597)</f>
        <v>489597</v>
      </c>
      <c r="U1902" s="1">
        <f ca="1">IFERROR(__xludf.DUMMYFUNCTION("""COMPUTED_VALUE"""),5.1)</f>
        <v>5.0999999999999996</v>
      </c>
    </row>
    <row r="1903" spans="1:21" ht="12.75" x14ac:dyDescent="0.2">
      <c r="A1903" s="3">
        <f ca="1">IFERROR(__xludf.DUMMYFUNCTION("""COMPUTED_VALUE"""),40148.6027777777)</f>
        <v>40148.602777777698</v>
      </c>
      <c r="B1903" s="1">
        <f ca="1">IFERROR(__xludf.DUMMYFUNCTION("""COMPUTED_VALUE"""),8.65)</f>
        <v>8.65</v>
      </c>
      <c r="J1903" s="1" t="str">
        <f ca="1">IFERROR(__xludf.DUMMYFUNCTION("""COMPUTED_VALUE"""),"OWL DOORSTOP")</f>
        <v>OWL DOORSTOP</v>
      </c>
      <c r="K1903" s="1">
        <f ca="1">IFERROR(__xludf.DUMMYFUNCTION("""COMPUTED_VALUE"""),3)</f>
        <v>3</v>
      </c>
      <c r="L1903" s="1">
        <f ca="1">IFERROR(__xludf.DUMMYFUNCTION("""COMPUTED_VALUE"""),8.65)</f>
        <v>8.65</v>
      </c>
      <c r="T1903" s="1">
        <f ca="1">IFERROR(__xludf.DUMMYFUNCTION("""COMPUTED_VALUE"""),489597)</f>
        <v>489597</v>
      </c>
      <c r="U1903" s="1">
        <f ca="1">IFERROR(__xludf.DUMMYFUNCTION("""COMPUTED_VALUE"""),25.95)</f>
        <v>25.95</v>
      </c>
    </row>
    <row r="1904" spans="1:21" ht="12.75" x14ac:dyDescent="0.2">
      <c r="A1904" s="3">
        <f ca="1">IFERROR(__xludf.DUMMYFUNCTION("""COMPUTED_VALUE"""),40148.6027777777)</f>
        <v>40148.602777777698</v>
      </c>
      <c r="B1904" s="1">
        <f ca="1">IFERROR(__xludf.DUMMYFUNCTION("""COMPUTED_VALUE"""),4.3)</f>
        <v>4.3</v>
      </c>
      <c r="J1904" s="1" t="str">
        <f ca="1">IFERROR(__xludf.DUMMYFUNCTION("""COMPUTED_VALUE"""),"POTTERING IN THE SHED METAL SIGN")</f>
        <v>POTTERING IN THE SHED METAL SIGN</v>
      </c>
      <c r="K1904" s="1">
        <f ca="1">IFERROR(__xludf.DUMMYFUNCTION("""COMPUTED_VALUE"""),3)</f>
        <v>3</v>
      </c>
      <c r="L1904" s="1">
        <f ca="1">IFERROR(__xludf.DUMMYFUNCTION("""COMPUTED_VALUE"""),4.3)</f>
        <v>4.3</v>
      </c>
      <c r="T1904" s="1">
        <f ca="1">IFERROR(__xludf.DUMMYFUNCTION("""COMPUTED_VALUE"""),489597)</f>
        <v>489597</v>
      </c>
      <c r="U1904" s="1">
        <f ca="1">IFERROR(__xludf.DUMMYFUNCTION("""COMPUTED_VALUE"""),12.8999999999999)</f>
        <v>12.899999999999901</v>
      </c>
    </row>
    <row r="1905" spans="1:21" ht="12.75" x14ac:dyDescent="0.2">
      <c r="A1905" s="3">
        <f ca="1">IFERROR(__xludf.DUMMYFUNCTION("""COMPUTED_VALUE"""),40148.6027777777)</f>
        <v>40148.602777777698</v>
      </c>
      <c r="B1905" s="1">
        <f ca="1">IFERROR(__xludf.DUMMYFUNCTION("""COMPUTED_VALUE"""),4.3)</f>
        <v>4.3</v>
      </c>
      <c r="J1905" s="1" t="str">
        <f ca="1">IFERROR(__xludf.DUMMYFUNCTION("""COMPUTED_VALUE"""),"LARGE WHITE HONEYCOMB PAPER BELL")</f>
        <v>LARGE WHITE HONEYCOMB PAPER BELL</v>
      </c>
      <c r="K1905" s="1">
        <f ca="1">IFERROR(__xludf.DUMMYFUNCTION("""COMPUTED_VALUE"""),3)</f>
        <v>3</v>
      </c>
      <c r="L1905" s="1">
        <f ca="1">IFERROR(__xludf.DUMMYFUNCTION("""COMPUTED_VALUE"""),4.3)</f>
        <v>4.3</v>
      </c>
      <c r="T1905" s="1">
        <f ca="1">IFERROR(__xludf.DUMMYFUNCTION("""COMPUTED_VALUE"""),489597)</f>
        <v>489597</v>
      </c>
      <c r="U1905" s="1">
        <f ca="1">IFERROR(__xludf.DUMMYFUNCTION("""COMPUTED_VALUE"""),12.8999999999999)</f>
        <v>12.899999999999901</v>
      </c>
    </row>
    <row r="1906" spans="1:21" ht="12.75" x14ac:dyDescent="0.2">
      <c r="A1906" s="3">
        <f ca="1">IFERROR(__xludf.DUMMYFUNCTION("""COMPUTED_VALUE"""),40148.6027777777)</f>
        <v>40148.602777777698</v>
      </c>
      <c r="B1906" s="1">
        <f ca="1">IFERROR(__xludf.DUMMYFUNCTION("""COMPUTED_VALUE"""),3.04)</f>
        <v>3.04</v>
      </c>
      <c r="J1906" s="1" t="str">
        <f ca="1">IFERROR(__xludf.DUMMYFUNCTION("""COMPUTED_VALUE"""),"SET OF 72 RETRO SPOT PAPER  DOILIES")</f>
        <v>SET OF 72 RETRO SPOT PAPER  DOILIES</v>
      </c>
      <c r="K1906" s="1">
        <f ca="1">IFERROR(__xludf.DUMMYFUNCTION("""COMPUTED_VALUE"""),3)</f>
        <v>3</v>
      </c>
      <c r="L1906" s="1">
        <f ca="1">IFERROR(__xludf.DUMMYFUNCTION("""COMPUTED_VALUE"""),3.04)</f>
        <v>3.04</v>
      </c>
      <c r="T1906" s="1">
        <f ca="1">IFERROR(__xludf.DUMMYFUNCTION("""COMPUTED_VALUE"""),489597)</f>
        <v>489597</v>
      </c>
      <c r="U1906" s="1">
        <f ca="1">IFERROR(__xludf.DUMMYFUNCTION("""COMPUTED_VALUE"""),9.12)</f>
        <v>9.1199999999999992</v>
      </c>
    </row>
    <row r="1907" spans="1:21" ht="12.75" x14ac:dyDescent="0.2">
      <c r="A1907" s="3">
        <f ca="1">IFERROR(__xludf.DUMMYFUNCTION("""COMPUTED_VALUE"""),40148.6027777777)</f>
        <v>40148.602777777698</v>
      </c>
      <c r="B1907" s="1">
        <f ca="1">IFERROR(__xludf.DUMMYFUNCTION("""COMPUTED_VALUE"""),1.7)</f>
        <v>1.7</v>
      </c>
      <c r="J1907" s="1" t="str">
        <f ca="1">IFERROR(__xludf.DUMMYFUNCTION("""COMPUTED_VALUE"""),"SMALL SPOTTY CHOCOLATE GIFT BAG")</f>
        <v>SMALL SPOTTY CHOCOLATE GIFT BAG</v>
      </c>
      <c r="K1907" s="1">
        <f ca="1">IFERROR(__xludf.DUMMYFUNCTION("""COMPUTED_VALUE"""),3)</f>
        <v>3</v>
      </c>
      <c r="L1907" s="1">
        <f ca="1">IFERROR(__xludf.DUMMYFUNCTION("""COMPUTED_VALUE"""),1.7)</f>
        <v>1.7</v>
      </c>
      <c r="T1907" s="1">
        <f ca="1">IFERROR(__xludf.DUMMYFUNCTION("""COMPUTED_VALUE"""),489597)</f>
        <v>489597</v>
      </c>
      <c r="U1907" s="1">
        <f ca="1">IFERROR(__xludf.DUMMYFUNCTION("""COMPUTED_VALUE"""),5.1)</f>
        <v>5.0999999999999996</v>
      </c>
    </row>
    <row r="1908" spans="1:21" ht="12.75" x14ac:dyDescent="0.2">
      <c r="A1908" s="3">
        <f ca="1">IFERROR(__xludf.DUMMYFUNCTION("""COMPUTED_VALUE"""),40148.6027777777)</f>
        <v>40148.602777777698</v>
      </c>
      <c r="B1908" s="1">
        <f ca="1">IFERROR(__xludf.DUMMYFUNCTION("""COMPUTED_VALUE"""),2.57)</f>
        <v>2.57</v>
      </c>
      <c r="J1908" s="1" t="str">
        <f ca="1">IFERROR(__xludf.DUMMYFUNCTION("""COMPUTED_VALUE"""),"BLUE SPOTTY BOWL")</f>
        <v>BLUE SPOTTY BOWL</v>
      </c>
      <c r="K1908" s="1">
        <f ca="1">IFERROR(__xludf.DUMMYFUNCTION("""COMPUTED_VALUE"""),2)</f>
        <v>2</v>
      </c>
      <c r="L1908" s="1">
        <f ca="1">IFERROR(__xludf.DUMMYFUNCTION("""COMPUTED_VALUE"""),2.57)</f>
        <v>2.57</v>
      </c>
      <c r="T1908" s="1">
        <f ca="1">IFERROR(__xludf.DUMMYFUNCTION("""COMPUTED_VALUE"""),489597)</f>
        <v>489597</v>
      </c>
      <c r="U1908" s="1">
        <f ca="1">IFERROR(__xludf.DUMMYFUNCTION("""COMPUTED_VALUE"""),5.14)</f>
        <v>5.14</v>
      </c>
    </row>
    <row r="1909" spans="1:21" ht="12.75" x14ac:dyDescent="0.2">
      <c r="A1909" s="3">
        <f ca="1">IFERROR(__xludf.DUMMYFUNCTION("""COMPUTED_VALUE"""),40148.6027777777)</f>
        <v>40148.602777777698</v>
      </c>
      <c r="B1909" s="1">
        <f ca="1">IFERROR(__xludf.DUMMYFUNCTION("""COMPUTED_VALUE"""),2.57)</f>
        <v>2.57</v>
      </c>
      <c r="J1909" s="1" t="str">
        <f ca="1">IFERROR(__xludf.DUMMYFUNCTION("""COMPUTED_VALUE"""),"PINK SPOTTY BOWL")</f>
        <v>PINK SPOTTY BOWL</v>
      </c>
      <c r="K1909" s="1">
        <f ca="1">IFERROR(__xludf.DUMMYFUNCTION("""COMPUTED_VALUE"""),2)</f>
        <v>2</v>
      </c>
      <c r="L1909" s="1">
        <f ca="1">IFERROR(__xludf.DUMMYFUNCTION("""COMPUTED_VALUE"""),2.57)</f>
        <v>2.57</v>
      </c>
      <c r="T1909" s="1">
        <f ca="1">IFERROR(__xludf.DUMMYFUNCTION("""COMPUTED_VALUE"""),489597)</f>
        <v>489597</v>
      </c>
      <c r="U1909" s="1">
        <f ca="1">IFERROR(__xludf.DUMMYFUNCTION("""COMPUTED_VALUE"""),5.14)</f>
        <v>5.14</v>
      </c>
    </row>
    <row r="1910" spans="1:21" ht="12.75" x14ac:dyDescent="0.2">
      <c r="A1910" s="3">
        <f ca="1">IFERROR(__xludf.DUMMYFUNCTION("""COMPUTED_VALUE"""),40148.6027777777)</f>
        <v>40148.602777777698</v>
      </c>
      <c r="B1910" s="1">
        <f ca="1">IFERROR(__xludf.DUMMYFUNCTION("""COMPUTED_VALUE"""),4.3)</f>
        <v>4.3</v>
      </c>
      <c r="J1910" s="1" t="str">
        <f ca="1">IFERROR(__xludf.DUMMYFUNCTION("""COMPUTED_VALUE"""),"RETRO RED SPOTTY WASHING UP GLOVES")</f>
        <v>RETRO RED SPOTTY WASHING UP GLOVES</v>
      </c>
      <c r="K1910" s="1">
        <f ca="1">IFERROR(__xludf.DUMMYFUNCTION("""COMPUTED_VALUE"""),2)</f>
        <v>2</v>
      </c>
      <c r="L1910" s="1">
        <f ca="1">IFERROR(__xludf.DUMMYFUNCTION("""COMPUTED_VALUE"""),4.3)</f>
        <v>4.3</v>
      </c>
      <c r="T1910" s="1">
        <f ca="1">IFERROR(__xludf.DUMMYFUNCTION("""COMPUTED_VALUE"""),489597)</f>
        <v>489597</v>
      </c>
      <c r="U1910" s="1">
        <f ca="1">IFERROR(__xludf.DUMMYFUNCTION("""COMPUTED_VALUE"""),8.6)</f>
        <v>8.6</v>
      </c>
    </row>
    <row r="1911" spans="1:21" ht="12.75" x14ac:dyDescent="0.2">
      <c r="A1911" s="3">
        <f ca="1">IFERROR(__xludf.DUMMYFUNCTION("""COMPUTED_VALUE"""),40148.6027777777)</f>
        <v>40148.602777777698</v>
      </c>
      <c r="B1911" s="1">
        <f ca="1">IFERROR(__xludf.DUMMYFUNCTION("""COMPUTED_VALUE"""),11.26)</f>
        <v>11.26</v>
      </c>
      <c r="J1911" s="1" t="str">
        <f ca="1">IFERROR(__xludf.DUMMYFUNCTION("""COMPUTED_VALUE"""),"CAMOUFLAGE EAR MUFF HEADPHONES")</f>
        <v>CAMOUFLAGE EAR MUFF HEADPHONES</v>
      </c>
      <c r="K1911" s="1">
        <f ca="1">IFERROR(__xludf.DUMMYFUNCTION("""COMPUTED_VALUE"""),2)</f>
        <v>2</v>
      </c>
      <c r="L1911" s="1">
        <f ca="1">IFERROR(__xludf.DUMMYFUNCTION("""COMPUTED_VALUE"""),11.26)</f>
        <v>11.26</v>
      </c>
      <c r="T1911" s="1">
        <f ca="1">IFERROR(__xludf.DUMMYFUNCTION("""COMPUTED_VALUE"""),489597)</f>
        <v>489597</v>
      </c>
      <c r="U1911" s="1">
        <f ca="1">IFERROR(__xludf.DUMMYFUNCTION("""COMPUTED_VALUE"""),22.52)</f>
        <v>22.52</v>
      </c>
    </row>
    <row r="1912" spans="1:21" ht="12.75" x14ac:dyDescent="0.2">
      <c r="A1912" s="3">
        <f ca="1">IFERROR(__xludf.DUMMYFUNCTION("""COMPUTED_VALUE"""),40148.6027777777)</f>
        <v>40148.602777777698</v>
      </c>
      <c r="B1912" s="1">
        <f ca="1">IFERROR(__xludf.DUMMYFUNCTION("""COMPUTED_VALUE"""),4.3)</f>
        <v>4.3</v>
      </c>
      <c r="J1912" s="1" t="str">
        <f ca="1">IFERROR(__xludf.DUMMYFUNCTION("""COMPUTED_VALUE"""),"PATCHWORK PENCIL CASE BUTTERFLY")</f>
        <v>PATCHWORK PENCIL CASE BUTTERFLY</v>
      </c>
      <c r="K1912" s="1">
        <f ca="1">IFERROR(__xludf.DUMMYFUNCTION("""COMPUTED_VALUE"""),2)</f>
        <v>2</v>
      </c>
      <c r="L1912" s="1">
        <f ca="1">IFERROR(__xludf.DUMMYFUNCTION("""COMPUTED_VALUE"""),4.3)</f>
        <v>4.3</v>
      </c>
      <c r="T1912" s="1">
        <f ca="1">IFERROR(__xludf.DUMMYFUNCTION("""COMPUTED_VALUE"""),489597)</f>
        <v>489597</v>
      </c>
      <c r="U1912" s="1">
        <f ca="1">IFERROR(__xludf.DUMMYFUNCTION("""COMPUTED_VALUE"""),8.6)</f>
        <v>8.6</v>
      </c>
    </row>
    <row r="1913" spans="1:21" ht="12.75" x14ac:dyDescent="0.2">
      <c r="A1913" s="3">
        <f ca="1">IFERROR(__xludf.DUMMYFUNCTION("""COMPUTED_VALUE"""),40148.6027777777)</f>
        <v>40148.602777777698</v>
      </c>
      <c r="B1913" s="1">
        <f ca="1">IFERROR(__xludf.DUMMYFUNCTION("""COMPUTED_VALUE"""),2.57)</f>
        <v>2.57</v>
      </c>
      <c r="J1913" s="1" t="str">
        <f ca="1">IFERROR(__xludf.DUMMYFUNCTION("""COMPUTED_VALUE"""),"BLUE ROSE FABRIC MIRROR")</f>
        <v>BLUE ROSE FABRIC MIRROR</v>
      </c>
      <c r="K1913" s="1">
        <f ca="1">IFERROR(__xludf.DUMMYFUNCTION("""COMPUTED_VALUE"""),2)</f>
        <v>2</v>
      </c>
      <c r="L1913" s="1">
        <f ca="1">IFERROR(__xludf.DUMMYFUNCTION("""COMPUTED_VALUE"""),2.57)</f>
        <v>2.57</v>
      </c>
      <c r="T1913" s="1">
        <f ca="1">IFERROR(__xludf.DUMMYFUNCTION("""COMPUTED_VALUE"""),489597)</f>
        <v>489597</v>
      </c>
      <c r="U1913" s="1">
        <f ca="1">IFERROR(__xludf.DUMMYFUNCTION("""COMPUTED_VALUE"""),5.14)</f>
        <v>5.14</v>
      </c>
    </row>
    <row r="1914" spans="1:21" ht="12.75" x14ac:dyDescent="0.2">
      <c r="A1914" s="3">
        <f ca="1">IFERROR(__xludf.DUMMYFUNCTION("""COMPUTED_VALUE"""),40148.6027777777)</f>
        <v>40148.602777777698</v>
      </c>
      <c r="B1914" s="1">
        <f ca="1">IFERROR(__xludf.DUMMYFUNCTION("""COMPUTED_VALUE"""),2.57)</f>
        <v>2.57</v>
      </c>
      <c r="J1914" s="1" t="str">
        <f ca="1">IFERROR(__xludf.DUMMYFUNCTION("""COMPUTED_VALUE"""),"STRAWBERRY BATH SPONGE")</f>
        <v>STRAWBERRY BATH SPONGE</v>
      </c>
      <c r="K1914" s="1">
        <f ca="1">IFERROR(__xludf.DUMMYFUNCTION("""COMPUTED_VALUE"""),2)</f>
        <v>2</v>
      </c>
      <c r="L1914" s="1">
        <f ca="1">IFERROR(__xludf.DUMMYFUNCTION("""COMPUTED_VALUE"""),2.57)</f>
        <v>2.57</v>
      </c>
      <c r="T1914" s="1">
        <f ca="1">IFERROR(__xludf.DUMMYFUNCTION("""COMPUTED_VALUE"""),489597)</f>
        <v>489597</v>
      </c>
      <c r="U1914" s="1">
        <f ca="1">IFERROR(__xludf.DUMMYFUNCTION("""COMPUTED_VALUE"""),5.14)</f>
        <v>5.14</v>
      </c>
    </row>
    <row r="1915" spans="1:21" ht="12.75" x14ac:dyDescent="0.2">
      <c r="A1915" s="3">
        <f ca="1">IFERROR(__xludf.DUMMYFUNCTION("""COMPUTED_VALUE"""),40148.6027777777)</f>
        <v>40148.602777777698</v>
      </c>
      <c r="B1915" s="1">
        <f ca="1">IFERROR(__xludf.DUMMYFUNCTION("""COMPUTED_VALUE"""),1.7)</f>
        <v>1.7</v>
      </c>
      <c r="J1915" s="1" t="str">
        <f ca="1">IFERROR(__xludf.DUMMYFUNCTION("""COMPUTED_VALUE"""),"12 PENCILS TALL TUBE SKULLS")</f>
        <v>12 PENCILS TALL TUBE SKULLS</v>
      </c>
      <c r="K1915" s="1">
        <f ca="1">IFERROR(__xludf.DUMMYFUNCTION("""COMPUTED_VALUE"""),2)</f>
        <v>2</v>
      </c>
      <c r="L1915" s="1">
        <f ca="1">IFERROR(__xludf.DUMMYFUNCTION("""COMPUTED_VALUE"""),1.7)</f>
        <v>1.7</v>
      </c>
      <c r="T1915" s="1">
        <f ca="1">IFERROR(__xludf.DUMMYFUNCTION("""COMPUTED_VALUE"""),489597)</f>
        <v>489597</v>
      </c>
      <c r="U1915" s="1">
        <f ca="1">IFERROR(__xludf.DUMMYFUNCTION("""COMPUTED_VALUE"""),3.4)</f>
        <v>3.4</v>
      </c>
    </row>
    <row r="1916" spans="1:21" ht="12.75" x14ac:dyDescent="0.2">
      <c r="A1916" s="3">
        <f ca="1">IFERROR(__xludf.DUMMYFUNCTION("""COMPUTED_VALUE"""),40148.6027777777)</f>
        <v>40148.602777777698</v>
      </c>
      <c r="B1916" s="1">
        <f ca="1">IFERROR(__xludf.DUMMYFUNCTION("""COMPUTED_VALUE"""),1.7)</f>
        <v>1.7</v>
      </c>
      <c r="J1916" s="1" t="str">
        <f ca="1">IFERROR(__xludf.DUMMYFUNCTION("""COMPUTED_VALUE"""),"SET/20 RED SPOTTY PAPER NAPKINS")</f>
        <v>SET/20 RED SPOTTY PAPER NAPKINS</v>
      </c>
      <c r="K1916" s="1">
        <f ca="1">IFERROR(__xludf.DUMMYFUNCTION("""COMPUTED_VALUE"""),2)</f>
        <v>2</v>
      </c>
      <c r="L1916" s="1">
        <f ca="1">IFERROR(__xludf.DUMMYFUNCTION("""COMPUTED_VALUE"""),1.7)</f>
        <v>1.7</v>
      </c>
      <c r="T1916" s="1">
        <f ca="1">IFERROR(__xludf.DUMMYFUNCTION("""COMPUTED_VALUE"""),489597)</f>
        <v>489597</v>
      </c>
      <c r="U1916" s="1">
        <f ca="1">IFERROR(__xludf.DUMMYFUNCTION("""COMPUTED_VALUE"""),3.4)</f>
        <v>3.4</v>
      </c>
    </row>
    <row r="1917" spans="1:21" ht="12.75" x14ac:dyDescent="0.2">
      <c r="A1917" s="3">
        <f ca="1">IFERROR(__xludf.DUMMYFUNCTION("""COMPUTED_VALUE"""),40148.6027777777)</f>
        <v>40148.602777777698</v>
      </c>
      <c r="B1917" s="1">
        <f ca="1">IFERROR(__xludf.DUMMYFUNCTION("""COMPUTED_VALUE"""),2.57)</f>
        <v>2.57</v>
      </c>
      <c r="J1917" s="1" t="str">
        <f ca="1">IFERROR(__xludf.DUMMYFUNCTION("""COMPUTED_VALUE"""),"RED SPOTTY OVEN GLOVE")</f>
        <v>RED SPOTTY OVEN GLOVE</v>
      </c>
      <c r="K1917" s="1">
        <f ca="1">IFERROR(__xludf.DUMMYFUNCTION("""COMPUTED_VALUE"""),2)</f>
        <v>2</v>
      </c>
      <c r="L1917" s="1">
        <f ca="1">IFERROR(__xludf.DUMMYFUNCTION("""COMPUTED_VALUE"""),2.57)</f>
        <v>2.57</v>
      </c>
      <c r="T1917" s="1">
        <f ca="1">IFERROR(__xludf.DUMMYFUNCTION("""COMPUTED_VALUE"""),489597)</f>
        <v>489597</v>
      </c>
      <c r="U1917" s="1">
        <f ca="1">IFERROR(__xludf.DUMMYFUNCTION("""COMPUTED_VALUE"""),5.14)</f>
        <v>5.14</v>
      </c>
    </row>
    <row r="1918" spans="1:21" ht="12.75" x14ac:dyDescent="0.2">
      <c r="A1918" s="3">
        <f ca="1">IFERROR(__xludf.DUMMYFUNCTION("""COMPUTED_VALUE"""),40148.6027777777)</f>
        <v>40148.602777777698</v>
      </c>
      <c r="B1918" s="1">
        <f ca="1">IFERROR(__xludf.DUMMYFUNCTION("""COMPUTED_VALUE"""),4.3)</f>
        <v>4.3</v>
      </c>
      <c r="J1918" s="1" t="str">
        <f ca="1">IFERROR(__xludf.DUMMYFUNCTION("""COMPUTED_VALUE"""),"BEWARE OF THE CAT METAL SIGN")</f>
        <v>BEWARE OF THE CAT METAL SIGN</v>
      </c>
      <c r="K1918" s="1">
        <f ca="1">IFERROR(__xludf.DUMMYFUNCTION("""COMPUTED_VALUE"""),2)</f>
        <v>2</v>
      </c>
      <c r="L1918" s="1">
        <f ca="1">IFERROR(__xludf.DUMMYFUNCTION("""COMPUTED_VALUE"""),4.3)</f>
        <v>4.3</v>
      </c>
      <c r="T1918" s="1">
        <f ca="1">IFERROR(__xludf.DUMMYFUNCTION("""COMPUTED_VALUE"""),489597)</f>
        <v>489597</v>
      </c>
      <c r="U1918" s="1">
        <f ca="1">IFERROR(__xludf.DUMMYFUNCTION("""COMPUTED_VALUE"""),8.6)</f>
        <v>8.6</v>
      </c>
    </row>
    <row r="1919" spans="1:21" ht="12.75" x14ac:dyDescent="0.2">
      <c r="A1919" s="3">
        <f ca="1">IFERROR(__xludf.DUMMYFUNCTION("""COMPUTED_VALUE"""),40148.6027777777)</f>
        <v>40148.602777777698</v>
      </c>
      <c r="B1919" s="1">
        <f ca="1">IFERROR(__xludf.DUMMYFUNCTION("""COMPUTED_VALUE"""),4.3)</f>
        <v>4.3</v>
      </c>
      <c r="J1919" s="1" t="str">
        <f ca="1">IFERROR(__xludf.DUMMYFUNCTION("""COMPUTED_VALUE"""),"GIN + TONIC DIET METAL SIGN")</f>
        <v>GIN + TONIC DIET METAL SIGN</v>
      </c>
      <c r="K1919" s="1">
        <f ca="1">IFERROR(__xludf.DUMMYFUNCTION("""COMPUTED_VALUE"""),2)</f>
        <v>2</v>
      </c>
      <c r="L1919" s="1">
        <f ca="1">IFERROR(__xludf.DUMMYFUNCTION("""COMPUTED_VALUE"""),4.3)</f>
        <v>4.3</v>
      </c>
      <c r="T1919" s="1">
        <f ca="1">IFERROR(__xludf.DUMMYFUNCTION("""COMPUTED_VALUE"""),489597)</f>
        <v>489597</v>
      </c>
      <c r="U1919" s="1">
        <f ca="1">IFERROR(__xludf.DUMMYFUNCTION("""COMPUTED_VALUE"""),8.6)</f>
        <v>8.6</v>
      </c>
    </row>
    <row r="1920" spans="1:21" ht="12.75" x14ac:dyDescent="0.2">
      <c r="A1920" s="3">
        <f ca="1">IFERROR(__xludf.DUMMYFUNCTION("""COMPUTED_VALUE"""),40148.6027777777)</f>
        <v>40148.602777777698</v>
      </c>
      <c r="B1920" s="1">
        <f ca="1">IFERROR(__xludf.DUMMYFUNCTION("""COMPUTED_VALUE"""),13)</f>
        <v>13</v>
      </c>
      <c r="J1920" s="1" t="str">
        <f ca="1">IFERROR(__xludf.DUMMYFUNCTION("""COMPUTED_VALUE"""),"HOME SWEET HOME  BLACKBOARD")</f>
        <v>HOME SWEET HOME  BLACKBOARD</v>
      </c>
      <c r="K1920" s="1">
        <f ca="1">IFERROR(__xludf.DUMMYFUNCTION("""COMPUTED_VALUE"""),2)</f>
        <v>2</v>
      </c>
      <c r="L1920" s="1">
        <f ca="1">IFERROR(__xludf.DUMMYFUNCTION("""COMPUTED_VALUE"""),13)</f>
        <v>13</v>
      </c>
      <c r="T1920" s="1">
        <f ca="1">IFERROR(__xludf.DUMMYFUNCTION("""COMPUTED_VALUE"""),489597)</f>
        <v>489597</v>
      </c>
      <c r="U1920" s="1">
        <f ca="1">IFERROR(__xludf.DUMMYFUNCTION("""COMPUTED_VALUE"""),26)</f>
        <v>26</v>
      </c>
    </row>
    <row r="1921" spans="1:21" ht="12.75" x14ac:dyDescent="0.2">
      <c r="A1921" s="3">
        <f ca="1">IFERROR(__xludf.DUMMYFUNCTION("""COMPUTED_VALUE"""),40148.6027777777)</f>
        <v>40148.602777777698</v>
      </c>
      <c r="B1921" s="1">
        <f ca="1">IFERROR(__xludf.DUMMYFUNCTION("""COMPUTED_VALUE"""),6.04)</f>
        <v>6.04</v>
      </c>
      <c r="J1921" s="1" t="str">
        <f ca="1">IFERROR(__xludf.DUMMYFUNCTION("""COMPUTED_VALUE"""),"WOODLAND  HEIGHT CHART STICKERS")</f>
        <v>WOODLAND  HEIGHT CHART STICKERS</v>
      </c>
      <c r="K1921" s="1">
        <f ca="1">IFERROR(__xludf.DUMMYFUNCTION("""COMPUTED_VALUE"""),2)</f>
        <v>2</v>
      </c>
      <c r="L1921" s="1">
        <f ca="1">IFERROR(__xludf.DUMMYFUNCTION("""COMPUTED_VALUE"""),6.04)</f>
        <v>6.04</v>
      </c>
      <c r="T1921" s="1">
        <f ca="1">IFERROR(__xludf.DUMMYFUNCTION("""COMPUTED_VALUE"""),489597)</f>
        <v>489597</v>
      </c>
      <c r="U1921" s="1">
        <f ca="1">IFERROR(__xludf.DUMMYFUNCTION("""COMPUTED_VALUE"""),12.08)</f>
        <v>12.08</v>
      </c>
    </row>
    <row r="1922" spans="1:21" ht="12.75" x14ac:dyDescent="0.2">
      <c r="A1922" s="3">
        <f ca="1">IFERROR(__xludf.DUMMYFUNCTION("""COMPUTED_VALUE"""),40148.6027777777)</f>
        <v>40148.602777777698</v>
      </c>
      <c r="B1922" s="1">
        <f ca="1">IFERROR(__xludf.DUMMYFUNCTION("""COMPUTED_VALUE"""),6.04)</f>
        <v>6.04</v>
      </c>
      <c r="J1922" s="1" t="str">
        <f ca="1">IFERROR(__xludf.DUMMYFUNCTION("""COMPUTED_VALUE"""),"DINOSAUR HEIGHT CHART STICKER SET")</f>
        <v>DINOSAUR HEIGHT CHART STICKER SET</v>
      </c>
      <c r="K1922" s="1">
        <f ca="1">IFERROR(__xludf.DUMMYFUNCTION("""COMPUTED_VALUE"""),2)</f>
        <v>2</v>
      </c>
      <c r="L1922" s="1">
        <f ca="1">IFERROR(__xludf.DUMMYFUNCTION("""COMPUTED_VALUE"""),6.04)</f>
        <v>6.04</v>
      </c>
      <c r="T1922" s="1">
        <f ca="1">IFERROR(__xludf.DUMMYFUNCTION("""COMPUTED_VALUE"""),489597)</f>
        <v>489597</v>
      </c>
      <c r="U1922" s="1">
        <f ca="1">IFERROR(__xludf.DUMMYFUNCTION("""COMPUTED_VALUE"""),12.08)</f>
        <v>12.08</v>
      </c>
    </row>
    <row r="1923" spans="1:21" ht="12.75" x14ac:dyDescent="0.2">
      <c r="A1923" s="3">
        <f ca="1">IFERROR(__xludf.DUMMYFUNCTION("""COMPUTED_VALUE"""),40148.6027777777)</f>
        <v>40148.602777777698</v>
      </c>
      <c r="B1923" s="1">
        <f ca="1">IFERROR(__xludf.DUMMYFUNCTION("""COMPUTED_VALUE"""),3.43)</f>
        <v>3.43</v>
      </c>
      <c r="J1923" s="1" t="str">
        <f ca="1">IFERROR(__xludf.DUMMYFUNCTION("""COMPUTED_VALUE"""),"FRENCH BOTTLE, BRASSERIE DES ARTIST")</f>
        <v>FRENCH BOTTLE, BRASSERIE DES ARTIST</v>
      </c>
      <c r="K1923" s="1">
        <f ca="1">IFERROR(__xludf.DUMMYFUNCTION("""COMPUTED_VALUE"""),2)</f>
        <v>2</v>
      </c>
      <c r="L1923" s="1">
        <f ca="1">IFERROR(__xludf.DUMMYFUNCTION("""COMPUTED_VALUE"""),3.43)</f>
        <v>3.43</v>
      </c>
      <c r="T1923" s="1">
        <f ca="1">IFERROR(__xludf.DUMMYFUNCTION("""COMPUTED_VALUE"""),489597)</f>
        <v>489597</v>
      </c>
      <c r="U1923" s="1">
        <f ca="1">IFERROR(__xludf.DUMMYFUNCTION("""COMPUTED_VALUE"""),6.86)</f>
        <v>6.86</v>
      </c>
    </row>
    <row r="1924" spans="1:21" ht="12.75" x14ac:dyDescent="0.2">
      <c r="A1924" s="3">
        <f ca="1">IFERROR(__xludf.DUMMYFUNCTION("""COMPUTED_VALUE"""),40148.6027777777)</f>
        <v>40148.602777777698</v>
      </c>
      <c r="B1924" s="1">
        <f ca="1">IFERROR(__xludf.DUMMYFUNCTION("""COMPUTED_VALUE"""),3.43)</f>
        <v>3.43</v>
      </c>
      <c r="J1924" s="1" t="str">
        <f ca="1">IFERROR(__xludf.DUMMYFUNCTION("""COMPUTED_VALUE"""),"WOODLAND ANIMAL  WRITING SET")</f>
        <v>WOODLAND ANIMAL  WRITING SET</v>
      </c>
      <c r="K1924" s="1">
        <f ca="1">IFERROR(__xludf.DUMMYFUNCTION("""COMPUTED_VALUE"""),2)</f>
        <v>2</v>
      </c>
      <c r="L1924" s="1">
        <f ca="1">IFERROR(__xludf.DUMMYFUNCTION("""COMPUTED_VALUE"""),3.43)</f>
        <v>3.43</v>
      </c>
      <c r="T1924" s="1">
        <f ca="1">IFERROR(__xludf.DUMMYFUNCTION("""COMPUTED_VALUE"""),489597)</f>
        <v>489597</v>
      </c>
      <c r="U1924" s="1">
        <f ca="1">IFERROR(__xludf.DUMMYFUNCTION("""COMPUTED_VALUE"""),6.86)</f>
        <v>6.86</v>
      </c>
    </row>
    <row r="1925" spans="1:21" ht="12.75" x14ac:dyDescent="0.2">
      <c r="A1925" s="3">
        <f ca="1">IFERROR(__xludf.DUMMYFUNCTION("""COMPUTED_VALUE"""),40148.6027777777)</f>
        <v>40148.602777777698</v>
      </c>
      <c r="B1925" s="1">
        <f ca="1">IFERROR(__xludf.DUMMYFUNCTION("""COMPUTED_VALUE"""),2.57)</f>
        <v>2.57</v>
      </c>
      <c r="J1925" s="1" t="str">
        <f ca="1">IFERROR(__xludf.DUMMYFUNCTION("""COMPUTED_VALUE"""),"TOAST ITS - FAIRY FLOWER")</f>
        <v>TOAST ITS - FAIRY FLOWER</v>
      </c>
      <c r="K1925" s="1">
        <f ca="1">IFERROR(__xludf.DUMMYFUNCTION("""COMPUTED_VALUE"""),2)</f>
        <v>2</v>
      </c>
      <c r="L1925" s="1">
        <f ca="1">IFERROR(__xludf.DUMMYFUNCTION("""COMPUTED_VALUE"""),2.57)</f>
        <v>2.57</v>
      </c>
      <c r="T1925" s="1">
        <f ca="1">IFERROR(__xludf.DUMMYFUNCTION("""COMPUTED_VALUE"""),489597)</f>
        <v>489597</v>
      </c>
      <c r="U1925" s="1">
        <f ca="1">IFERROR(__xludf.DUMMYFUNCTION("""COMPUTED_VALUE"""),5.14)</f>
        <v>5.14</v>
      </c>
    </row>
    <row r="1926" spans="1:21" ht="12.75" x14ac:dyDescent="0.2">
      <c r="A1926" s="3">
        <f ca="1">IFERROR(__xludf.DUMMYFUNCTION("""COMPUTED_VALUE"""),40148.6027777777)</f>
        <v>40148.602777777698</v>
      </c>
      <c r="B1926" s="1">
        <f ca="1">IFERROR(__xludf.DUMMYFUNCTION("""COMPUTED_VALUE"""),6.04)</f>
        <v>6.04</v>
      </c>
      <c r="J1926" s="1" t="str">
        <f ca="1">IFERROR(__xludf.DUMMYFUNCTION("""COMPUTED_VALUE"""),"FAWN BLUE HOT WATER BOTTLE")</f>
        <v>FAWN BLUE HOT WATER BOTTLE</v>
      </c>
      <c r="K1926" s="1">
        <f ca="1">IFERROR(__xludf.DUMMYFUNCTION("""COMPUTED_VALUE"""),2)</f>
        <v>2</v>
      </c>
      <c r="L1926" s="1">
        <f ca="1">IFERROR(__xludf.DUMMYFUNCTION("""COMPUTED_VALUE"""),6.04)</f>
        <v>6.04</v>
      </c>
      <c r="T1926" s="1">
        <f ca="1">IFERROR(__xludf.DUMMYFUNCTION("""COMPUTED_VALUE"""),489597)</f>
        <v>489597</v>
      </c>
      <c r="U1926" s="1">
        <f ca="1">IFERROR(__xludf.DUMMYFUNCTION("""COMPUTED_VALUE"""),12.08)</f>
        <v>12.08</v>
      </c>
    </row>
    <row r="1927" spans="1:21" ht="12.75" x14ac:dyDescent="0.2">
      <c r="A1927" s="3">
        <f ca="1">IFERROR(__xludf.DUMMYFUNCTION("""COMPUTED_VALUE"""),40148.6027777777)</f>
        <v>40148.602777777698</v>
      </c>
      <c r="B1927" s="1">
        <f ca="1">IFERROR(__xludf.DUMMYFUNCTION("""COMPUTED_VALUE"""),5.17)</f>
        <v>5.17</v>
      </c>
      <c r="J1927" s="1" t="str">
        <f ca="1">IFERROR(__xludf.DUMMYFUNCTION("""COMPUTED_VALUE"""),"ORIGAMI VANILLA INCENSE/CANDLE SET")</f>
        <v>ORIGAMI VANILLA INCENSE/CANDLE SET</v>
      </c>
      <c r="K1927" s="1">
        <f ca="1">IFERROR(__xludf.DUMMYFUNCTION("""COMPUTED_VALUE"""),1)</f>
        <v>1</v>
      </c>
      <c r="L1927" s="1">
        <f ca="1">IFERROR(__xludf.DUMMYFUNCTION("""COMPUTED_VALUE"""),5.17)</f>
        <v>5.17</v>
      </c>
      <c r="T1927" s="1">
        <f ca="1">IFERROR(__xludf.DUMMYFUNCTION("""COMPUTED_VALUE"""),489597)</f>
        <v>489597</v>
      </c>
      <c r="U1927" s="1">
        <f ca="1">IFERROR(__xludf.DUMMYFUNCTION("""COMPUTED_VALUE"""),5.17)</f>
        <v>5.17</v>
      </c>
    </row>
    <row r="1928" spans="1:21" ht="12.75" x14ac:dyDescent="0.2">
      <c r="A1928" s="3">
        <f ca="1">IFERROR(__xludf.DUMMYFUNCTION("""COMPUTED_VALUE"""),40148.6027777777)</f>
        <v>40148.602777777698</v>
      </c>
      <c r="B1928" s="1">
        <f ca="1">IFERROR(__xludf.DUMMYFUNCTION("""COMPUTED_VALUE"""),1.7)</f>
        <v>1.7</v>
      </c>
      <c r="J1928" s="1" t="str">
        <f ca="1">IFERROR(__xludf.DUMMYFUNCTION("""COMPUTED_VALUE"""),"CLEAR COLOUR GLASS GEMS IN BAG")</f>
        <v>CLEAR COLOUR GLASS GEMS IN BAG</v>
      </c>
      <c r="K1928" s="1">
        <f ca="1">IFERROR(__xludf.DUMMYFUNCTION("""COMPUTED_VALUE"""),1)</f>
        <v>1</v>
      </c>
      <c r="L1928" s="1">
        <f ca="1">IFERROR(__xludf.DUMMYFUNCTION("""COMPUTED_VALUE"""),1.7)</f>
        <v>1.7</v>
      </c>
      <c r="T1928" s="1">
        <f ca="1">IFERROR(__xludf.DUMMYFUNCTION("""COMPUTED_VALUE"""),489597)</f>
        <v>489597</v>
      </c>
      <c r="U1928" s="1">
        <f ca="1">IFERROR(__xludf.DUMMYFUNCTION("""COMPUTED_VALUE"""),1.7)</f>
        <v>1.7</v>
      </c>
    </row>
    <row r="1929" spans="1:21" ht="12.75" x14ac:dyDescent="0.2">
      <c r="A1929" s="3">
        <f ca="1">IFERROR(__xludf.DUMMYFUNCTION("""COMPUTED_VALUE"""),40148.6027777777)</f>
        <v>40148.602777777698</v>
      </c>
      <c r="B1929" s="1">
        <f ca="1">IFERROR(__xludf.DUMMYFUNCTION("""COMPUTED_VALUE"""),4.3)</f>
        <v>4.3</v>
      </c>
      <c r="J1929" s="1" t="str">
        <f ca="1">IFERROR(__xludf.DUMMYFUNCTION("""COMPUTED_VALUE"""),"CHERRY BLOSSOM PASSPORT COVER")</f>
        <v>CHERRY BLOSSOM PASSPORT COVER</v>
      </c>
      <c r="K1929" s="1">
        <f ca="1">IFERROR(__xludf.DUMMYFUNCTION("""COMPUTED_VALUE"""),1)</f>
        <v>1</v>
      </c>
      <c r="L1929" s="1">
        <f ca="1">IFERROR(__xludf.DUMMYFUNCTION("""COMPUTED_VALUE"""),4.3)</f>
        <v>4.3</v>
      </c>
      <c r="T1929" s="1">
        <f ca="1">IFERROR(__xludf.DUMMYFUNCTION("""COMPUTED_VALUE"""),489597)</f>
        <v>489597</v>
      </c>
      <c r="U1929" s="1">
        <f ca="1">IFERROR(__xludf.DUMMYFUNCTION("""COMPUTED_VALUE"""),4.3)</f>
        <v>4.3</v>
      </c>
    </row>
    <row r="1930" spans="1:21" ht="12.75" x14ac:dyDescent="0.2">
      <c r="A1930" s="3">
        <f ca="1">IFERROR(__xludf.DUMMYFUNCTION("""COMPUTED_VALUE"""),40148.6027777777)</f>
        <v>40148.602777777698</v>
      </c>
      <c r="B1930" s="1">
        <f ca="1">IFERROR(__xludf.DUMMYFUNCTION("""COMPUTED_VALUE"""),4.3)</f>
        <v>4.3</v>
      </c>
      <c r="J1930" s="1" t="str">
        <f ca="1">IFERROR(__xludf.DUMMYFUNCTION("""COMPUTED_VALUE"""),"QUEEN OF THE SKIES PASSPORT COVER")</f>
        <v>QUEEN OF THE SKIES PASSPORT COVER</v>
      </c>
      <c r="K1930" s="1">
        <f ca="1">IFERROR(__xludf.DUMMYFUNCTION("""COMPUTED_VALUE"""),1)</f>
        <v>1</v>
      </c>
      <c r="L1930" s="1">
        <f ca="1">IFERROR(__xludf.DUMMYFUNCTION("""COMPUTED_VALUE"""),4.3)</f>
        <v>4.3</v>
      </c>
      <c r="T1930" s="1">
        <f ca="1">IFERROR(__xludf.DUMMYFUNCTION("""COMPUTED_VALUE"""),489597)</f>
        <v>489597</v>
      </c>
      <c r="U1930" s="1">
        <f ca="1">IFERROR(__xludf.DUMMYFUNCTION("""COMPUTED_VALUE"""),4.3)</f>
        <v>4.3</v>
      </c>
    </row>
    <row r="1931" spans="1:21" ht="12.75" x14ac:dyDescent="0.2">
      <c r="A1931" s="3">
        <f ca="1">IFERROR(__xludf.DUMMYFUNCTION("""COMPUTED_VALUE"""),40148.6027777777)</f>
        <v>40148.602777777698</v>
      </c>
      <c r="B1931" s="1">
        <f ca="1">IFERROR(__xludf.DUMMYFUNCTION("""COMPUTED_VALUE"""),2.57)</f>
        <v>2.57</v>
      </c>
      <c r="J1931" s="1" t="str">
        <f ca="1">IFERROR(__xludf.DUMMYFUNCTION("""COMPUTED_VALUE"""),"BLUE SPOTTY LUGGAGE TAG")</f>
        <v>BLUE SPOTTY LUGGAGE TAG</v>
      </c>
      <c r="K1931" s="1">
        <f ca="1">IFERROR(__xludf.DUMMYFUNCTION("""COMPUTED_VALUE"""),1)</f>
        <v>1</v>
      </c>
      <c r="L1931" s="1">
        <f ca="1">IFERROR(__xludf.DUMMYFUNCTION("""COMPUTED_VALUE"""),2.57)</f>
        <v>2.57</v>
      </c>
      <c r="T1931" s="1">
        <f ca="1">IFERROR(__xludf.DUMMYFUNCTION("""COMPUTED_VALUE"""),489597)</f>
        <v>489597</v>
      </c>
      <c r="U1931" s="1">
        <f ca="1">IFERROR(__xludf.DUMMYFUNCTION("""COMPUTED_VALUE"""),2.57)</f>
        <v>2.57</v>
      </c>
    </row>
    <row r="1932" spans="1:21" ht="12.75" x14ac:dyDescent="0.2">
      <c r="A1932" s="3">
        <f ca="1">IFERROR(__xludf.DUMMYFUNCTION("""COMPUTED_VALUE"""),40148.6027777777)</f>
        <v>40148.602777777698</v>
      </c>
      <c r="B1932" s="1">
        <f ca="1">IFERROR(__xludf.DUMMYFUNCTION("""COMPUTED_VALUE"""),2.57)</f>
        <v>2.57</v>
      </c>
      <c r="J1932" s="1" t="str">
        <f ca="1">IFERROR(__xludf.DUMMYFUNCTION("""COMPUTED_VALUE"""),"FIRST CLASS LUGGAGE TAG")</f>
        <v>FIRST CLASS LUGGAGE TAG</v>
      </c>
      <c r="K1932" s="1">
        <f ca="1">IFERROR(__xludf.DUMMYFUNCTION("""COMPUTED_VALUE"""),1)</f>
        <v>1</v>
      </c>
      <c r="L1932" s="1">
        <f ca="1">IFERROR(__xludf.DUMMYFUNCTION("""COMPUTED_VALUE"""),2.57)</f>
        <v>2.57</v>
      </c>
      <c r="T1932" s="1">
        <f ca="1">IFERROR(__xludf.DUMMYFUNCTION("""COMPUTED_VALUE"""),489597)</f>
        <v>489597</v>
      </c>
      <c r="U1932" s="1">
        <f ca="1">IFERROR(__xludf.DUMMYFUNCTION("""COMPUTED_VALUE"""),2.57)</f>
        <v>2.57</v>
      </c>
    </row>
    <row r="1933" spans="1:21" ht="12.75" x14ac:dyDescent="0.2">
      <c r="A1933" s="3">
        <f ca="1">IFERROR(__xludf.DUMMYFUNCTION("""COMPUTED_VALUE"""),40148.6027777777)</f>
        <v>40148.602777777698</v>
      </c>
      <c r="B1933" s="1">
        <f ca="1">IFERROR(__xludf.DUMMYFUNCTION("""COMPUTED_VALUE"""),2.57)</f>
        <v>2.57</v>
      </c>
      <c r="J1933" s="1" t="str">
        <f ca="1">IFERROR(__xludf.DUMMYFUNCTION("""COMPUTED_VALUE"""),"QUEEN OF SKIES LUGGAGE TAG")</f>
        <v>QUEEN OF SKIES LUGGAGE TAG</v>
      </c>
      <c r="K1933" s="1">
        <f ca="1">IFERROR(__xludf.DUMMYFUNCTION("""COMPUTED_VALUE"""),1)</f>
        <v>1</v>
      </c>
      <c r="L1933" s="1">
        <f ca="1">IFERROR(__xludf.DUMMYFUNCTION("""COMPUTED_VALUE"""),2.57)</f>
        <v>2.57</v>
      </c>
      <c r="T1933" s="1">
        <f ca="1">IFERROR(__xludf.DUMMYFUNCTION("""COMPUTED_VALUE"""),489597)</f>
        <v>489597</v>
      </c>
      <c r="U1933" s="1">
        <f ca="1">IFERROR(__xludf.DUMMYFUNCTION("""COMPUTED_VALUE"""),2.57)</f>
        <v>2.57</v>
      </c>
    </row>
    <row r="1934" spans="1:21" ht="12.75" x14ac:dyDescent="0.2">
      <c r="A1934" s="3">
        <f ca="1">IFERROR(__xludf.DUMMYFUNCTION("""COMPUTED_VALUE"""),40148.6027777777)</f>
        <v>40148.602777777698</v>
      </c>
      <c r="B1934" s="1">
        <f ca="1">IFERROR(__xludf.DUMMYFUNCTION("""COMPUTED_VALUE"""),2.57)</f>
        <v>2.57</v>
      </c>
      <c r="J1934" s="1" t="str">
        <f ca="1">IFERROR(__xludf.DUMMYFUNCTION("""COMPUTED_VALUE"""),"ECONOMY LUGGAGE TAG")</f>
        <v>ECONOMY LUGGAGE TAG</v>
      </c>
      <c r="K1934" s="1">
        <f ca="1">IFERROR(__xludf.DUMMYFUNCTION("""COMPUTED_VALUE"""),1)</f>
        <v>1</v>
      </c>
      <c r="L1934" s="1">
        <f ca="1">IFERROR(__xludf.DUMMYFUNCTION("""COMPUTED_VALUE"""),2.57)</f>
        <v>2.57</v>
      </c>
      <c r="T1934" s="1">
        <f ca="1">IFERROR(__xludf.DUMMYFUNCTION("""COMPUTED_VALUE"""),489597)</f>
        <v>489597</v>
      </c>
      <c r="U1934" s="1">
        <f ca="1">IFERROR(__xludf.DUMMYFUNCTION("""COMPUTED_VALUE"""),2.57)</f>
        <v>2.57</v>
      </c>
    </row>
    <row r="1935" spans="1:21" ht="12.75" x14ac:dyDescent="0.2">
      <c r="A1935" s="3">
        <f ca="1">IFERROR(__xludf.DUMMYFUNCTION("""COMPUTED_VALUE"""),40148.6027777777)</f>
        <v>40148.602777777698</v>
      </c>
      <c r="B1935" s="1">
        <f ca="1">IFERROR(__xludf.DUMMYFUNCTION("""COMPUTED_VALUE"""),2.57)</f>
        <v>2.57</v>
      </c>
      <c r="J1935" s="1" t="str">
        <f ca="1">IFERROR(__xludf.DUMMYFUNCTION("""COMPUTED_VALUE"""),"GREEN SPOTTY BOWL")</f>
        <v>GREEN SPOTTY BOWL</v>
      </c>
      <c r="K1935" s="1">
        <f ca="1">IFERROR(__xludf.DUMMYFUNCTION("""COMPUTED_VALUE"""),1)</f>
        <v>1</v>
      </c>
      <c r="L1935" s="1">
        <f ca="1">IFERROR(__xludf.DUMMYFUNCTION("""COMPUTED_VALUE"""),2.57)</f>
        <v>2.57</v>
      </c>
      <c r="T1935" s="1">
        <f ca="1">IFERROR(__xludf.DUMMYFUNCTION("""COMPUTED_VALUE"""),489597)</f>
        <v>489597</v>
      </c>
      <c r="U1935" s="1">
        <f ca="1">IFERROR(__xludf.DUMMYFUNCTION("""COMPUTED_VALUE"""),2.57)</f>
        <v>2.57</v>
      </c>
    </row>
    <row r="1936" spans="1:21" ht="12.75" x14ac:dyDescent="0.2">
      <c r="A1936" s="3">
        <f ca="1">IFERROR(__xludf.DUMMYFUNCTION("""COMPUTED_VALUE"""),40148.6027777777)</f>
        <v>40148.602777777698</v>
      </c>
      <c r="B1936" s="1">
        <f ca="1">IFERROR(__xludf.DUMMYFUNCTION("""COMPUTED_VALUE"""),6.91)</f>
        <v>6.91</v>
      </c>
      <c r="J1936" s="1" t="str">
        <f ca="1">IFERROR(__xludf.DUMMYFUNCTION("""COMPUTED_VALUE"""),"RED SPOTTY CHILDS UMBRELLA")</f>
        <v>RED SPOTTY CHILDS UMBRELLA</v>
      </c>
      <c r="K1936" s="1">
        <f ca="1">IFERROR(__xludf.DUMMYFUNCTION("""COMPUTED_VALUE"""),1)</f>
        <v>1</v>
      </c>
      <c r="L1936" s="1">
        <f ca="1">IFERROR(__xludf.DUMMYFUNCTION("""COMPUTED_VALUE"""),6.91)</f>
        <v>6.91</v>
      </c>
      <c r="T1936" s="1">
        <f ca="1">IFERROR(__xludf.DUMMYFUNCTION("""COMPUTED_VALUE"""),489597)</f>
        <v>489597</v>
      </c>
      <c r="U1936" s="1">
        <f ca="1">IFERROR(__xludf.DUMMYFUNCTION("""COMPUTED_VALUE"""),6.91)</f>
        <v>6.91</v>
      </c>
    </row>
    <row r="1937" spans="1:21" ht="12.75" x14ac:dyDescent="0.2">
      <c r="A1937" s="3">
        <f ca="1">IFERROR(__xludf.DUMMYFUNCTION("""COMPUTED_VALUE"""),40148.6027777777)</f>
        <v>40148.602777777698</v>
      </c>
      <c r="B1937" s="1">
        <f ca="1">IFERROR(__xludf.DUMMYFUNCTION("""COMPUTED_VALUE"""),7.78)</f>
        <v>7.78</v>
      </c>
      <c r="J1937" s="1" t="str">
        <f ca="1">IFERROR(__xludf.DUMMYFUNCTION("""COMPUTED_VALUE"""),"FLORAL PINK MONSTER")</f>
        <v>FLORAL PINK MONSTER</v>
      </c>
      <c r="K1937" s="1">
        <f ca="1">IFERROR(__xludf.DUMMYFUNCTION("""COMPUTED_VALUE"""),1)</f>
        <v>1</v>
      </c>
      <c r="L1937" s="1">
        <f ca="1">IFERROR(__xludf.DUMMYFUNCTION("""COMPUTED_VALUE"""),7.78)</f>
        <v>7.78</v>
      </c>
      <c r="T1937" s="1">
        <f ca="1">IFERROR(__xludf.DUMMYFUNCTION("""COMPUTED_VALUE"""),489597)</f>
        <v>489597</v>
      </c>
      <c r="U1937" s="1">
        <f ca="1">IFERROR(__xludf.DUMMYFUNCTION("""COMPUTED_VALUE"""),7.78)</f>
        <v>7.78</v>
      </c>
    </row>
    <row r="1938" spans="1:21" ht="12.75" x14ac:dyDescent="0.2">
      <c r="A1938" s="3">
        <f ca="1">IFERROR(__xludf.DUMMYFUNCTION("""COMPUTED_VALUE"""),40148.6027777777)</f>
        <v>40148.602777777698</v>
      </c>
      <c r="B1938" s="1">
        <f ca="1">IFERROR(__xludf.DUMMYFUNCTION("""COMPUTED_VALUE"""),8.65)</f>
        <v>8.65</v>
      </c>
      <c r="J1938" s="1" t="str">
        <f ca="1">IFERROR(__xludf.DUMMYFUNCTION("""COMPUTED_VALUE"""),"FLORAL BLUE MONSTER")</f>
        <v>FLORAL BLUE MONSTER</v>
      </c>
      <c r="K1938" s="1">
        <f ca="1">IFERROR(__xludf.DUMMYFUNCTION("""COMPUTED_VALUE"""),1)</f>
        <v>1</v>
      </c>
      <c r="L1938" s="1">
        <f ca="1">IFERROR(__xludf.DUMMYFUNCTION("""COMPUTED_VALUE"""),8.65)</f>
        <v>8.65</v>
      </c>
      <c r="T1938" s="1">
        <f ca="1">IFERROR(__xludf.DUMMYFUNCTION("""COMPUTED_VALUE"""),489597)</f>
        <v>489597</v>
      </c>
      <c r="U1938" s="1">
        <f ca="1">IFERROR(__xludf.DUMMYFUNCTION("""COMPUTED_VALUE"""),8.65)</f>
        <v>8.65</v>
      </c>
    </row>
    <row r="1939" spans="1:21" ht="12.75" x14ac:dyDescent="0.2">
      <c r="A1939" s="3">
        <f ca="1">IFERROR(__xludf.DUMMYFUNCTION("""COMPUTED_VALUE"""),40148.6027777777)</f>
        <v>40148.602777777698</v>
      </c>
      <c r="B1939" s="1">
        <f ca="1">IFERROR(__xludf.DUMMYFUNCTION("""COMPUTED_VALUE"""),2.57)</f>
        <v>2.57</v>
      </c>
      <c r="J1939" s="1" t="str">
        <f ca="1">IFERROR(__xludf.DUMMYFUNCTION("""COMPUTED_VALUE"""),"POSY SHOPPER BAG")</f>
        <v>POSY SHOPPER BAG</v>
      </c>
      <c r="K1939" s="1">
        <f ca="1">IFERROR(__xludf.DUMMYFUNCTION("""COMPUTED_VALUE"""),1)</f>
        <v>1</v>
      </c>
      <c r="L1939" s="1">
        <f ca="1">IFERROR(__xludf.DUMMYFUNCTION("""COMPUTED_VALUE"""),2.57)</f>
        <v>2.57</v>
      </c>
      <c r="T1939" s="1">
        <f ca="1">IFERROR(__xludf.DUMMYFUNCTION("""COMPUTED_VALUE"""),489597)</f>
        <v>489597</v>
      </c>
      <c r="U1939" s="1">
        <f ca="1">IFERROR(__xludf.DUMMYFUNCTION("""COMPUTED_VALUE"""),2.57)</f>
        <v>2.57</v>
      </c>
    </row>
    <row r="1940" spans="1:21" ht="12.75" x14ac:dyDescent="0.2">
      <c r="A1940" s="3">
        <f ca="1">IFERROR(__xludf.DUMMYFUNCTION("""COMPUTED_VALUE"""),40148.6027777777)</f>
        <v>40148.602777777698</v>
      </c>
      <c r="B1940" s="1">
        <f ca="1">IFERROR(__xludf.DUMMYFUNCTION("""COMPUTED_VALUE"""),1.7)</f>
        <v>1.7</v>
      </c>
      <c r="J1940" s="1" t="str">
        <f ca="1">IFERROR(__xludf.DUMMYFUNCTION("""COMPUTED_VALUE"""),"WOODLAND CHARLOTTE BAG")</f>
        <v>WOODLAND CHARLOTTE BAG</v>
      </c>
      <c r="K1940" s="1">
        <f ca="1">IFERROR(__xludf.DUMMYFUNCTION("""COMPUTED_VALUE"""),1)</f>
        <v>1</v>
      </c>
      <c r="L1940" s="1">
        <f ca="1">IFERROR(__xludf.DUMMYFUNCTION("""COMPUTED_VALUE"""),1.7)</f>
        <v>1.7</v>
      </c>
      <c r="T1940" s="1">
        <f ca="1">IFERROR(__xludf.DUMMYFUNCTION("""COMPUTED_VALUE"""),489597)</f>
        <v>489597</v>
      </c>
      <c r="U1940" s="1">
        <f ca="1">IFERROR(__xludf.DUMMYFUNCTION("""COMPUTED_VALUE"""),1.7)</f>
        <v>1.7</v>
      </c>
    </row>
    <row r="1941" spans="1:21" ht="12.75" x14ac:dyDescent="0.2">
      <c r="A1941" s="3">
        <f ca="1">IFERROR(__xludf.DUMMYFUNCTION("""COMPUTED_VALUE"""),40148.6027777777)</f>
        <v>40148.602777777698</v>
      </c>
      <c r="B1941" s="1">
        <f ca="1">IFERROR(__xludf.DUMMYFUNCTION("""COMPUTED_VALUE"""),4.3)</f>
        <v>4.3</v>
      </c>
      <c r="J1941" s="1" t="str">
        <f ca="1">IFERROR(__xludf.DUMMYFUNCTION("""COMPUTED_VALUE"""),"LUNCH BAG RED SPOTTY")</f>
        <v>LUNCH BAG RED SPOTTY</v>
      </c>
      <c r="K1941" s="1">
        <f ca="1">IFERROR(__xludf.DUMMYFUNCTION("""COMPUTED_VALUE"""),1)</f>
        <v>1</v>
      </c>
      <c r="L1941" s="1">
        <f ca="1">IFERROR(__xludf.DUMMYFUNCTION("""COMPUTED_VALUE"""),4.3)</f>
        <v>4.3</v>
      </c>
      <c r="T1941" s="1">
        <f ca="1">IFERROR(__xludf.DUMMYFUNCTION("""COMPUTED_VALUE"""),489597)</f>
        <v>489597</v>
      </c>
      <c r="U1941" s="1">
        <f ca="1">IFERROR(__xludf.DUMMYFUNCTION("""COMPUTED_VALUE"""),4.3)</f>
        <v>4.3</v>
      </c>
    </row>
    <row r="1942" spans="1:21" ht="12.75" x14ac:dyDescent="0.2">
      <c r="A1942" s="3">
        <f ca="1">IFERROR(__xludf.DUMMYFUNCTION("""COMPUTED_VALUE"""),40148.6027777777)</f>
        <v>40148.602777777698</v>
      </c>
      <c r="B1942" s="1">
        <f ca="1">IFERROR(__xludf.DUMMYFUNCTION("""COMPUTED_VALUE"""),2.57)</f>
        <v>2.57</v>
      </c>
      <c r="J1942" s="1" t="str">
        <f ca="1">IFERROR(__xludf.DUMMYFUNCTION("""COMPUTED_VALUE"""),"RED SPOTTY CANDY BAG")</f>
        <v>RED SPOTTY CANDY BAG</v>
      </c>
      <c r="K1942" s="1">
        <f ca="1">IFERROR(__xludf.DUMMYFUNCTION("""COMPUTED_VALUE"""),1)</f>
        <v>1</v>
      </c>
      <c r="L1942" s="1">
        <f ca="1">IFERROR(__xludf.DUMMYFUNCTION("""COMPUTED_VALUE"""),2.57)</f>
        <v>2.57</v>
      </c>
      <c r="T1942" s="1">
        <f ca="1">IFERROR(__xludf.DUMMYFUNCTION("""COMPUTED_VALUE"""),489597)</f>
        <v>489597</v>
      </c>
      <c r="U1942" s="1">
        <f ca="1">IFERROR(__xludf.DUMMYFUNCTION("""COMPUTED_VALUE"""),2.57)</f>
        <v>2.57</v>
      </c>
    </row>
    <row r="1943" spans="1:21" ht="12.75" x14ac:dyDescent="0.2">
      <c r="A1943" s="3">
        <f ca="1">IFERROR(__xludf.DUMMYFUNCTION("""COMPUTED_VALUE"""),40148.6027777777)</f>
        <v>40148.602777777698</v>
      </c>
      <c r="B1943" s="1">
        <f ca="1">IFERROR(__xludf.DUMMYFUNCTION("""COMPUTED_VALUE"""),8.65)</f>
        <v>8.65</v>
      </c>
      <c r="J1943" s="1" t="str">
        <f ca="1">IFERROR(__xludf.DUMMYFUNCTION("""COMPUTED_VALUE"""),"*USB Office Glitter Lamp")</f>
        <v>*USB Office Glitter Lamp</v>
      </c>
      <c r="K1943" s="1">
        <f ca="1">IFERROR(__xludf.DUMMYFUNCTION("""COMPUTED_VALUE"""),1)</f>
        <v>1</v>
      </c>
      <c r="L1943" s="1">
        <f ca="1">IFERROR(__xludf.DUMMYFUNCTION("""COMPUTED_VALUE"""),8.65)</f>
        <v>8.65</v>
      </c>
      <c r="T1943" s="1">
        <f ca="1">IFERROR(__xludf.DUMMYFUNCTION("""COMPUTED_VALUE"""),489597)</f>
        <v>489597</v>
      </c>
      <c r="U1943" s="1">
        <f ca="1">IFERROR(__xludf.DUMMYFUNCTION("""COMPUTED_VALUE"""),8.65)</f>
        <v>8.65</v>
      </c>
    </row>
    <row r="1944" spans="1:21" ht="12.75" x14ac:dyDescent="0.2">
      <c r="A1944" s="3">
        <f ca="1">IFERROR(__xludf.DUMMYFUNCTION("""COMPUTED_VALUE"""),40148.6027777777)</f>
        <v>40148.602777777698</v>
      </c>
      <c r="B1944" s="1">
        <f ca="1">IFERROR(__xludf.DUMMYFUNCTION("""COMPUTED_VALUE"""),4.3)</f>
        <v>4.3</v>
      </c>
      <c r="J1944" s="1" t="str">
        <f ca="1">IFERROR(__xludf.DUMMYFUNCTION("""COMPUTED_VALUE"""),"RETRO PINK SPOT WASHING UP GLOVES")</f>
        <v>RETRO PINK SPOT WASHING UP GLOVES</v>
      </c>
      <c r="K1944" s="1">
        <f ca="1">IFERROR(__xludf.DUMMYFUNCTION("""COMPUTED_VALUE"""),1)</f>
        <v>1</v>
      </c>
      <c r="L1944" s="1">
        <f ca="1">IFERROR(__xludf.DUMMYFUNCTION("""COMPUTED_VALUE"""),4.3)</f>
        <v>4.3</v>
      </c>
      <c r="T1944" s="1">
        <f ca="1">IFERROR(__xludf.DUMMYFUNCTION("""COMPUTED_VALUE"""),489597)</f>
        <v>489597</v>
      </c>
      <c r="U1944" s="1">
        <f ca="1">IFERROR(__xludf.DUMMYFUNCTION("""COMPUTED_VALUE"""),4.3)</f>
        <v>4.3</v>
      </c>
    </row>
    <row r="1945" spans="1:21" ht="12.75" x14ac:dyDescent="0.2">
      <c r="A1945" s="3">
        <f ca="1">IFERROR(__xludf.DUMMYFUNCTION("""COMPUTED_VALUE"""),40148.6027777777)</f>
        <v>40148.602777777698</v>
      </c>
      <c r="B1945" s="1">
        <f ca="1">IFERROR(__xludf.DUMMYFUNCTION("""COMPUTED_VALUE"""),7.78)</f>
        <v>7.78</v>
      </c>
      <c r="J1945" s="1" t="str">
        <f ca="1">IFERROR(__xludf.DUMMYFUNCTION("""COMPUTED_VALUE"""),"BLUE PAISLEY SKETCHBOOK")</f>
        <v>BLUE PAISLEY SKETCHBOOK</v>
      </c>
      <c r="K1945" s="1">
        <f ca="1">IFERROR(__xludf.DUMMYFUNCTION("""COMPUTED_VALUE"""),1)</f>
        <v>1</v>
      </c>
      <c r="L1945" s="1">
        <f ca="1">IFERROR(__xludf.DUMMYFUNCTION("""COMPUTED_VALUE"""),7.78)</f>
        <v>7.78</v>
      </c>
      <c r="T1945" s="1">
        <f ca="1">IFERROR(__xludf.DUMMYFUNCTION("""COMPUTED_VALUE"""),489597)</f>
        <v>489597</v>
      </c>
      <c r="U1945" s="1">
        <f ca="1">IFERROR(__xludf.DUMMYFUNCTION("""COMPUTED_VALUE"""),7.78)</f>
        <v>7.78</v>
      </c>
    </row>
    <row r="1946" spans="1:21" ht="12.75" x14ac:dyDescent="0.2">
      <c r="A1946" s="3">
        <f ca="1">IFERROR(__xludf.DUMMYFUNCTION("""COMPUTED_VALUE"""),40148.6027777777)</f>
        <v>40148.602777777698</v>
      </c>
      <c r="B1946" s="1">
        <f ca="1">IFERROR(__xludf.DUMMYFUNCTION("""COMPUTED_VALUE"""),11.26)</f>
        <v>11.26</v>
      </c>
      <c r="J1946" s="1" t="str">
        <f ca="1">IFERROR(__xludf.DUMMYFUNCTION("""COMPUTED_VALUE"""),"BLACK EAR MUFF HEADPHONES")</f>
        <v>BLACK EAR MUFF HEADPHONES</v>
      </c>
      <c r="K1946" s="1">
        <f ca="1">IFERROR(__xludf.DUMMYFUNCTION("""COMPUTED_VALUE"""),1)</f>
        <v>1</v>
      </c>
      <c r="L1946" s="1">
        <f ca="1">IFERROR(__xludf.DUMMYFUNCTION("""COMPUTED_VALUE"""),11.26)</f>
        <v>11.26</v>
      </c>
      <c r="T1946" s="1">
        <f ca="1">IFERROR(__xludf.DUMMYFUNCTION("""COMPUTED_VALUE"""),489597)</f>
        <v>489597</v>
      </c>
      <c r="U1946" s="1">
        <f ca="1">IFERROR(__xludf.DUMMYFUNCTION("""COMPUTED_VALUE"""),11.26)</f>
        <v>11.26</v>
      </c>
    </row>
    <row r="1947" spans="1:21" ht="12.75" x14ac:dyDescent="0.2">
      <c r="A1947" s="3">
        <f ca="1">IFERROR(__xludf.DUMMYFUNCTION("""COMPUTED_VALUE"""),40148.6027777777)</f>
        <v>40148.602777777698</v>
      </c>
      <c r="B1947" s="1">
        <f ca="1">IFERROR(__xludf.DUMMYFUNCTION("""COMPUTED_VALUE"""),11.26)</f>
        <v>11.26</v>
      </c>
      <c r="J1947" s="1" t="str">
        <f ca="1">IFERROR(__xludf.DUMMYFUNCTION("""COMPUTED_VALUE"""),"HEART EAR MUFF HEADPHONES")</f>
        <v>HEART EAR MUFF HEADPHONES</v>
      </c>
      <c r="K1947" s="1">
        <f ca="1">IFERROR(__xludf.DUMMYFUNCTION("""COMPUTED_VALUE"""),1)</f>
        <v>1</v>
      </c>
      <c r="L1947" s="1">
        <f ca="1">IFERROR(__xludf.DUMMYFUNCTION("""COMPUTED_VALUE"""),11.26)</f>
        <v>11.26</v>
      </c>
      <c r="T1947" s="1">
        <f ca="1">IFERROR(__xludf.DUMMYFUNCTION("""COMPUTED_VALUE"""),489597)</f>
        <v>489597</v>
      </c>
      <c r="U1947" s="1">
        <f ca="1">IFERROR(__xludf.DUMMYFUNCTION("""COMPUTED_VALUE"""),11.26)</f>
        <v>11.26</v>
      </c>
    </row>
    <row r="1948" spans="1:21" ht="12.75" x14ac:dyDescent="0.2">
      <c r="A1948" s="3">
        <f ca="1">IFERROR(__xludf.DUMMYFUNCTION("""COMPUTED_VALUE"""),40148.6027777777)</f>
        <v>40148.602777777698</v>
      </c>
      <c r="B1948" s="1">
        <f ca="1">IFERROR(__xludf.DUMMYFUNCTION("""COMPUTED_VALUE"""),26.04)</f>
        <v>26.04</v>
      </c>
      <c r="J1948" s="1" t="str">
        <f ca="1">IFERROR(__xludf.DUMMYFUNCTION("""COMPUTED_VALUE"""),"GOLD WINE GLASS")</f>
        <v>GOLD WINE GLASS</v>
      </c>
      <c r="K1948" s="1">
        <f ca="1">IFERROR(__xludf.DUMMYFUNCTION("""COMPUTED_VALUE"""),1)</f>
        <v>1</v>
      </c>
      <c r="L1948" s="1">
        <f ca="1">IFERROR(__xludf.DUMMYFUNCTION("""COMPUTED_VALUE"""),26.04)</f>
        <v>26.04</v>
      </c>
      <c r="T1948" s="1">
        <f ca="1">IFERROR(__xludf.DUMMYFUNCTION("""COMPUTED_VALUE"""),489597)</f>
        <v>489597</v>
      </c>
      <c r="U1948" s="1">
        <f ca="1">IFERROR(__xludf.DUMMYFUNCTION("""COMPUTED_VALUE"""),26.04)</f>
        <v>26.04</v>
      </c>
    </row>
    <row r="1949" spans="1:21" ht="12.75" x14ac:dyDescent="0.2">
      <c r="A1949" s="3">
        <f ca="1">IFERROR(__xludf.DUMMYFUNCTION("""COMPUTED_VALUE"""),40148.6027777777)</f>
        <v>40148.602777777698</v>
      </c>
      <c r="B1949" s="1">
        <f ca="1">IFERROR(__xludf.DUMMYFUNCTION("""COMPUTED_VALUE"""),5.17)</f>
        <v>5.17</v>
      </c>
      <c r="J1949" s="1" t="str">
        <f ca="1">IFERROR(__xludf.DUMMYFUNCTION("""COMPUTED_VALUE"""),"GLITTER BUTTERFLY CLIPS")</f>
        <v>GLITTER BUTTERFLY CLIPS</v>
      </c>
      <c r="K1949" s="1">
        <f ca="1">IFERROR(__xludf.DUMMYFUNCTION("""COMPUTED_VALUE"""),1)</f>
        <v>1</v>
      </c>
      <c r="L1949" s="1">
        <f ca="1">IFERROR(__xludf.DUMMYFUNCTION("""COMPUTED_VALUE"""),5.17)</f>
        <v>5.17</v>
      </c>
      <c r="T1949" s="1">
        <f ca="1">IFERROR(__xludf.DUMMYFUNCTION("""COMPUTED_VALUE"""),489597)</f>
        <v>489597</v>
      </c>
      <c r="U1949" s="1">
        <f ca="1">IFERROR(__xludf.DUMMYFUNCTION("""COMPUTED_VALUE"""),5.17)</f>
        <v>5.17</v>
      </c>
    </row>
    <row r="1950" spans="1:21" ht="12.75" x14ac:dyDescent="0.2">
      <c r="A1950" s="3">
        <f ca="1">IFERROR(__xludf.DUMMYFUNCTION("""COMPUTED_VALUE"""),40148.6027777777)</f>
        <v>40148.602777777698</v>
      </c>
      <c r="B1950" s="1">
        <f ca="1">IFERROR(__xludf.DUMMYFUNCTION("""COMPUTED_VALUE"""),1.7)</f>
        <v>1.7</v>
      </c>
      <c r="J1950" s="1" t="str">
        <f ca="1">IFERROR(__xludf.DUMMYFUNCTION("""COMPUTED_VALUE"""),"RED FLOCK LOVE HEART PHOTO FRAME")</f>
        <v>RED FLOCK LOVE HEART PHOTO FRAME</v>
      </c>
      <c r="K1950" s="1">
        <f ca="1">IFERROR(__xludf.DUMMYFUNCTION("""COMPUTED_VALUE"""),1)</f>
        <v>1</v>
      </c>
      <c r="L1950" s="1">
        <f ca="1">IFERROR(__xludf.DUMMYFUNCTION("""COMPUTED_VALUE"""),1.7)</f>
        <v>1.7</v>
      </c>
      <c r="T1950" s="1">
        <f ca="1">IFERROR(__xludf.DUMMYFUNCTION("""COMPUTED_VALUE"""),489597)</f>
        <v>489597</v>
      </c>
      <c r="U1950" s="1">
        <f ca="1">IFERROR(__xludf.DUMMYFUNCTION("""COMPUTED_VALUE"""),1.7)</f>
        <v>1.7</v>
      </c>
    </row>
    <row r="1951" spans="1:21" ht="12.75" x14ac:dyDescent="0.2">
      <c r="A1951" s="3">
        <f ca="1">IFERROR(__xludf.DUMMYFUNCTION("""COMPUTED_VALUE"""),40148.6027777777)</f>
        <v>40148.602777777698</v>
      </c>
      <c r="B1951" s="1">
        <f ca="1">IFERROR(__xludf.DUMMYFUNCTION("""COMPUTED_VALUE"""),4.3)</f>
        <v>4.3</v>
      </c>
      <c r="J1951" s="1" t="str">
        <f ca="1">IFERROR(__xludf.DUMMYFUNCTION("""COMPUTED_VALUE"""),"BLUE PATCH PENCIL CASE PINK HEART")</f>
        <v>BLUE PATCH PENCIL CASE PINK HEART</v>
      </c>
      <c r="K1951" s="1">
        <f ca="1">IFERROR(__xludf.DUMMYFUNCTION("""COMPUTED_VALUE"""),1)</f>
        <v>1</v>
      </c>
      <c r="L1951" s="1">
        <f ca="1">IFERROR(__xludf.DUMMYFUNCTION("""COMPUTED_VALUE"""),4.3)</f>
        <v>4.3</v>
      </c>
      <c r="T1951" s="1">
        <f ca="1">IFERROR(__xludf.DUMMYFUNCTION("""COMPUTED_VALUE"""),489597)</f>
        <v>489597</v>
      </c>
      <c r="U1951" s="1">
        <f ca="1">IFERROR(__xludf.DUMMYFUNCTION("""COMPUTED_VALUE"""),4.3)</f>
        <v>4.3</v>
      </c>
    </row>
    <row r="1952" spans="1:21" ht="12.75" x14ac:dyDescent="0.2">
      <c r="A1952" s="3">
        <f ca="1">IFERROR(__xludf.DUMMYFUNCTION("""COMPUTED_VALUE"""),40148.6027777777)</f>
        <v>40148.602777777698</v>
      </c>
      <c r="B1952" s="1">
        <f ca="1">IFERROR(__xludf.DUMMYFUNCTION("""COMPUTED_VALUE"""),4.3)</f>
        <v>4.3</v>
      </c>
      <c r="J1952" s="1" t="str">
        <f ca="1">IFERROR(__xludf.DUMMYFUNCTION("""COMPUTED_VALUE"""),"BOX OF 9 PEBBLE CANDLES")</f>
        <v>BOX OF 9 PEBBLE CANDLES</v>
      </c>
      <c r="K1952" s="1">
        <f ca="1">IFERROR(__xludf.DUMMYFUNCTION("""COMPUTED_VALUE"""),1)</f>
        <v>1</v>
      </c>
      <c r="L1952" s="1">
        <f ca="1">IFERROR(__xludf.DUMMYFUNCTION("""COMPUTED_VALUE"""),4.3)</f>
        <v>4.3</v>
      </c>
      <c r="T1952" s="1">
        <f ca="1">IFERROR(__xludf.DUMMYFUNCTION("""COMPUTED_VALUE"""),489597)</f>
        <v>489597</v>
      </c>
      <c r="U1952" s="1">
        <f ca="1">IFERROR(__xludf.DUMMYFUNCTION("""COMPUTED_VALUE"""),4.3)</f>
        <v>4.3</v>
      </c>
    </row>
    <row r="1953" spans="1:21" ht="12.75" x14ac:dyDescent="0.2">
      <c r="A1953" s="3">
        <f ca="1">IFERROR(__xludf.DUMMYFUNCTION("""COMPUTED_VALUE"""),40148.6027777777)</f>
        <v>40148.602777777698</v>
      </c>
      <c r="B1953" s="1">
        <f ca="1">IFERROR(__xludf.DUMMYFUNCTION("""COMPUTED_VALUE"""),6.04)</f>
        <v>6.04</v>
      </c>
      <c r="J1953" s="1" t="str">
        <f ca="1">IFERROR(__xludf.DUMMYFUNCTION("""COMPUTED_VALUE"""),"SET 3 JARDIN DE FEMME SCENT CANDLES")</f>
        <v>SET 3 JARDIN DE FEMME SCENT CANDLES</v>
      </c>
      <c r="K1953" s="1">
        <f ca="1">IFERROR(__xludf.DUMMYFUNCTION("""COMPUTED_VALUE"""),1)</f>
        <v>1</v>
      </c>
      <c r="L1953" s="1">
        <f ca="1">IFERROR(__xludf.DUMMYFUNCTION("""COMPUTED_VALUE"""),6.04)</f>
        <v>6.04</v>
      </c>
      <c r="T1953" s="1">
        <f ca="1">IFERROR(__xludf.DUMMYFUNCTION("""COMPUTED_VALUE"""),489597)</f>
        <v>489597</v>
      </c>
      <c r="U1953" s="1">
        <f ca="1">IFERROR(__xludf.DUMMYFUNCTION("""COMPUTED_VALUE"""),6.04)</f>
        <v>6.04</v>
      </c>
    </row>
    <row r="1954" spans="1:21" ht="12.75" x14ac:dyDescent="0.2">
      <c r="A1954" s="3">
        <f ca="1">IFERROR(__xludf.DUMMYFUNCTION("""COMPUTED_VALUE"""),40148.6027777777)</f>
        <v>40148.602777777698</v>
      </c>
      <c r="B1954" s="1">
        <f ca="1">IFERROR(__xludf.DUMMYFUNCTION("""COMPUTED_VALUE"""),6.04)</f>
        <v>6.04</v>
      </c>
      <c r="J1954" s="1" t="str">
        <f ca="1">IFERROR(__xludf.DUMMYFUNCTION("""COMPUTED_VALUE"""),"VINTAGE NOTEBOOK PARIS DAYS")</f>
        <v>VINTAGE NOTEBOOK PARIS DAYS</v>
      </c>
      <c r="K1954" s="1">
        <f ca="1">IFERROR(__xludf.DUMMYFUNCTION("""COMPUTED_VALUE"""),1)</f>
        <v>1</v>
      </c>
      <c r="L1954" s="1">
        <f ca="1">IFERROR(__xludf.DUMMYFUNCTION("""COMPUTED_VALUE"""),6.04)</f>
        <v>6.04</v>
      </c>
      <c r="T1954" s="1">
        <f ca="1">IFERROR(__xludf.DUMMYFUNCTION("""COMPUTED_VALUE"""),489597)</f>
        <v>489597</v>
      </c>
      <c r="U1954" s="1">
        <f ca="1">IFERROR(__xludf.DUMMYFUNCTION("""COMPUTED_VALUE"""),6.04)</f>
        <v>6.04</v>
      </c>
    </row>
    <row r="1955" spans="1:21" ht="12.75" x14ac:dyDescent="0.2">
      <c r="A1955" s="3">
        <f ca="1">IFERROR(__xludf.DUMMYFUNCTION("""COMPUTED_VALUE"""),40148.6027777777)</f>
        <v>40148.602777777698</v>
      </c>
      <c r="B1955" s="1">
        <f ca="1">IFERROR(__xludf.DUMMYFUNCTION("""COMPUTED_VALUE"""),13)</f>
        <v>13</v>
      </c>
      <c r="J1955" s="1" t="str">
        <f ca="1">IFERROR(__xludf.DUMMYFUNCTION("""COMPUTED_VALUE"""),"VINTAGE KEEPSAKE BOX TRAVELOGUE")</f>
        <v>VINTAGE KEEPSAKE BOX TRAVELOGUE</v>
      </c>
      <c r="K1955" s="1">
        <f ca="1">IFERROR(__xludf.DUMMYFUNCTION("""COMPUTED_VALUE"""),1)</f>
        <v>1</v>
      </c>
      <c r="L1955" s="1">
        <f ca="1">IFERROR(__xludf.DUMMYFUNCTION("""COMPUTED_VALUE"""),13)</f>
        <v>13</v>
      </c>
      <c r="T1955" s="1">
        <f ca="1">IFERROR(__xludf.DUMMYFUNCTION("""COMPUTED_VALUE"""),489597)</f>
        <v>489597</v>
      </c>
      <c r="U1955" s="1">
        <f ca="1">IFERROR(__xludf.DUMMYFUNCTION("""COMPUTED_VALUE"""),13)</f>
        <v>13</v>
      </c>
    </row>
    <row r="1956" spans="1:21" ht="12.75" x14ac:dyDescent="0.2">
      <c r="A1956" s="3">
        <f ca="1">IFERROR(__xludf.DUMMYFUNCTION("""COMPUTED_VALUE"""),40148.6027777777)</f>
        <v>40148.602777777698</v>
      </c>
      <c r="B1956" s="1">
        <f ca="1">IFERROR(__xludf.DUMMYFUNCTION("""COMPUTED_VALUE"""),6.04)</f>
        <v>6.04</v>
      </c>
      <c r="J1956" s="1" t="str">
        <f ca="1">IFERROR(__xludf.DUMMYFUNCTION("""COMPUTED_VALUE"""),"SET/5 RED SPOTTY LID GLASS BOWLS")</f>
        <v>SET/5 RED SPOTTY LID GLASS BOWLS</v>
      </c>
      <c r="K1956" s="1">
        <f ca="1">IFERROR(__xludf.DUMMYFUNCTION("""COMPUTED_VALUE"""),1)</f>
        <v>1</v>
      </c>
      <c r="L1956" s="1">
        <f ca="1">IFERROR(__xludf.DUMMYFUNCTION("""COMPUTED_VALUE"""),6.04)</f>
        <v>6.04</v>
      </c>
      <c r="T1956" s="1">
        <f ca="1">IFERROR(__xludf.DUMMYFUNCTION("""COMPUTED_VALUE"""),489597)</f>
        <v>489597</v>
      </c>
      <c r="U1956" s="1">
        <f ca="1">IFERROR(__xludf.DUMMYFUNCTION("""COMPUTED_VALUE"""),6.04)</f>
        <v>6.04</v>
      </c>
    </row>
    <row r="1957" spans="1:21" ht="12.75" x14ac:dyDescent="0.2">
      <c r="A1957" s="3">
        <f ca="1">IFERROR(__xludf.DUMMYFUNCTION("""COMPUTED_VALUE"""),40148.6027777777)</f>
        <v>40148.602777777698</v>
      </c>
      <c r="B1957" s="1">
        <f ca="1">IFERROR(__xludf.DUMMYFUNCTION("""COMPUTED_VALUE"""),6.04)</f>
        <v>6.04</v>
      </c>
      <c r="J1957" s="1" t="str">
        <f ca="1">IFERROR(__xludf.DUMMYFUNCTION("""COMPUTED_VALUE"""),"SET/6 GARDEN GNOME T-LIGHT CANDLES")</f>
        <v>SET/6 GARDEN GNOME T-LIGHT CANDLES</v>
      </c>
      <c r="K1957" s="1">
        <f ca="1">IFERROR(__xludf.DUMMYFUNCTION("""COMPUTED_VALUE"""),1)</f>
        <v>1</v>
      </c>
      <c r="L1957" s="1">
        <f ca="1">IFERROR(__xludf.DUMMYFUNCTION("""COMPUTED_VALUE"""),6.04)</f>
        <v>6.04</v>
      </c>
      <c r="T1957" s="1">
        <f ca="1">IFERROR(__xludf.DUMMYFUNCTION("""COMPUTED_VALUE"""),489597)</f>
        <v>489597</v>
      </c>
      <c r="U1957" s="1">
        <f ca="1">IFERROR(__xludf.DUMMYFUNCTION("""COMPUTED_VALUE"""),6.04)</f>
        <v>6.04</v>
      </c>
    </row>
    <row r="1958" spans="1:21" ht="12.75" x14ac:dyDescent="0.2">
      <c r="A1958" s="3">
        <f ca="1">IFERROR(__xludf.DUMMYFUNCTION("""COMPUTED_VALUE"""),40148.6027777777)</f>
        <v>40148.602777777698</v>
      </c>
      <c r="B1958" s="1">
        <f ca="1">IFERROR(__xludf.DUMMYFUNCTION("""COMPUTED_VALUE"""),7.78)</f>
        <v>7.78</v>
      </c>
      <c r="J1958" s="1" t="str">
        <f ca="1">IFERROR(__xludf.DUMMYFUNCTION("""COMPUTED_VALUE"""),"PINK FLORAL FELTCRAFT SHOULDER BAG")</f>
        <v>PINK FLORAL FELTCRAFT SHOULDER BAG</v>
      </c>
      <c r="K1958" s="1">
        <f ca="1">IFERROR(__xludf.DUMMYFUNCTION("""COMPUTED_VALUE"""),1)</f>
        <v>1</v>
      </c>
      <c r="L1958" s="1">
        <f ca="1">IFERROR(__xludf.DUMMYFUNCTION("""COMPUTED_VALUE"""),7.78)</f>
        <v>7.78</v>
      </c>
      <c r="T1958" s="1">
        <f ca="1">IFERROR(__xludf.DUMMYFUNCTION("""COMPUTED_VALUE"""),489597)</f>
        <v>489597</v>
      </c>
      <c r="U1958" s="1">
        <f ca="1">IFERROR(__xludf.DUMMYFUNCTION("""COMPUTED_VALUE"""),7.78)</f>
        <v>7.78</v>
      </c>
    </row>
    <row r="1959" spans="1:21" ht="12.75" x14ac:dyDescent="0.2">
      <c r="A1959" s="3">
        <f ca="1">IFERROR(__xludf.DUMMYFUNCTION("""COMPUTED_VALUE"""),40148.6027777777)</f>
        <v>40148.602777777698</v>
      </c>
      <c r="B1959" s="1">
        <f ca="1">IFERROR(__xludf.DUMMYFUNCTION("""COMPUTED_VALUE"""),2.57)</f>
        <v>2.57</v>
      </c>
      <c r="J1959" s="1" t="str">
        <f ca="1">IFERROR(__xludf.DUMMYFUNCTION("""COMPUTED_VALUE"""),"PINK CREAM FELT CRAFT TRINKET BOX")</f>
        <v>PINK CREAM FELT CRAFT TRINKET BOX</v>
      </c>
      <c r="K1959" s="1">
        <f ca="1">IFERROR(__xludf.DUMMYFUNCTION("""COMPUTED_VALUE"""),1)</f>
        <v>1</v>
      </c>
      <c r="L1959" s="1">
        <f ca="1">IFERROR(__xludf.DUMMYFUNCTION("""COMPUTED_VALUE"""),2.57)</f>
        <v>2.57</v>
      </c>
      <c r="T1959" s="1">
        <f ca="1">IFERROR(__xludf.DUMMYFUNCTION("""COMPUTED_VALUE"""),489597)</f>
        <v>489597</v>
      </c>
      <c r="U1959" s="1">
        <f ca="1">IFERROR(__xludf.DUMMYFUNCTION("""COMPUTED_VALUE"""),2.57)</f>
        <v>2.57</v>
      </c>
    </row>
    <row r="1960" spans="1:21" ht="12.75" x14ac:dyDescent="0.2">
      <c r="A1960" s="3">
        <f ca="1">IFERROR(__xludf.DUMMYFUNCTION("""COMPUTED_VALUE"""),40148.6027777777)</f>
        <v>40148.602777777698</v>
      </c>
      <c r="B1960" s="1">
        <f ca="1">IFERROR(__xludf.DUMMYFUNCTION("""COMPUTED_VALUE"""),1.3)</f>
        <v>1.3</v>
      </c>
      <c r="J1960" s="1" t="str">
        <f ca="1">IFERROR(__xludf.DUMMYFUNCTION("""COMPUTED_VALUE"""),"12 PENCILS SMALL TUBE SKULL")</f>
        <v>12 PENCILS SMALL TUBE SKULL</v>
      </c>
      <c r="K1960" s="1">
        <f ca="1">IFERROR(__xludf.DUMMYFUNCTION("""COMPUTED_VALUE"""),1)</f>
        <v>1</v>
      </c>
      <c r="L1960" s="1">
        <f ca="1">IFERROR(__xludf.DUMMYFUNCTION("""COMPUTED_VALUE"""),1.3)</f>
        <v>1.3</v>
      </c>
      <c r="T1960" s="1">
        <f ca="1">IFERROR(__xludf.DUMMYFUNCTION("""COMPUTED_VALUE"""),489597)</f>
        <v>489597</v>
      </c>
      <c r="U1960" s="1">
        <f ca="1">IFERROR(__xludf.DUMMYFUNCTION("""COMPUTED_VALUE"""),1.3)</f>
        <v>1.3</v>
      </c>
    </row>
    <row r="1961" spans="1:21" ht="12.75" x14ac:dyDescent="0.2">
      <c r="A1961" s="3">
        <f ca="1">IFERROR(__xludf.DUMMYFUNCTION("""COMPUTED_VALUE"""),40148.6027777777)</f>
        <v>40148.602777777698</v>
      </c>
      <c r="B1961" s="1">
        <f ca="1">IFERROR(__xludf.DUMMYFUNCTION("""COMPUTED_VALUE"""),1.3)</f>
        <v>1.3</v>
      </c>
      <c r="J1961" s="1" t="str">
        <f ca="1">IFERROR(__xludf.DUMMYFUNCTION("""COMPUTED_VALUE"""),"12 PENCILS SMALL TUBE RED SPOTTY")</f>
        <v>12 PENCILS SMALL TUBE RED SPOTTY</v>
      </c>
      <c r="K1961" s="1">
        <f ca="1">IFERROR(__xludf.DUMMYFUNCTION("""COMPUTED_VALUE"""),1)</f>
        <v>1</v>
      </c>
      <c r="L1961" s="1">
        <f ca="1">IFERROR(__xludf.DUMMYFUNCTION("""COMPUTED_VALUE"""),1.3)</f>
        <v>1.3</v>
      </c>
      <c r="T1961" s="1">
        <f ca="1">IFERROR(__xludf.DUMMYFUNCTION("""COMPUTED_VALUE"""),489597)</f>
        <v>489597</v>
      </c>
      <c r="U1961" s="1">
        <f ca="1">IFERROR(__xludf.DUMMYFUNCTION("""COMPUTED_VALUE"""),1.3)</f>
        <v>1.3</v>
      </c>
    </row>
    <row r="1962" spans="1:21" ht="12.75" x14ac:dyDescent="0.2">
      <c r="A1962" s="3">
        <f ca="1">IFERROR(__xludf.DUMMYFUNCTION("""COMPUTED_VALUE"""),40148.6027777777)</f>
        <v>40148.602777777698</v>
      </c>
      <c r="B1962" s="1">
        <f ca="1">IFERROR(__xludf.DUMMYFUNCTION("""COMPUTED_VALUE"""),2.57)</f>
        <v>2.57</v>
      </c>
      <c r="J1962" s="1" t="str">
        <f ca="1">IFERROR(__xludf.DUMMYFUNCTION("""COMPUTED_VALUE"""),"36 PENCILS TUBE SKULLS")</f>
        <v>36 PENCILS TUBE SKULLS</v>
      </c>
      <c r="K1962" s="1">
        <f ca="1">IFERROR(__xludf.DUMMYFUNCTION("""COMPUTED_VALUE"""),1)</f>
        <v>1</v>
      </c>
      <c r="L1962" s="1">
        <f ca="1">IFERROR(__xludf.DUMMYFUNCTION("""COMPUTED_VALUE"""),2.57)</f>
        <v>2.57</v>
      </c>
      <c r="T1962" s="1">
        <f ca="1">IFERROR(__xludf.DUMMYFUNCTION("""COMPUTED_VALUE"""),489597)</f>
        <v>489597</v>
      </c>
      <c r="U1962" s="1">
        <f ca="1">IFERROR(__xludf.DUMMYFUNCTION("""COMPUTED_VALUE"""),2.57)</f>
        <v>2.57</v>
      </c>
    </row>
    <row r="1963" spans="1:21" ht="12.75" x14ac:dyDescent="0.2">
      <c r="A1963" s="3">
        <f ca="1">IFERROR(__xludf.DUMMYFUNCTION("""COMPUTED_VALUE"""),40148.6027777777)</f>
        <v>40148.602777777698</v>
      </c>
      <c r="B1963" s="1">
        <f ca="1">IFERROR(__xludf.DUMMYFUNCTION("""COMPUTED_VALUE"""),2.57)</f>
        <v>2.57</v>
      </c>
      <c r="J1963" s="1" t="str">
        <f ca="1">IFERROR(__xludf.DUMMYFUNCTION("""COMPUTED_VALUE"""),"36 PENCILS TUBE POSY")</f>
        <v>36 PENCILS TUBE POSY</v>
      </c>
      <c r="K1963" s="1">
        <f ca="1">IFERROR(__xludf.DUMMYFUNCTION("""COMPUTED_VALUE"""),1)</f>
        <v>1</v>
      </c>
      <c r="L1963" s="1">
        <f ca="1">IFERROR(__xludf.DUMMYFUNCTION("""COMPUTED_VALUE"""),2.57)</f>
        <v>2.57</v>
      </c>
      <c r="T1963" s="1">
        <f ca="1">IFERROR(__xludf.DUMMYFUNCTION("""COMPUTED_VALUE"""),489597)</f>
        <v>489597</v>
      </c>
      <c r="U1963" s="1">
        <f ca="1">IFERROR(__xludf.DUMMYFUNCTION("""COMPUTED_VALUE"""),2.57)</f>
        <v>2.57</v>
      </c>
    </row>
    <row r="1964" spans="1:21" ht="12.75" x14ac:dyDescent="0.2">
      <c r="A1964" s="3">
        <f ca="1">IFERROR(__xludf.DUMMYFUNCTION("""COMPUTED_VALUE"""),40148.6027777777)</f>
        <v>40148.602777777698</v>
      </c>
      <c r="B1964" s="1">
        <f ca="1">IFERROR(__xludf.DUMMYFUNCTION("""COMPUTED_VALUE"""),1.7)</f>
        <v>1.7</v>
      </c>
      <c r="J1964" s="1" t="str">
        <f ca="1">IFERROR(__xludf.DUMMYFUNCTION("""COMPUTED_VALUE"""),"12 PENCILS TALL TUBE RED SPOTTY")</f>
        <v>12 PENCILS TALL TUBE RED SPOTTY</v>
      </c>
      <c r="K1964" s="1">
        <f ca="1">IFERROR(__xludf.DUMMYFUNCTION("""COMPUTED_VALUE"""),1)</f>
        <v>1</v>
      </c>
      <c r="L1964" s="1">
        <f ca="1">IFERROR(__xludf.DUMMYFUNCTION("""COMPUTED_VALUE"""),1.7)</f>
        <v>1.7</v>
      </c>
      <c r="T1964" s="1">
        <f ca="1">IFERROR(__xludf.DUMMYFUNCTION("""COMPUTED_VALUE"""),489597)</f>
        <v>489597</v>
      </c>
      <c r="U1964" s="1">
        <f ca="1">IFERROR(__xludf.DUMMYFUNCTION("""COMPUTED_VALUE"""),1.7)</f>
        <v>1.7</v>
      </c>
    </row>
    <row r="1965" spans="1:21" ht="12.75" x14ac:dyDescent="0.2">
      <c r="A1965" s="3">
        <f ca="1">IFERROR(__xludf.DUMMYFUNCTION("""COMPUTED_VALUE"""),40148.6027777777)</f>
        <v>40148.602777777698</v>
      </c>
      <c r="B1965" s="1">
        <f ca="1">IFERROR(__xludf.DUMMYFUNCTION("""COMPUTED_VALUE"""),1.7)</f>
        <v>1.7</v>
      </c>
      <c r="J1965" s="1" t="str">
        <f ca="1">IFERROR(__xludf.DUMMYFUNCTION("""COMPUTED_VALUE"""),"12 PENCILS TALL TUBE POSY")</f>
        <v>12 PENCILS TALL TUBE POSY</v>
      </c>
      <c r="K1965" s="1">
        <f ca="1">IFERROR(__xludf.DUMMYFUNCTION("""COMPUTED_VALUE"""),1)</f>
        <v>1</v>
      </c>
      <c r="L1965" s="1">
        <f ca="1">IFERROR(__xludf.DUMMYFUNCTION("""COMPUTED_VALUE"""),1.7)</f>
        <v>1.7</v>
      </c>
      <c r="T1965" s="1">
        <f ca="1">IFERROR(__xludf.DUMMYFUNCTION("""COMPUTED_VALUE"""),489597)</f>
        <v>489597</v>
      </c>
      <c r="U1965" s="1">
        <f ca="1">IFERROR(__xludf.DUMMYFUNCTION("""COMPUTED_VALUE"""),1.7)</f>
        <v>1.7</v>
      </c>
    </row>
    <row r="1966" spans="1:21" ht="12.75" x14ac:dyDescent="0.2">
      <c r="A1966" s="3">
        <f ca="1">IFERROR(__xludf.DUMMYFUNCTION("""COMPUTED_VALUE"""),40148.6027777777)</f>
        <v>40148.602777777698</v>
      </c>
      <c r="B1966" s="1">
        <f ca="1">IFERROR(__xludf.DUMMYFUNCTION("""COMPUTED_VALUE"""),4.3)</f>
        <v>4.3</v>
      </c>
      <c r="J1966" s="1" t="str">
        <f ca="1">IFERROR(__xludf.DUMMYFUNCTION("""COMPUTED_VALUE"""),"GEISHA GIRL CHOPSTICKS SET/5")</f>
        <v>GEISHA GIRL CHOPSTICKS SET/5</v>
      </c>
      <c r="K1966" s="1">
        <f ca="1">IFERROR(__xludf.DUMMYFUNCTION("""COMPUTED_VALUE"""),1)</f>
        <v>1</v>
      </c>
      <c r="L1966" s="1">
        <f ca="1">IFERROR(__xludf.DUMMYFUNCTION("""COMPUTED_VALUE"""),4.3)</f>
        <v>4.3</v>
      </c>
      <c r="T1966" s="1">
        <f ca="1">IFERROR(__xludf.DUMMYFUNCTION("""COMPUTED_VALUE"""),489597)</f>
        <v>489597</v>
      </c>
      <c r="U1966" s="1">
        <f ca="1">IFERROR(__xludf.DUMMYFUNCTION("""COMPUTED_VALUE"""),4.3)</f>
        <v>4.3</v>
      </c>
    </row>
    <row r="1967" spans="1:21" ht="12.75" x14ac:dyDescent="0.2">
      <c r="A1967" s="3">
        <f ca="1">IFERROR(__xludf.DUMMYFUNCTION("""COMPUTED_VALUE"""),40148.6027777777)</f>
        <v>40148.602777777698</v>
      </c>
      <c r="B1967" s="1">
        <f ca="1">IFERROR(__xludf.DUMMYFUNCTION("""COMPUTED_VALUE"""),1.3)</f>
        <v>1.3</v>
      </c>
      <c r="J1967" s="1" t="str">
        <f ca="1">IFERROR(__xludf.DUMMYFUNCTION("""COMPUTED_VALUE"""),"JAZZ HEARTS MAGNETIC MEMO PAD")</f>
        <v>JAZZ HEARTS MAGNETIC MEMO PAD</v>
      </c>
      <c r="K1967" s="1">
        <f ca="1">IFERROR(__xludf.DUMMYFUNCTION("""COMPUTED_VALUE"""),1)</f>
        <v>1</v>
      </c>
      <c r="L1967" s="1">
        <f ca="1">IFERROR(__xludf.DUMMYFUNCTION("""COMPUTED_VALUE"""),1.3)</f>
        <v>1.3</v>
      </c>
      <c r="T1967" s="1">
        <f ca="1">IFERROR(__xludf.DUMMYFUNCTION("""COMPUTED_VALUE"""),489597)</f>
        <v>489597</v>
      </c>
      <c r="U1967" s="1">
        <f ca="1">IFERROR(__xludf.DUMMYFUNCTION("""COMPUTED_VALUE"""),1.3)</f>
        <v>1.3</v>
      </c>
    </row>
    <row r="1968" spans="1:21" ht="12.75" x14ac:dyDescent="0.2">
      <c r="A1968" s="3">
        <f ca="1">IFERROR(__xludf.DUMMYFUNCTION("""COMPUTED_VALUE"""),40148.6027777777)</f>
        <v>40148.602777777698</v>
      </c>
      <c r="B1968" s="1">
        <f ca="1">IFERROR(__xludf.DUMMYFUNCTION("""COMPUTED_VALUE"""),4.3)</f>
        <v>4.3</v>
      </c>
      <c r="J1968" s="1" t="str">
        <f ca="1">IFERROR(__xludf.DUMMYFUNCTION("""COMPUTED_VALUE"""),"ANTIQUE ALL GLASS CANDLESTICK")</f>
        <v>ANTIQUE ALL GLASS CANDLESTICK</v>
      </c>
      <c r="K1968" s="1">
        <f ca="1">IFERROR(__xludf.DUMMYFUNCTION("""COMPUTED_VALUE"""),1)</f>
        <v>1</v>
      </c>
      <c r="L1968" s="1">
        <f ca="1">IFERROR(__xludf.DUMMYFUNCTION("""COMPUTED_VALUE"""),4.3)</f>
        <v>4.3</v>
      </c>
      <c r="T1968" s="1">
        <f ca="1">IFERROR(__xludf.DUMMYFUNCTION("""COMPUTED_VALUE"""),489597)</f>
        <v>489597</v>
      </c>
      <c r="U1968" s="1">
        <f ca="1">IFERROR(__xludf.DUMMYFUNCTION("""COMPUTED_VALUE"""),4.3)</f>
        <v>4.3</v>
      </c>
    </row>
    <row r="1969" spans="1:21" ht="12.75" x14ac:dyDescent="0.2">
      <c r="A1969" s="3">
        <f ca="1">IFERROR(__xludf.DUMMYFUNCTION("""COMPUTED_VALUE"""),40148.6027777777)</f>
        <v>40148.602777777698</v>
      </c>
      <c r="B1969" s="1">
        <f ca="1">IFERROR(__xludf.DUMMYFUNCTION("""COMPUTED_VALUE"""),2.57)</f>
        <v>2.57</v>
      </c>
      <c r="J1969" s="1" t="str">
        <f ca="1">IFERROR(__xludf.DUMMYFUNCTION("""COMPUTED_VALUE"""),"SPACE FROG")</f>
        <v>SPACE FROG</v>
      </c>
      <c r="K1969" s="1">
        <f ca="1">IFERROR(__xludf.DUMMYFUNCTION("""COMPUTED_VALUE"""),1)</f>
        <v>1</v>
      </c>
      <c r="L1969" s="1">
        <f ca="1">IFERROR(__xludf.DUMMYFUNCTION("""COMPUTED_VALUE"""),2.57)</f>
        <v>2.57</v>
      </c>
      <c r="T1969" s="1">
        <f ca="1">IFERROR(__xludf.DUMMYFUNCTION("""COMPUTED_VALUE"""),489597)</f>
        <v>489597</v>
      </c>
      <c r="U1969" s="1">
        <f ca="1">IFERROR(__xludf.DUMMYFUNCTION("""COMPUTED_VALUE"""),2.57)</f>
        <v>2.57</v>
      </c>
    </row>
    <row r="1970" spans="1:21" ht="12.75" x14ac:dyDescent="0.2">
      <c r="A1970" s="3">
        <f ca="1">IFERROR(__xludf.DUMMYFUNCTION("""COMPUTED_VALUE"""),40148.6027777777)</f>
        <v>40148.602777777698</v>
      </c>
      <c r="B1970" s="1">
        <f ca="1">IFERROR(__xludf.DUMMYFUNCTION("""COMPUTED_VALUE"""),6.04)</f>
        <v>6.04</v>
      </c>
      <c r="J1970" s="1" t="str">
        <f ca="1">IFERROR(__xludf.DUMMYFUNCTION("""COMPUTED_VALUE"""),"SET/2 RED SPOTTY TEA TOWELS")</f>
        <v>SET/2 RED SPOTTY TEA TOWELS</v>
      </c>
      <c r="K1970" s="1">
        <f ca="1">IFERROR(__xludf.DUMMYFUNCTION("""COMPUTED_VALUE"""),1)</f>
        <v>1</v>
      </c>
      <c r="L1970" s="1">
        <f ca="1">IFERROR(__xludf.DUMMYFUNCTION("""COMPUTED_VALUE"""),6.04)</f>
        <v>6.04</v>
      </c>
      <c r="T1970" s="1">
        <f ca="1">IFERROR(__xludf.DUMMYFUNCTION("""COMPUTED_VALUE"""),489597)</f>
        <v>489597</v>
      </c>
      <c r="U1970" s="1">
        <f ca="1">IFERROR(__xludf.DUMMYFUNCTION("""COMPUTED_VALUE"""),6.04)</f>
        <v>6.04</v>
      </c>
    </row>
    <row r="1971" spans="1:21" ht="12.75" x14ac:dyDescent="0.2">
      <c r="A1971" s="3">
        <f ca="1">IFERROR(__xludf.DUMMYFUNCTION("""COMPUTED_VALUE"""),40148.6027777777)</f>
        <v>40148.602777777698</v>
      </c>
      <c r="B1971" s="1">
        <f ca="1">IFERROR(__xludf.DUMMYFUNCTION("""COMPUTED_VALUE"""),17.35)</f>
        <v>17.350000000000001</v>
      </c>
      <c r="J1971" s="1" t="str">
        <f ca="1">IFERROR(__xludf.DUMMYFUNCTION("""COMPUTED_VALUE"""),"TOOL BOX SOFT TOY")</f>
        <v>TOOL BOX SOFT TOY</v>
      </c>
      <c r="K1971" s="1">
        <f ca="1">IFERROR(__xludf.DUMMYFUNCTION("""COMPUTED_VALUE"""),1)</f>
        <v>1</v>
      </c>
      <c r="L1971" s="1">
        <f ca="1">IFERROR(__xludf.DUMMYFUNCTION("""COMPUTED_VALUE"""),17.35)</f>
        <v>17.350000000000001</v>
      </c>
      <c r="T1971" s="1">
        <f ca="1">IFERROR(__xludf.DUMMYFUNCTION("""COMPUTED_VALUE"""),489597)</f>
        <v>489597</v>
      </c>
      <c r="U1971" s="1">
        <f ca="1">IFERROR(__xludf.DUMMYFUNCTION("""COMPUTED_VALUE"""),17.35)</f>
        <v>17.350000000000001</v>
      </c>
    </row>
    <row r="1972" spans="1:21" ht="12.75" x14ac:dyDescent="0.2">
      <c r="A1972" s="3">
        <f ca="1">IFERROR(__xludf.DUMMYFUNCTION("""COMPUTED_VALUE"""),40148.6027777777)</f>
        <v>40148.602777777698</v>
      </c>
      <c r="B1972" s="1">
        <f ca="1">IFERROR(__xludf.DUMMYFUNCTION("""COMPUTED_VALUE"""),12.13)</f>
        <v>12.13</v>
      </c>
      <c r="J1972" s="1" t="str">
        <f ca="1">IFERROR(__xludf.DUMMYFUNCTION("""COMPUTED_VALUE"""),"BOOM BOX SPEAKER BOYS")</f>
        <v>BOOM BOX SPEAKER BOYS</v>
      </c>
      <c r="K1972" s="1">
        <f ca="1">IFERROR(__xludf.DUMMYFUNCTION("""COMPUTED_VALUE"""),1)</f>
        <v>1</v>
      </c>
      <c r="L1972" s="1">
        <f ca="1">IFERROR(__xludf.DUMMYFUNCTION("""COMPUTED_VALUE"""),12.13)</f>
        <v>12.13</v>
      </c>
      <c r="T1972" s="1">
        <f ca="1">IFERROR(__xludf.DUMMYFUNCTION("""COMPUTED_VALUE"""),489597)</f>
        <v>489597</v>
      </c>
      <c r="U1972" s="1">
        <f ca="1">IFERROR(__xludf.DUMMYFUNCTION("""COMPUTED_VALUE"""),12.13)</f>
        <v>12.13</v>
      </c>
    </row>
    <row r="1973" spans="1:21" ht="12.75" x14ac:dyDescent="0.2">
      <c r="A1973" s="3">
        <f ca="1">IFERROR(__xludf.DUMMYFUNCTION("""COMPUTED_VALUE"""),40148.6027777777)</f>
        <v>40148.602777777698</v>
      </c>
      <c r="B1973" s="1">
        <f ca="1">IFERROR(__xludf.DUMMYFUNCTION("""COMPUTED_VALUE"""),2.57)</f>
        <v>2.57</v>
      </c>
      <c r="J1973" s="1" t="str">
        <f ca="1">IFERROR(__xludf.DUMMYFUNCTION("""COMPUTED_VALUE"""),"VINTAGE BILLBOARD TEA MUG")</f>
        <v>VINTAGE BILLBOARD TEA MUG</v>
      </c>
      <c r="K1973" s="1">
        <f ca="1">IFERROR(__xludf.DUMMYFUNCTION("""COMPUTED_VALUE"""),1)</f>
        <v>1</v>
      </c>
      <c r="L1973" s="1">
        <f ca="1">IFERROR(__xludf.DUMMYFUNCTION("""COMPUTED_VALUE"""),2.57)</f>
        <v>2.57</v>
      </c>
      <c r="T1973" s="1">
        <f ca="1">IFERROR(__xludf.DUMMYFUNCTION("""COMPUTED_VALUE"""),489597)</f>
        <v>489597</v>
      </c>
      <c r="U1973" s="1">
        <f ca="1">IFERROR(__xludf.DUMMYFUNCTION("""COMPUTED_VALUE"""),2.57)</f>
        <v>2.57</v>
      </c>
    </row>
    <row r="1974" spans="1:21" ht="12.75" x14ac:dyDescent="0.2">
      <c r="A1974" s="3">
        <f ca="1">IFERROR(__xludf.DUMMYFUNCTION("""COMPUTED_VALUE"""),40148.6027777777)</f>
        <v>40148.602777777698</v>
      </c>
      <c r="B1974" s="1">
        <f ca="1">IFERROR(__xludf.DUMMYFUNCTION("""COMPUTED_VALUE"""),13.87)</f>
        <v>13.87</v>
      </c>
      <c r="J1974" s="1" t="str">
        <f ca="1">IFERROR(__xludf.DUMMYFUNCTION("""COMPUTED_VALUE"""),"LARGE CAKE TOWEL PINK SPOTS")</f>
        <v>LARGE CAKE TOWEL PINK SPOTS</v>
      </c>
      <c r="K1974" s="1">
        <f ca="1">IFERROR(__xludf.DUMMYFUNCTION("""COMPUTED_VALUE"""),1)</f>
        <v>1</v>
      </c>
      <c r="L1974" s="1">
        <f ca="1">IFERROR(__xludf.DUMMYFUNCTION("""COMPUTED_VALUE"""),13.87)</f>
        <v>13.87</v>
      </c>
      <c r="T1974" s="1">
        <f ca="1">IFERROR(__xludf.DUMMYFUNCTION("""COMPUTED_VALUE"""),489597)</f>
        <v>489597</v>
      </c>
      <c r="U1974" s="1">
        <f ca="1">IFERROR(__xludf.DUMMYFUNCTION("""COMPUTED_VALUE"""),13.87)</f>
        <v>13.87</v>
      </c>
    </row>
    <row r="1975" spans="1:21" ht="12.75" x14ac:dyDescent="0.2">
      <c r="A1975" s="3">
        <f ca="1">IFERROR(__xludf.DUMMYFUNCTION("""COMPUTED_VALUE"""),40148.6027777777)</f>
        <v>40148.602777777698</v>
      </c>
      <c r="B1975" s="1">
        <f ca="1">IFERROR(__xludf.DUMMYFUNCTION("""COMPUTED_VALUE"""),14.74)</f>
        <v>14.74</v>
      </c>
      <c r="J1975" s="1" t="str">
        <f ca="1">IFERROR(__xludf.DUMMYFUNCTION("""COMPUTED_VALUE"""),"ROSE CARAVAN DOORSTOP")</f>
        <v>ROSE CARAVAN DOORSTOP</v>
      </c>
      <c r="K1975" s="1">
        <f ca="1">IFERROR(__xludf.DUMMYFUNCTION("""COMPUTED_VALUE"""),1)</f>
        <v>1</v>
      </c>
      <c r="L1975" s="1">
        <f ca="1">IFERROR(__xludf.DUMMYFUNCTION("""COMPUTED_VALUE"""),14.74)</f>
        <v>14.74</v>
      </c>
      <c r="T1975" s="1">
        <f ca="1">IFERROR(__xludf.DUMMYFUNCTION("""COMPUTED_VALUE"""),489597)</f>
        <v>489597</v>
      </c>
      <c r="U1975" s="1">
        <f ca="1">IFERROR(__xludf.DUMMYFUNCTION("""COMPUTED_VALUE"""),14.74)</f>
        <v>14.74</v>
      </c>
    </row>
    <row r="1976" spans="1:21" ht="12.75" x14ac:dyDescent="0.2">
      <c r="A1976" s="3">
        <f ca="1">IFERROR(__xludf.DUMMYFUNCTION("""COMPUTED_VALUE"""),40148.6027777777)</f>
        <v>40148.602777777698</v>
      </c>
      <c r="B1976" s="1">
        <f ca="1">IFERROR(__xludf.DUMMYFUNCTION("""COMPUTED_VALUE"""),2.57)</f>
        <v>2.57</v>
      </c>
      <c r="J1976" s="1" t="str">
        <f ca="1">IFERROR(__xludf.DUMMYFUNCTION("""COMPUTED_VALUE"""),"SET/10 PINK SPOTTY PARTY CANDLES")</f>
        <v>SET/10 PINK SPOTTY PARTY CANDLES</v>
      </c>
      <c r="K1976" s="1">
        <f ca="1">IFERROR(__xludf.DUMMYFUNCTION("""COMPUTED_VALUE"""),1)</f>
        <v>1</v>
      </c>
      <c r="L1976" s="1">
        <f ca="1">IFERROR(__xludf.DUMMYFUNCTION("""COMPUTED_VALUE"""),2.57)</f>
        <v>2.57</v>
      </c>
      <c r="T1976" s="1">
        <f ca="1">IFERROR(__xludf.DUMMYFUNCTION("""COMPUTED_VALUE"""),489597)</f>
        <v>489597</v>
      </c>
      <c r="U1976" s="1">
        <f ca="1">IFERROR(__xludf.DUMMYFUNCTION("""COMPUTED_VALUE"""),2.57)</f>
        <v>2.57</v>
      </c>
    </row>
    <row r="1977" spans="1:21" ht="12.75" x14ac:dyDescent="0.2">
      <c r="A1977" s="3">
        <f ca="1">IFERROR(__xludf.DUMMYFUNCTION("""COMPUTED_VALUE"""),40148.6027777777)</f>
        <v>40148.602777777698</v>
      </c>
      <c r="B1977" s="1">
        <f ca="1">IFERROR(__xludf.DUMMYFUNCTION("""COMPUTED_VALUE"""),2.57)</f>
        <v>2.57</v>
      </c>
      <c r="J1977" s="1" t="str">
        <f ca="1">IFERROR(__xludf.DUMMYFUNCTION("""COMPUTED_VALUE"""),"SET/10 BLUE SPOTTY PARTY CANDLES")</f>
        <v>SET/10 BLUE SPOTTY PARTY CANDLES</v>
      </c>
      <c r="K1977" s="1">
        <f ca="1">IFERROR(__xludf.DUMMYFUNCTION("""COMPUTED_VALUE"""),1)</f>
        <v>1</v>
      </c>
      <c r="L1977" s="1">
        <f ca="1">IFERROR(__xludf.DUMMYFUNCTION("""COMPUTED_VALUE"""),2.57)</f>
        <v>2.57</v>
      </c>
      <c r="T1977" s="1">
        <f ca="1">IFERROR(__xludf.DUMMYFUNCTION("""COMPUTED_VALUE"""),489597)</f>
        <v>489597</v>
      </c>
      <c r="U1977" s="1">
        <f ca="1">IFERROR(__xludf.DUMMYFUNCTION("""COMPUTED_VALUE"""),2.57)</f>
        <v>2.57</v>
      </c>
    </row>
    <row r="1978" spans="1:21" ht="12.75" x14ac:dyDescent="0.2">
      <c r="A1978" s="3">
        <f ca="1">IFERROR(__xludf.DUMMYFUNCTION("""COMPUTED_VALUE"""),40148.6027777777)</f>
        <v>40148.602777777698</v>
      </c>
      <c r="B1978" s="1">
        <f ca="1">IFERROR(__xludf.DUMMYFUNCTION("""COMPUTED_VALUE"""),26.04)</f>
        <v>26.04</v>
      </c>
      <c r="J1978" s="1" t="str">
        <f ca="1">IFERROR(__xludf.DUMMYFUNCTION("""COMPUTED_VALUE"""),"VICTORIAN METAL POSTCARD CHRISTMAS")</f>
        <v>VICTORIAN METAL POSTCARD CHRISTMAS</v>
      </c>
      <c r="K1978" s="1">
        <f ca="1">IFERROR(__xludf.DUMMYFUNCTION("""COMPUTED_VALUE"""),1)</f>
        <v>1</v>
      </c>
      <c r="L1978" s="1">
        <f ca="1">IFERROR(__xludf.DUMMYFUNCTION("""COMPUTED_VALUE"""),26.04)</f>
        <v>26.04</v>
      </c>
      <c r="T1978" s="1">
        <f ca="1">IFERROR(__xludf.DUMMYFUNCTION("""COMPUTED_VALUE"""),489597)</f>
        <v>489597</v>
      </c>
      <c r="U1978" s="1">
        <f ca="1">IFERROR(__xludf.DUMMYFUNCTION("""COMPUTED_VALUE"""),26.04)</f>
        <v>26.04</v>
      </c>
    </row>
    <row r="1979" spans="1:21" ht="12.75" x14ac:dyDescent="0.2">
      <c r="A1979" s="3">
        <f ca="1">IFERROR(__xludf.DUMMYFUNCTION("""COMPUTED_VALUE"""),40148.6027777777)</f>
        <v>40148.602777777698</v>
      </c>
      <c r="B1979" s="1">
        <f ca="1">IFERROR(__xludf.DUMMYFUNCTION("""COMPUTED_VALUE"""),4.3)</f>
        <v>4.3</v>
      </c>
      <c r="J1979" s="1" t="str">
        <f ca="1">IFERROR(__xludf.DUMMYFUNCTION("""COMPUTED_VALUE"""),"ANTIQUE GLASS HEART DECORATION")</f>
        <v>ANTIQUE GLASS HEART DECORATION</v>
      </c>
      <c r="K1979" s="1">
        <f ca="1">IFERROR(__xludf.DUMMYFUNCTION("""COMPUTED_VALUE"""),1)</f>
        <v>1</v>
      </c>
      <c r="L1979" s="1">
        <f ca="1">IFERROR(__xludf.DUMMYFUNCTION("""COMPUTED_VALUE"""),4.3)</f>
        <v>4.3</v>
      </c>
      <c r="T1979" s="1">
        <f ca="1">IFERROR(__xludf.DUMMYFUNCTION("""COMPUTED_VALUE"""),489597)</f>
        <v>489597</v>
      </c>
      <c r="U1979" s="1">
        <f ca="1">IFERROR(__xludf.DUMMYFUNCTION("""COMPUTED_VALUE"""),4.3)</f>
        <v>4.3</v>
      </c>
    </row>
    <row r="1980" spans="1:21" ht="12.75" x14ac:dyDescent="0.2">
      <c r="A1980" s="3">
        <f ca="1">IFERROR(__xludf.DUMMYFUNCTION("""COMPUTED_VALUE"""),40148.6027777777)</f>
        <v>40148.602777777698</v>
      </c>
      <c r="B1980" s="1">
        <f ca="1">IFERROR(__xludf.DUMMYFUNCTION("""COMPUTED_VALUE"""),14.74)</f>
        <v>14.74</v>
      </c>
      <c r="J1980" s="1" t="str">
        <f ca="1">IFERROR(__xludf.DUMMYFUNCTION("""COMPUTED_VALUE"""),"ANTIQUE GLASS PLACE SETTING")</f>
        <v>ANTIQUE GLASS PLACE SETTING</v>
      </c>
      <c r="K1980" s="1">
        <f ca="1">IFERROR(__xludf.DUMMYFUNCTION("""COMPUTED_VALUE"""),1)</f>
        <v>1</v>
      </c>
      <c r="L1980" s="1">
        <f ca="1">IFERROR(__xludf.DUMMYFUNCTION("""COMPUTED_VALUE"""),14.74)</f>
        <v>14.74</v>
      </c>
      <c r="T1980" s="1">
        <f ca="1">IFERROR(__xludf.DUMMYFUNCTION("""COMPUTED_VALUE"""),489597)</f>
        <v>489597</v>
      </c>
      <c r="U1980" s="1">
        <f ca="1">IFERROR(__xludf.DUMMYFUNCTION("""COMPUTED_VALUE"""),14.74)</f>
        <v>14.74</v>
      </c>
    </row>
    <row r="1981" spans="1:21" ht="12.75" x14ac:dyDescent="0.2">
      <c r="A1981" s="3">
        <f ca="1">IFERROR(__xludf.DUMMYFUNCTION("""COMPUTED_VALUE"""),40148.6027777777)</f>
        <v>40148.602777777698</v>
      </c>
      <c r="B1981" s="1">
        <f ca="1">IFERROR(__xludf.DUMMYFUNCTION("""COMPUTED_VALUE"""),3.43)</f>
        <v>3.43</v>
      </c>
      <c r="J1981" s="1" t="str">
        <f ca="1">IFERROR(__xludf.DUMMYFUNCTION("""COMPUTED_VALUE"""),"KEEP OUT GIRLS DOOR HANGER")</f>
        <v>KEEP OUT GIRLS DOOR HANGER</v>
      </c>
      <c r="K1981" s="1">
        <f ca="1">IFERROR(__xludf.DUMMYFUNCTION("""COMPUTED_VALUE"""),1)</f>
        <v>1</v>
      </c>
      <c r="L1981" s="1">
        <f ca="1">IFERROR(__xludf.DUMMYFUNCTION("""COMPUTED_VALUE"""),3.43)</f>
        <v>3.43</v>
      </c>
      <c r="T1981" s="1">
        <f ca="1">IFERROR(__xludf.DUMMYFUNCTION("""COMPUTED_VALUE"""),489597)</f>
        <v>489597</v>
      </c>
      <c r="U1981" s="1">
        <f ca="1">IFERROR(__xludf.DUMMYFUNCTION("""COMPUTED_VALUE"""),3.43)</f>
        <v>3.43</v>
      </c>
    </row>
    <row r="1982" spans="1:21" ht="12.75" x14ac:dyDescent="0.2">
      <c r="A1982" s="3">
        <f ca="1">IFERROR(__xludf.DUMMYFUNCTION("""COMPUTED_VALUE"""),40148.6027777777)</f>
        <v>40148.602777777698</v>
      </c>
      <c r="B1982" s="1">
        <f ca="1">IFERROR(__xludf.DUMMYFUNCTION("""COMPUTED_VALUE"""),6.04)</f>
        <v>6.04</v>
      </c>
      <c r="J1982" s="1" t="str">
        <f ca="1">IFERROR(__xludf.DUMMYFUNCTION("""COMPUTED_VALUE"""),"HOME SWEET HOME METAL SIGN")</f>
        <v>HOME SWEET HOME METAL SIGN</v>
      </c>
      <c r="K1982" s="1">
        <f ca="1">IFERROR(__xludf.DUMMYFUNCTION("""COMPUTED_VALUE"""),1)</f>
        <v>1</v>
      </c>
      <c r="L1982" s="1">
        <f ca="1">IFERROR(__xludf.DUMMYFUNCTION("""COMPUTED_VALUE"""),6.04)</f>
        <v>6.04</v>
      </c>
      <c r="T1982" s="1">
        <f ca="1">IFERROR(__xludf.DUMMYFUNCTION("""COMPUTED_VALUE"""),489597)</f>
        <v>489597</v>
      </c>
      <c r="U1982" s="1">
        <f ca="1">IFERROR(__xludf.DUMMYFUNCTION("""COMPUTED_VALUE"""),6.04)</f>
        <v>6.04</v>
      </c>
    </row>
    <row r="1983" spans="1:21" ht="12.75" x14ac:dyDescent="0.2">
      <c r="A1983" s="3">
        <f ca="1">IFERROR(__xludf.DUMMYFUNCTION("""COMPUTED_VALUE"""),40148.6027777777)</f>
        <v>40148.602777777698</v>
      </c>
      <c r="B1983" s="1">
        <f ca="1">IFERROR(__xludf.DUMMYFUNCTION("""COMPUTED_VALUE"""),4.3)</f>
        <v>4.3</v>
      </c>
      <c r="J1983" s="1" t="str">
        <f ca="1">IFERROR(__xludf.DUMMYFUNCTION("""COMPUTED_VALUE"""),"LOO ROLL  METAL SIGN")</f>
        <v>LOO ROLL  METAL SIGN</v>
      </c>
      <c r="K1983" s="1">
        <f ca="1">IFERROR(__xludf.DUMMYFUNCTION("""COMPUTED_VALUE"""),1)</f>
        <v>1</v>
      </c>
      <c r="L1983" s="1">
        <f ca="1">IFERROR(__xludf.DUMMYFUNCTION("""COMPUTED_VALUE"""),4.3)</f>
        <v>4.3</v>
      </c>
      <c r="T1983" s="1">
        <f ca="1">IFERROR(__xludf.DUMMYFUNCTION("""COMPUTED_VALUE"""),489597)</f>
        <v>489597</v>
      </c>
      <c r="U1983" s="1">
        <f ca="1">IFERROR(__xludf.DUMMYFUNCTION("""COMPUTED_VALUE"""),4.3)</f>
        <v>4.3</v>
      </c>
    </row>
    <row r="1984" spans="1:21" ht="12.75" x14ac:dyDescent="0.2">
      <c r="A1984" s="3">
        <f ca="1">IFERROR(__xludf.DUMMYFUNCTION("""COMPUTED_VALUE"""),40148.6027777777)</f>
        <v>40148.602777777698</v>
      </c>
      <c r="B1984" s="1">
        <f ca="1">IFERROR(__xludf.DUMMYFUNCTION("""COMPUTED_VALUE"""),4.3)</f>
        <v>4.3</v>
      </c>
      <c r="J1984" s="1" t="str">
        <f ca="1">IFERROR(__xludf.DUMMYFUNCTION("""COMPUTED_VALUE"""),"PLEASE ONE PERSON  METAL SIGN")</f>
        <v>PLEASE ONE PERSON  METAL SIGN</v>
      </c>
      <c r="K1984" s="1">
        <f ca="1">IFERROR(__xludf.DUMMYFUNCTION("""COMPUTED_VALUE"""),1)</f>
        <v>1</v>
      </c>
      <c r="L1984" s="1">
        <f ca="1">IFERROR(__xludf.DUMMYFUNCTION("""COMPUTED_VALUE"""),4.3)</f>
        <v>4.3</v>
      </c>
      <c r="T1984" s="1">
        <f ca="1">IFERROR(__xludf.DUMMYFUNCTION("""COMPUTED_VALUE"""),489597)</f>
        <v>489597</v>
      </c>
      <c r="U1984" s="1">
        <f ca="1">IFERROR(__xludf.DUMMYFUNCTION("""COMPUTED_VALUE"""),4.3)</f>
        <v>4.3</v>
      </c>
    </row>
    <row r="1985" spans="1:21" ht="12.75" x14ac:dyDescent="0.2">
      <c r="A1985" s="3">
        <f ca="1">IFERROR(__xludf.DUMMYFUNCTION("""COMPUTED_VALUE"""),40148.6027777777)</f>
        <v>40148.602777777698</v>
      </c>
      <c r="B1985" s="1">
        <f ca="1">IFERROR(__xludf.DUMMYFUNCTION("""COMPUTED_VALUE"""),3.43)</f>
        <v>3.43</v>
      </c>
      <c r="J1985" s="1" t="str">
        <f ca="1">IFERROR(__xludf.DUMMYFUNCTION("""COMPUTED_VALUE"""),"WHITE HEART CONFETTI IN TUBE")</f>
        <v>WHITE HEART CONFETTI IN TUBE</v>
      </c>
      <c r="K1985" s="1">
        <f ca="1">IFERROR(__xludf.DUMMYFUNCTION("""COMPUTED_VALUE"""),1)</f>
        <v>1</v>
      </c>
      <c r="L1985" s="1">
        <f ca="1">IFERROR(__xludf.DUMMYFUNCTION("""COMPUTED_VALUE"""),3.43)</f>
        <v>3.43</v>
      </c>
      <c r="T1985" s="1">
        <f ca="1">IFERROR(__xludf.DUMMYFUNCTION("""COMPUTED_VALUE"""),489597)</f>
        <v>489597</v>
      </c>
      <c r="U1985" s="1">
        <f ca="1">IFERROR(__xludf.DUMMYFUNCTION("""COMPUTED_VALUE"""),3.43)</f>
        <v>3.43</v>
      </c>
    </row>
    <row r="1986" spans="1:21" ht="12.75" x14ac:dyDescent="0.2">
      <c r="A1986" s="3">
        <f ca="1">IFERROR(__xludf.DUMMYFUNCTION("""COMPUTED_VALUE"""),40148.6027777777)</f>
        <v>40148.602777777698</v>
      </c>
      <c r="B1986" s="1">
        <f ca="1">IFERROR(__xludf.DUMMYFUNCTION("""COMPUTED_VALUE"""),1.3)</f>
        <v>1.3</v>
      </c>
      <c r="J1986" s="1" t="str">
        <f ca="1">IFERROR(__xludf.DUMMYFUNCTION("""COMPUTED_VALUE"""),"PACK OF 72 SKULL CAKE CASES")</f>
        <v>PACK OF 72 SKULL CAKE CASES</v>
      </c>
      <c r="K1986" s="1">
        <f ca="1">IFERROR(__xludf.DUMMYFUNCTION("""COMPUTED_VALUE"""),1)</f>
        <v>1</v>
      </c>
      <c r="L1986" s="1">
        <f ca="1">IFERROR(__xludf.DUMMYFUNCTION("""COMPUTED_VALUE"""),1.3)</f>
        <v>1.3</v>
      </c>
      <c r="T1986" s="1">
        <f ca="1">IFERROR(__xludf.DUMMYFUNCTION("""COMPUTED_VALUE"""),489597)</f>
        <v>489597</v>
      </c>
      <c r="U1986" s="1">
        <f ca="1">IFERROR(__xludf.DUMMYFUNCTION("""COMPUTED_VALUE"""),1.3)</f>
        <v>1.3</v>
      </c>
    </row>
    <row r="1987" spans="1:21" ht="12.75" x14ac:dyDescent="0.2">
      <c r="A1987" s="3">
        <f ca="1">IFERROR(__xludf.DUMMYFUNCTION("""COMPUTED_VALUE"""),40148.6027777777)</f>
        <v>40148.602777777698</v>
      </c>
      <c r="B1987" s="1">
        <f ca="1">IFERROR(__xludf.DUMMYFUNCTION("""COMPUTED_VALUE"""),8.65)</f>
        <v>8.65</v>
      </c>
      <c r="J1987" s="1" t="str">
        <f ca="1">IFERROR(__xludf.DUMMYFUNCTION("""COMPUTED_VALUE"""),"RED SPOTTY BISCUIT TIN")</f>
        <v>RED SPOTTY BISCUIT TIN</v>
      </c>
      <c r="K1987" s="1">
        <f ca="1">IFERROR(__xludf.DUMMYFUNCTION("""COMPUTED_VALUE"""),1)</f>
        <v>1</v>
      </c>
      <c r="L1987" s="1">
        <f ca="1">IFERROR(__xludf.DUMMYFUNCTION("""COMPUTED_VALUE"""),8.65)</f>
        <v>8.65</v>
      </c>
      <c r="T1987" s="1">
        <f ca="1">IFERROR(__xludf.DUMMYFUNCTION("""COMPUTED_VALUE"""),489597)</f>
        <v>489597</v>
      </c>
      <c r="U1987" s="1">
        <f ca="1">IFERROR(__xludf.DUMMYFUNCTION("""COMPUTED_VALUE"""),8.65)</f>
        <v>8.65</v>
      </c>
    </row>
    <row r="1988" spans="1:21" ht="12.75" x14ac:dyDescent="0.2">
      <c r="A1988" s="3">
        <f ca="1">IFERROR(__xludf.DUMMYFUNCTION("""COMPUTED_VALUE"""),40148.6027777777)</f>
        <v>40148.602777777698</v>
      </c>
      <c r="B1988" s="1">
        <f ca="1">IFERROR(__xludf.DUMMYFUNCTION("""COMPUTED_VALUE"""),3.43)</f>
        <v>3.43</v>
      </c>
      <c r="J1988" s="1" t="str">
        <f ca="1">IFERROR(__xludf.DUMMYFUNCTION("""COMPUTED_VALUE"""),"FRENCH BOTTLE , LAVENDER")</f>
        <v>FRENCH BOTTLE , LAVENDER</v>
      </c>
      <c r="K1988" s="1">
        <f ca="1">IFERROR(__xludf.DUMMYFUNCTION("""COMPUTED_VALUE"""),1)</f>
        <v>1</v>
      </c>
      <c r="L1988" s="1">
        <f ca="1">IFERROR(__xludf.DUMMYFUNCTION("""COMPUTED_VALUE"""),3.43)</f>
        <v>3.43</v>
      </c>
      <c r="T1988" s="1">
        <f ca="1">IFERROR(__xludf.DUMMYFUNCTION("""COMPUTED_VALUE"""),489597)</f>
        <v>489597</v>
      </c>
      <c r="U1988" s="1">
        <f ca="1">IFERROR(__xludf.DUMMYFUNCTION("""COMPUTED_VALUE"""),3.43)</f>
        <v>3.43</v>
      </c>
    </row>
    <row r="1989" spans="1:21" ht="12.75" x14ac:dyDescent="0.2">
      <c r="A1989" s="3">
        <f ca="1">IFERROR(__xludf.DUMMYFUNCTION("""COMPUTED_VALUE"""),40148.6027777777)</f>
        <v>40148.602777777698</v>
      </c>
      <c r="B1989" s="1">
        <f ca="1">IFERROR(__xludf.DUMMYFUNCTION("""COMPUTED_VALUE"""),13)</f>
        <v>13</v>
      </c>
      <c r="J1989" s="1" t="str">
        <f ca="1">IFERROR(__xludf.DUMMYFUNCTION("""COMPUTED_VALUE"""),"VICTORIAN SEWING BOX SMALL")</f>
        <v>VICTORIAN SEWING BOX SMALL</v>
      </c>
      <c r="K1989" s="1">
        <f ca="1">IFERROR(__xludf.DUMMYFUNCTION("""COMPUTED_VALUE"""),1)</f>
        <v>1</v>
      </c>
      <c r="L1989" s="1">
        <f ca="1">IFERROR(__xludf.DUMMYFUNCTION("""COMPUTED_VALUE"""),13)</f>
        <v>13</v>
      </c>
      <c r="T1989" s="1">
        <f ca="1">IFERROR(__xludf.DUMMYFUNCTION("""COMPUTED_VALUE"""),489597)</f>
        <v>489597</v>
      </c>
      <c r="U1989" s="1">
        <f ca="1">IFERROR(__xludf.DUMMYFUNCTION("""COMPUTED_VALUE"""),13)</f>
        <v>13</v>
      </c>
    </row>
    <row r="1990" spans="1:21" ht="12.75" x14ac:dyDescent="0.2">
      <c r="A1990" s="3">
        <f ca="1">IFERROR(__xludf.DUMMYFUNCTION("""COMPUTED_VALUE"""),40148.6027777777)</f>
        <v>40148.602777777698</v>
      </c>
      <c r="B1990" s="1">
        <f ca="1">IFERROR(__xludf.DUMMYFUNCTION("""COMPUTED_VALUE"""),4.3)</f>
        <v>4.3</v>
      </c>
      <c r="J1990" s="1" t="str">
        <f ca="1">IFERROR(__xludf.DUMMYFUNCTION("""COMPUTED_VALUE"""),"VINTAGE SILVER TINSEL REEL")</f>
        <v>VINTAGE SILVER TINSEL REEL</v>
      </c>
      <c r="K1990" s="1">
        <f ca="1">IFERROR(__xludf.DUMMYFUNCTION("""COMPUTED_VALUE"""),1)</f>
        <v>1</v>
      </c>
      <c r="L1990" s="1">
        <f ca="1">IFERROR(__xludf.DUMMYFUNCTION("""COMPUTED_VALUE"""),4.3)</f>
        <v>4.3</v>
      </c>
      <c r="T1990" s="1">
        <f ca="1">IFERROR(__xludf.DUMMYFUNCTION("""COMPUTED_VALUE"""),489597)</f>
        <v>489597</v>
      </c>
      <c r="U1990" s="1">
        <f ca="1">IFERROR(__xludf.DUMMYFUNCTION("""COMPUTED_VALUE"""),4.3)</f>
        <v>4.3</v>
      </c>
    </row>
    <row r="1991" spans="1:21" ht="12.75" x14ac:dyDescent="0.2">
      <c r="A1991" s="3">
        <f ca="1">IFERROR(__xludf.DUMMYFUNCTION("""COMPUTED_VALUE"""),40148.6027777777)</f>
        <v>40148.602777777698</v>
      </c>
      <c r="B1991" s="1">
        <f ca="1">IFERROR(__xludf.DUMMYFUNCTION("""COMPUTED_VALUE"""),6.91)</f>
        <v>6.91</v>
      </c>
      <c r="J1991" s="1" t="str">
        <f ca="1">IFERROR(__xludf.DUMMYFUNCTION("""COMPUTED_VALUE"""),"NATURAL BARK CANDLE SMALL")</f>
        <v>NATURAL BARK CANDLE SMALL</v>
      </c>
      <c r="K1991" s="1">
        <f ca="1">IFERROR(__xludf.DUMMYFUNCTION("""COMPUTED_VALUE"""),1)</f>
        <v>1</v>
      </c>
      <c r="L1991" s="1">
        <f ca="1">IFERROR(__xludf.DUMMYFUNCTION("""COMPUTED_VALUE"""),6.91)</f>
        <v>6.91</v>
      </c>
      <c r="T1991" s="1">
        <f ca="1">IFERROR(__xludf.DUMMYFUNCTION("""COMPUTED_VALUE"""),489597)</f>
        <v>489597</v>
      </c>
      <c r="U1991" s="1">
        <f ca="1">IFERROR(__xludf.DUMMYFUNCTION("""COMPUTED_VALUE"""),6.91)</f>
        <v>6.91</v>
      </c>
    </row>
    <row r="1992" spans="1:21" ht="12.75" x14ac:dyDescent="0.2">
      <c r="A1992" s="3">
        <f ca="1">IFERROR(__xludf.DUMMYFUNCTION("""COMPUTED_VALUE"""),40148.6027777777)</f>
        <v>40148.602777777698</v>
      </c>
      <c r="B1992" s="1">
        <f ca="1">IFERROR(__xludf.DUMMYFUNCTION("""COMPUTED_VALUE"""),3.43)</f>
        <v>3.43</v>
      </c>
      <c r="J1992" s="1" t="str">
        <f ca="1">IFERROR(__xludf.DUMMYFUNCTION("""COMPUTED_VALUE"""),"RETRO SPOT CANDLE  SMALL")</f>
        <v>RETRO SPOT CANDLE  SMALL</v>
      </c>
      <c r="K1992" s="1">
        <f ca="1">IFERROR(__xludf.DUMMYFUNCTION("""COMPUTED_VALUE"""),1)</f>
        <v>1</v>
      </c>
      <c r="L1992" s="1">
        <f ca="1">IFERROR(__xludf.DUMMYFUNCTION("""COMPUTED_VALUE"""),3.43)</f>
        <v>3.43</v>
      </c>
      <c r="T1992" s="1">
        <f ca="1">IFERROR(__xludf.DUMMYFUNCTION("""COMPUTED_VALUE"""),489597)</f>
        <v>489597</v>
      </c>
      <c r="U1992" s="1">
        <f ca="1">IFERROR(__xludf.DUMMYFUNCTION("""COMPUTED_VALUE"""),3.43)</f>
        <v>3.43</v>
      </c>
    </row>
    <row r="1993" spans="1:21" ht="12.75" x14ac:dyDescent="0.2">
      <c r="A1993" s="3">
        <f ca="1">IFERROR(__xludf.DUMMYFUNCTION("""COMPUTED_VALUE"""),40148.6027777777)</f>
        <v>40148.602777777698</v>
      </c>
      <c r="B1993" s="1">
        <f ca="1">IFERROR(__xludf.DUMMYFUNCTION("""COMPUTED_VALUE"""),3.43)</f>
        <v>3.43</v>
      </c>
      <c r="J1993" s="1" t="str">
        <f ca="1">IFERROR(__xludf.DUMMYFUNCTION("""COMPUTED_VALUE"""),"BALLOONS  WRITING SET")</f>
        <v>BALLOONS  WRITING SET</v>
      </c>
      <c r="K1993" s="1">
        <f ca="1">IFERROR(__xludf.DUMMYFUNCTION("""COMPUTED_VALUE"""),1)</f>
        <v>1</v>
      </c>
      <c r="L1993" s="1">
        <f ca="1">IFERROR(__xludf.DUMMYFUNCTION("""COMPUTED_VALUE"""),3.43)</f>
        <v>3.43</v>
      </c>
      <c r="T1993" s="1">
        <f ca="1">IFERROR(__xludf.DUMMYFUNCTION("""COMPUTED_VALUE"""),489597)</f>
        <v>489597</v>
      </c>
      <c r="U1993" s="1">
        <f ca="1">IFERROR(__xludf.DUMMYFUNCTION("""COMPUTED_VALUE"""),3.43)</f>
        <v>3.43</v>
      </c>
    </row>
    <row r="1994" spans="1:21" ht="12.75" x14ac:dyDescent="0.2">
      <c r="A1994" s="3">
        <f ca="1">IFERROR(__xludf.DUMMYFUNCTION("""COMPUTED_VALUE"""),40148.6027777777)</f>
        <v>40148.602777777698</v>
      </c>
      <c r="B1994" s="1">
        <f ca="1">IFERROR(__xludf.DUMMYFUNCTION("""COMPUTED_VALUE"""),6.04)</f>
        <v>6.04</v>
      </c>
      <c r="J1994" s="1" t="str">
        <f ca="1">IFERROR(__xludf.DUMMYFUNCTION("""COMPUTED_VALUE"""),"PINK SPOTS CHOCOLATE NESTING BOXES")</f>
        <v>PINK SPOTS CHOCOLATE NESTING BOXES</v>
      </c>
      <c r="K1994" s="1">
        <f ca="1">IFERROR(__xludf.DUMMYFUNCTION("""COMPUTED_VALUE"""),1)</f>
        <v>1</v>
      </c>
      <c r="L1994" s="1">
        <f ca="1">IFERROR(__xludf.DUMMYFUNCTION("""COMPUTED_VALUE"""),6.04)</f>
        <v>6.04</v>
      </c>
      <c r="T1994" s="1">
        <f ca="1">IFERROR(__xludf.DUMMYFUNCTION("""COMPUTED_VALUE"""),489597)</f>
        <v>489597</v>
      </c>
      <c r="U1994" s="1">
        <f ca="1">IFERROR(__xludf.DUMMYFUNCTION("""COMPUTED_VALUE"""),6.04)</f>
        <v>6.04</v>
      </c>
    </row>
    <row r="1995" spans="1:21" ht="12.75" x14ac:dyDescent="0.2">
      <c r="A1995" s="3">
        <f ca="1">IFERROR(__xludf.DUMMYFUNCTION("""COMPUTED_VALUE"""),40148.6027777777)</f>
        <v>40148.602777777698</v>
      </c>
      <c r="B1995" s="1">
        <f ca="1">IFERROR(__xludf.DUMMYFUNCTION("""COMPUTED_VALUE"""),2.57)</f>
        <v>2.57</v>
      </c>
      <c r="J1995" s="1" t="str">
        <f ca="1">IFERROR(__xludf.DUMMYFUNCTION("""COMPUTED_VALUE"""),"CAMPHOR WOOD PORTOBELLO MUSHROOM")</f>
        <v>CAMPHOR WOOD PORTOBELLO MUSHROOM</v>
      </c>
      <c r="K1995" s="1">
        <f ca="1">IFERROR(__xludf.DUMMYFUNCTION("""COMPUTED_VALUE"""),1)</f>
        <v>1</v>
      </c>
      <c r="L1995" s="1">
        <f ca="1">IFERROR(__xludf.DUMMYFUNCTION("""COMPUTED_VALUE"""),2.57)</f>
        <v>2.57</v>
      </c>
      <c r="T1995" s="1">
        <f ca="1">IFERROR(__xludf.DUMMYFUNCTION("""COMPUTED_VALUE"""),489597)</f>
        <v>489597</v>
      </c>
      <c r="U1995" s="1">
        <f ca="1">IFERROR(__xludf.DUMMYFUNCTION("""COMPUTED_VALUE"""),2.57)</f>
        <v>2.57</v>
      </c>
    </row>
    <row r="1996" spans="1:21" ht="12.75" x14ac:dyDescent="0.2">
      <c r="A1996" s="3">
        <f ca="1">IFERROR(__xludf.DUMMYFUNCTION("""COMPUTED_VALUE"""),40148.6027777777)</f>
        <v>40148.602777777698</v>
      </c>
      <c r="B1996" s="1">
        <f ca="1">IFERROR(__xludf.DUMMYFUNCTION("""COMPUTED_VALUE"""),4.3)</f>
        <v>4.3</v>
      </c>
      <c r="J1996" s="1" t="str">
        <f ca="1">IFERROR(__xludf.DUMMYFUNCTION("""COMPUTED_VALUE"""),"VINTAGE GOLD TINSEL REEL")</f>
        <v>VINTAGE GOLD TINSEL REEL</v>
      </c>
      <c r="K1996" s="1">
        <f ca="1">IFERROR(__xludf.DUMMYFUNCTION("""COMPUTED_VALUE"""),1)</f>
        <v>1</v>
      </c>
      <c r="L1996" s="1">
        <f ca="1">IFERROR(__xludf.DUMMYFUNCTION("""COMPUTED_VALUE"""),4.3)</f>
        <v>4.3</v>
      </c>
      <c r="T1996" s="1">
        <f ca="1">IFERROR(__xludf.DUMMYFUNCTION("""COMPUTED_VALUE"""),489597)</f>
        <v>489597</v>
      </c>
      <c r="U1996" s="1">
        <f ca="1">IFERROR(__xludf.DUMMYFUNCTION("""COMPUTED_VALUE"""),4.3)</f>
        <v>4.3</v>
      </c>
    </row>
    <row r="1997" spans="1:21" ht="12.75" x14ac:dyDescent="0.2">
      <c r="A1997" s="3">
        <f ca="1">IFERROR(__xludf.DUMMYFUNCTION("""COMPUTED_VALUE"""),40148.6027777777)</f>
        <v>40148.602777777698</v>
      </c>
      <c r="B1997" s="1">
        <f ca="1">IFERROR(__xludf.DUMMYFUNCTION("""COMPUTED_VALUE"""),3.43)</f>
        <v>3.43</v>
      </c>
      <c r="J1997" s="1" t="str">
        <f ca="1">IFERROR(__xludf.DUMMYFUNCTION("""COMPUTED_VALUE"""),"RED GINGHAM ROSE JEWELLERY BOX")</f>
        <v>RED GINGHAM ROSE JEWELLERY BOX</v>
      </c>
      <c r="K1997" s="1">
        <f ca="1">IFERROR(__xludf.DUMMYFUNCTION("""COMPUTED_VALUE"""),1)</f>
        <v>1</v>
      </c>
      <c r="L1997" s="1">
        <f ca="1">IFERROR(__xludf.DUMMYFUNCTION("""COMPUTED_VALUE"""),3.43)</f>
        <v>3.43</v>
      </c>
      <c r="T1997" s="1">
        <f ca="1">IFERROR(__xludf.DUMMYFUNCTION("""COMPUTED_VALUE"""),489597)</f>
        <v>489597</v>
      </c>
      <c r="U1997" s="1">
        <f ca="1">IFERROR(__xludf.DUMMYFUNCTION("""COMPUTED_VALUE"""),3.43)</f>
        <v>3.43</v>
      </c>
    </row>
    <row r="1998" spans="1:21" ht="12.75" x14ac:dyDescent="0.2">
      <c r="A1998" s="3">
        <f ca="1">IFERROR(__xludf.DUMMYFUNCTION("""COMPUTED_VALUE"""),40148.6027777777)</f>
        <v>40148.602777777698</v>
      </c>
      <c r="B1998" s="1">
        <f ca="1">IFERROR(__xludf.DUMMYFUNCTION("""COMPUTED_VALUE"""),3.43)</f>
        <v>3.43</v>
      </c>
      <c r="J1998" s="1" t="str">
        <f ca="1">IFERROR(__xludf.DUMMYFUNCTION("""COMPUTED_VALUE"""),"GREEN GINGHAM FLOWER JEWELLERY BOX")</f>
        <v>GREEN GINGHAM FLOWER JEWELLERY BOX</v>
      </c>
      <c r="K1998" s="1">
        <f ca="1">IFERROR(__xludf.DUMMYFUNCTION("""COMPUTED_VALUE"""),1)</f>
        <v>1</v>
      </c>
      <c r="L1998" s="1">
        <f ca="1">IFERROR(__xludf.DUMMYFUNCTION("""COMPUTED_VALUE"""),3.43)</f>
        <v>3.43</v>
      </c>
      <c r="T1998" s="1">
        <f ca="1">IFERROR(__xludf.DUMMYFUNCTION("""COMPUTED_VALUE"""),489597)</f>
        <v>489597</v>
      </c>
      <c r="U1998" s="1">
        <f ca="1">IFERROR(__xludf.DUMMYFUNCTION("""COMPUTED_VALUE"""),3.43)</f>
        <v>3.43</v>
      </c>
    </row>
    <row r="1999" spans="1:21" ht="12.75" x14ac:dyDescent="0.2">
      <c r="A1999" s="3">
        <f ca="1">IFERROR(__xludf.DUMMYFUNCTION("""COMPUTED_VALUE"""),40148.6027777777)</f>
        <v>40148.602777777698</v>
      </c>
      <c r="B1999" s="1">
        <f ca="1">IFERROR(__xludf.DUMMYFUNCTION("""COMPUTED_VALUE"""),7.78)</f>
        <v>7.78</v>
      </c>
      <c r="J1999" s="1" t="str">
        <f ca="1">IFERROR(__xludf.DUMMYFUNCTION("""COMPUTED_VALUE"""),"BLUE CHALET BIRDFEEDER")</f>
        <v>BLUE CHALET BIRDFEEDER</v>
      </c>
      <c r="K1999" s="1">
        <f ca="1">IFERROR(__xludf.DUMMYFUNCTION("""COMPUTED_VALUE"""),1)</f>
        <v>1</v>
      </c>
      <c r="L1999" s="1">
        <f ca="1">IFERROR(__xludf.DUMMYFUNCTION("""COMPUTED_VALUE"""),7.78)</f>
        <v>7.78</v>
      </c>
      <c r="T1999" s="1">
        <f ca="1">IFERROR(__xludf.DUMMYFUNCTION("""COMPUTED_VALUE"""),489597)</f>
        <v>489597</v>
      </c>
      <c r="U1999" s="1">
        <f ca="1">IFERROR(__xludf.DUMMYFUNCTION("""COMPUTED_VALUE"""),7.78)</f>
        <v>7.78</v>
      </c>
    </row>
    <row r="2000" spans="1:21" ht="12.75" x14ac:dyDescent="0.2">
      <c r="A2000" s="3">
        <f ca="1">IFERROR(__xludf.DUMMYFUNCTION("""COMPUTED_VALUE"""),40148.6027777777)</f>
        <v>40148.602777777698</v>
      </c>
      <c r="B2000" s="1">
        <f ca="1">IFERROR(__xludf.DUMMYFUNCTION("""COMPUTED_VALUE"""),2.57)</f>
        <v>2.57</v>
      </c>
      <c r="J2000" s="1" t="str">
        <f ca="1">IFERROR(__xludf.DUMMYFUNCTION("""COMPUTED_VALUE"""),"12 PINK ROSE PEG PLACE SETTINGS")</f>
        <v>12 PINK ROSE PEG PLACE SETTINGS</v>
      </c>
      <c r="K2000" s="1">
        <f ca="1">IFERROR(__xludf.DUMMYFUNCTION("""COMPUTED_VALUE"""),1)</f>
        <v>1</v>
      </c>
      <c r="L2000" s="1">
        <f ca="1">IFERROR(__xludf.DUMMYFUNCTION("""COMPUTED_VALUE"""),2.57)</f>
        <v>2.57</v>
      </c>
      <c r="T2000" s="1">
        <f ca="1">IFERROR(__xludf.DUMMYFUNCTION("""COMPUTED_VALUE"""),489597)</f>
        <v>489597</v>
      </c>
      <c r="U2000" s="1">
        <f ca="1">IFERROR(__xludf.DUMMYFUNCTION("""COMPUTED_VALUE"""),2.57)</f>
        <v>2.57</v>
      </c>
    </row>
    <row r="2001" spans="1:21" ht="12.75" x14ac:dyDescent="0.2">
      <c r="A2001" s="3">
        <f ca="1">IFERROR(__xludf.DUMMYFUNCTION("""COMPUTED_VALUE"""),40148.6027777777)</f>
        <v>40148.602777777698</v>
      </c>
      <c r="B2001" s="1">
        <f ca="1">IFERROR(__xludf.DUMMYFUNCTION("""COMPUTED_VALUE"""),7.78)</f>
        <v>7.78</v>
      </c>
      <c r="J2001" s="1" t="str">
        <f ca="1">IFERROR(__xludf.DUMMYFUNCTION("""COMPUTED_VALUE"""),"WHITE SKULL HOT WATER BOTTLE")</f>
        <v>WHITE SKULL HOT WATER BOTTLE</v>
      </c>
      <c r="K2001" s="1">
        <f ca="1">IFERROR(__xludf.DUMMYFUNCTION("""COMPUTED_VALUE"""),1)</f>
        <v>1</v>
      </c>
      <c r="L2001" s="1">
        <f ca="1">IFERROR(__xludf.DUMMYFUNCTION("""COMPUTED_VALUE"""),7.78)</f>
        <v>7.78</v>
      </c>
      <c r="T2001" s="1">
        <f ca="1">IFERROR(__xludf.DUMMYFUNCTION("""COMPUTED_VALUE"""),489597)</f>
        <v>489597</v>
      </c>
      <c r="U2001" s="1">
        <f ca="1">IFERROR(__xludf.DUMMYFUNCTION("""COMPUTED_VALUE"""),7.78)</f>
        <v>7.78</v>
      </c>
    </row>
    <row r="2002" spans="1:21" ht="12.75" x14ac:dyDescent="0.2">
      <c r="A2002" s="3">
        <f ca="1">IFERROR(__xludf.DUMMYFUNCTION("""COMPUTED_VALUE"""),40148.6027777777)</f>
        <v>40148.602777777698</v>
      </c>
      <c r="B2002" s="1">
        <f ca="1">IFERROR(__xludf.DUMMYFUNCTION("""COMPUTED_VALUE"""),6.04)</f>
        <v>6.04</v>
      </c>
      <c r="J2002" s="1" t="str">
        <f ca="1">IFERROR(__xludf.DUMMYFUNCTION("""COMPUTED_VALUE"""),"PINK STRIPE HOT WATER BOTTLE")</f>
        <v>PINK STRIPE HOT WATER BOTTLE</v>
      </c>
      <c r="K2002" s="1">
        <f ca="1">IFERROR(__xludf.DUMMYFUNCTION("""COMPUTED_VALUE"""),1)</f>
        <v>1</v>
      </c>
      <c r="L2002" s="1">
        <f ca="1">IFERROR(__xludf.DUMMYFUNCTION("""COMPUTED_VALUE"""),6.04)</f>
        <v>6.04</v>
      </c>
      <c r="T2002" s="1">
        <f ca="1">IFERROR(__xludf.DUMMYFUNCTION("""COMPUTED_VALUE"""),489597)</f>
        <v>489597</v>
      </c>
      <c r="U2002" s="1">
        <f ca="1">IFERROR(__xludf.DUMMYFUNCTION("""COMPUTED_VALUE"""),6.04)</f>
        <v>6.04</v>
      </c>
    </row>
  </sheetData>
  <mergeCells count="10">
    <mergeCell ref="AG1:AK1"/>
    <mergeCell ref="AN1:AO1"/>
    <mergeCell ref="AR1:AS1"/>
    <mergeCell ref="A1:B1"/>
    <mergeCell ref="E1:G1"/>
    <mergeCell ref="J1:L1"/>
    <mergeCell ref="O1:Q1"/>
    <mergeCell ref="T1:U1"/>
    <mergeCell ref="Y1:Z1"/>
    <mergeCell ref="AC1:A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 Data</vt:lpstr>
      <vt:lpstr>Queries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Sumaya Mateen</cp:lastModifiedBy>
  <dcterms:modified xsi:type="dcterms:W3CDTF">2025-10-31T02:20:08Z</dcterms:modified>
</cp:coreProperties>
</file>